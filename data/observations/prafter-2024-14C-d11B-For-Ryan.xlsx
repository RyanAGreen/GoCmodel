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1/"/>
    </mc:Choice>
  </mc:AlternateContent>
  <xr:revisionPtr revIDLastSave="0" documentId="13_ncr:1_{53533B24-E3EB-4048-81D9-FF8F2777D171}" xr6:coauthVersionLast="47" xr6:coauthVersionMax="47" xr10:uidLastSave="{00000000-0000-0000-0000-000000000000}"/>
  <bookViews>
    <workbookView xWindow="26320" yWindow="980" windowWidth="21360" windowHeight="23340" activeTab="1" xr2:uid="{DD63709A-8150-A64B-A4B9-0C73BB1F82EC}"/>
  </bookViews>
  <sheets>
    <sheet name="14C" sheetId="3" r:id="rId1"/>
    <sheet name="d11B" sheetId="2" r:id="rId2"/>
    <sheet name="MOT" sheetId="6" r:id="rId3"/>
    <sheet name="pKB" sheetId="5" r:id="rId4"/>
    <sheet name="co2" sheetId="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9" i="2"/>
  <c r="O11" i="2"/>
  <c r="O34" i="2"/>
  <c r="O7" i="2"/>
  <c r="P7" i="2"/>
  <c r="T7" i="2"/>
  <c r="Q7" i="2"/>
  <c r="R7" i="2"/>
  <c r="S7" i="2"/>
  <c r="G38" i="2"/>
  <c r="H38" i="2"/>
  <c r="I38" i="2"/>
  <c r="J38" i="2"/>
  <c r="K38" i="2"/>
  <c r="L38" i="2"/>
  <c r="M38" i="2"/>
  <c r="V38" i="2"/>
  <c r="X38" i="2"/>
  <c r="Z38" i="2"/>
  <c r="N38" i="2"/>
  <c r="O18" i="2"/>
  <c r="O37" i="2"/>
  <c r="O38" i="2"/>
  <c r="P38" i="2"/>
  <c r="Q38" i="2"/>
  <c r="R38" i="2"/>
  <c r="W38" i="2"/>
  <c r="Y38" i="2"/>
  <c r="G35" i="2"/>
  <c r="V35" i="2"/>
  <c r="W35" i="2"/>
  <c r="L35" i="2"/>
  <c r="Y35" i="2"/>
  <c r="G36" i="2"/>
  <c r="V36" i="2"/>
  <c r="W36" i="2"/>
  <c r="L36" i="2"/>
  <c r="Y36" i="2"/>
  <c r="G37" i="2"/>
  <c r="V37" i="2"/>
  <c r="X37" i="2"/>
  <c r="M37" i="2"/>
  <c r="Z37" i="2"/>
  <c r="W37" i="2"/>
  <c r="L37" i="2"/>
  <c r="Y37" i="2"/>
  <c r="G39" i="2"/>
  <c r="V39" i="2"/>
  <c r="W39" i="2"/>
  <c r="L39" i="2"/>
  <c r="Y39" i="2"/>
  <c r="G40" i="2"/>
  <c r="V40" i="2"/>
  <c r="W40" i="2"/>
  <c r="L40" i="2"/>
  <c r="Y40" i="2"/>
  <c r="X40" i="2"/>
  <c r="M40" i="2"/>
  <c r="Z40" i="2"/>
  <c r="G41" i="2"/>
  <c r="V41" i="2"/>
  <c r="W41" i="2"/>
  <c r="L41" i="2"/>
  <c r="Y41" i="2"/>
  <c r="X41" i="2"/>
  <c r="M41" i="2"/>
  <c r="Z41" i="2"/>
  <c r="V42" i="2"/>
  <c r="W42" i="2"/>
  <c r="Y42" i="2"/>
  <c r="G43" i="2"/>
  <c r="V43" i="2"/>
  <c r="W43" i="2"/>
  <c r="L43" i="2"/>
  <c r="Y43" i="2"/>
  <c r="X43" i="2"/>
  <c r="M43" i="2"/>
  <c r="Z43" i="2"/>
  <c r="G44" i="2"/>
  <c r="V44" i="2"/>
  <c r="W44" i="2"/>
  <c r="L44" i="2"/>
  <c r="Y44" i="2"/>
  <c r="X44" i="2"/>
  <c r="M44" i="2"/>
  <c r="Z44" i="2"/>
  <c r="G34" i="2"/>
  <c r="V34" i="2"/>
  <c r="X34" i="2"/>
  <c r="M34" i="2"/>
  <c r="Z34" i="2"/>
  <c r="W34" i="2"/>
  <c r="L34" i="2"/>
  <c r="Y34" i="2"/>
  <c r="Q35" i="2"/>
  <c r="O39" i="2"/>
  <c r="O40" i="2"/>
  <c r="O15" i="2"/>
  <c r="O36" i="2"/>
  <c r="O12" i="2"/>
  <c r="O35" i="2"/>
  <c r="P34" i="2"/>
  <c r="R34" i="2"/>
  <c r="Q34" i="2"/>
  <c r="S34" i="2"/>
  <c r="Q36" i="2"/>
  <c r="Q37" i="2"/>
  <c r="R37" i="2"/>
  <c r="P37" i="2"/>
  <c r="S37" i="2"/>
  <c r="Q39" i="2"/>
  <c r="Q40" i="2"/>
  <c r="Q41" i="2"/>
  <c r="Q42" i="2"/>
  <c r="Q43" i="2"/>
  <c r="Q44" i="2"/>
  <c r="N35" i="2"/>
  <c r="P35" i="2"/>
  <c r="R35" i="2"/>
  <c r="S35" i="2"/>
  <c r="N36" i="2"/>
  <c r="P36" i="2"/>
  <c r="R36" i="2"/>
  <c r="S36" i="2"/>
  <c r="N37" i="2"/>
  <c r="N39" i="2"/>
  <c r="P39" i="2"/>
  <c r="R39" i="2"/>
  <c r="S39" i="2"/>
  <c r="N40" i="2"/>
  <c r="R40" i="2"/>
  <c r="N41" i="2"/>
  <c r="R41" i="2"/>
  <c r="N42" i="2"/>
  <c r="R42" i="2"/>
  <c r="N43" i="2"/>
  <c r="R43" i="2"/>
  <c r="N44" i="2"/>
  <c r="R44" i="2"/>
  <c r="N34" i="2"/>
  <c r="I35" i="2"/>
  <c r="J35" i="2"/>
  <c r="K35" i="2"/>
  <c r="M35" i="2"/>
  <c r="I36" i="2"/>
  <c r="J36" i="2"/>
  <c r="K36" i="2"/>
  <c r="M36" i="2"/>
  <c r="I37" i="2"/>
  <c r="J37" i="2"/>
  <c r="K37" i="2"/>
  <c r="I39" i="2"/>
  <c r="J39" i="2"/>
  <c r="K39" i="2"/>
  <c r="M39" i="2"/>
  <c r="I40" i="2"/>
  <c r="J40" i="2"/>
  <c r="K40" i="2"/>
  <c r="I41" i="2"/>
  <c r="J41" i="2"/>
  <c r="K41" i="2"/>
  <c r="I43" i="2"/>
  <c r="J43" i="2"/>
  <c r="K43" i="2"/>
  <c r="I44" i="2"/>
  <c r="J44" i="2"/>
  <c r="K44" i="2"/>
  <c r="K34" i="2"/>
  <c r="J34" i="2"/>
  <c r="I34" i="2"/>
  <c r="H35" i="2"/>
  <c r="H36" i="2"/>
  <c r="H37" i="2"/>
  <c r="H39" i="2"/>
  <c r="H40" i="2"/>
  <c r="H41" i="2"/>
  <c r="H42" i="2"/>
  <c r="H43" i="2"/>
  <c r="H44" i="2"/>
  <c r="H34" i="2"/>
  <c r="Q8" i="2"/>
  <c r="R8" i="2"/>
  <c r="P8" i="2"/>
  <c r="S8" i="2"/>
  <c r="Q9" i="2"/>
  <c r="R9" i="2"/>
  <c r="P9" i="2"/>
  <c r="S9" i="2"/>
  <c r="Q10" i="2"/>
  <c r="R10" i="2"/>
  <c r="O10" i="2"/>
  <c r="P10" i="2"/>
  <c r="S10" i="2"/>
  <c r="Q11" i="2"/>
  <c r="R11" i="2"/>
  <c r="P11" i="2"/>
  <c r="S11" i="2"/>
  <c r="Q12" i="2"/>
  <c r="R12" i="2"/>
  <c r="P12" i="2"/>
  <c r="S12" i="2"/>
  <c r="Q13" i="2"/>
  <c r="R13" i="2"/>
  <c r="O13" i="2"/>
  <c r="P13" i="2"/>
  <c r="S13" i="2"/>
  <c r="Q14" i="2"/>
  <c r="R14" i="2"/>
  <c r="O14" i="2"/>
  <c r="P14" i="2"/>
  <c r="S14" i="2"/>
  <c r="Q15" i="2"/>
  <c r="R15" i="2"/>
  <c r="P15" i="2"/>
  <c r="S15" i="2"/>
  <c r="Q16" i="2"/>
  <c r="R16" i="2"/>
  <c r="O16" i="2"/>
  <c r="P16" i="2"/>
  <c r="S16" i="2"/>
  <c r="Q17" i="2"/>
  <c r="R17" i="2"/>
  <c r="O17" i="2"/>
  <c r="P17" i="2"/>
  <c r="S17" i="2"/>
  <c r="Q18" i="2"/>
  <c r="R18" i="2"/>
  <c r="P18" i="2"/>
  <c r="S18" i="2"/>
  <c r="Q19" i="2"/>
  <c r="R19" i="2"/>
  <c r="O19" i="2"/>
  <c r="P19" i="2"/>
  <c r="S19" i="2"/>
  <c r="Q20" i="2"/>
  <c r="R20" i="2"/>
  <c r="O20" i="2"/>
  <c r="P20" i="2"/>
  <c r="S20" i="2"/>
  <c r="Q21" i="2"/>
  <c r="R21" i="2"/>
  <c r="O21" i="2"/>
  <c r="P21" i="2"/>
  <c r="S21" i="2"/>
  <c r="Q22" i="2"/>
  <c r="R22" i="2"/>
  <c r="O22" i="2"/>
  <c r="P22" i="2"/>
  <c r="S22" i="2"/>
  <c r="Q23" i="2"/>
  <c r="R23" i="2"/>
  <c r="O23" i="2"/>
  <c r="P23" i="2"/>
  <c r="S23" i="2"/>
  <c r="Q24" i="2"/>
  <c r="R24" i="2"/>
  <c r="O24" i="2"/>
  <c r="P24" i="2"/>
  <c r="S24" i="2"/>
  <c r="Q25" i="2"/>
  <c r="R25" i="2"/>
  <c r="O25" i="2"/>
  <c r="P25" i="2"/>
  <c r="S25" i="2"/>
  <c r="Q26" i="2"/>
  <c r="R26" i="2"/>
  <c r="O26" i="2"/>
  <c r="P26" i="2"/>
  <c r="S26" i="2"/>
  <c r="Q27" i="2"/>
  <c r="R27" i="2"/>
  <c r="O27" i="2"/>
  <c r="P27" i="2"/>
  <c r="S27" i="2"/>
  <c r="Q28" i="2"/>
  <c r="R28" i="2"/>
  <c r="O28" i="2"/>
  <c r="P28" i="2"/>
  <c r="S28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C33" i="5"/>
  <c r="D33" i="5"/>
  <c r="E33" i="5"/>
  <c r="F33" i="5"/>
  <c r="G33" i="5"/>
  <c r="C32" i="5"/>
  <c r="D32" i="5"/>
  <c r="E32" i="5"/>
  <c r="F32" i="5"/>
  <c r="G32" i="5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7" i="2"/>
  <c r="N22" i="2"/>
  <c r="N25" i="2"/>
  <c r="N26" i="2"/>
  <c r="N27" i="2"/>
  <c r="N28" i="2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C55" i="5"/>
  <c r="C56" i="5"/>
  <c r="E60" i="5"/>
  <c r="E61" i="5"/>
  <c r="E34" i="5"/>
  <c r="F34" i="5"/>
  <c r="G34" i="5"/>
  <c r="C34" i="5"/>
  <c r="C35" i="5"/>
  <c r="D35" i="5"/>
  <c r="E35" i="5"/>
  <c r="C60" i="5"/>
  <c r="C61" i="5"/>
  <c r="C62" i="5"/>
  <c r="C31" i="5"/>
  <c r="F62" i="5"/>
  <c r="G62" i="5"/>
  <c r="F31" i="5"/>
  <c r="G31" i="5"/>
  <c r="D20" i="5"/>
  <c r="C20" i="5"/>
  <c r="G20" i="5"/>
  <c r="H20" i="5"/>
  <c r="J20" i="5"/>
  <c r="K20" i="5"/>
  <c r="E24" i="5"/>
  <c r="F21" i="5"/>
  <c r="E22" i="5"/>
  <c r="D22" i="5"/>
  <c r="E23" i="5"/>
  <c r="D23" i="5"/>
  <c r="F23" i="5"/>
  <c r="F22" i="5"/>
  <c r="E21" i="5"/>
  <c r="D21" i="5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3" i="6"/>
  <c r="V25" i="2"/>
  <c r="X25" i="2"/>
  <c r="Z25" i="2"/>
  <c r="V26" i="2"/>
  <c r="X26" i="2"/>
  <c r="V27" i="2"/>
  <c r="W27" i="2"/>
  <c r="Y27" i="2"/>
  <c r="V28" i="2"/>
  <c r="W28" i="2"/>
  <c r="Y28" i="2"/>
  <c r="V22" i="2"/>
  <c r="W22" i="2"/>
  <c r="Y22" i="2"/>
  <c r="G8" i="2"/>
  <c r="V8" i="2"/>
  <c r="H8" i="2"/>
  <c r="G9" i="2"/>
  <c r="V9" i="2"/>
  <c r="H9" i="2"/>
  <c r="G10" i="2"/>
  <c r="V10" i="2"/>
  <c r="H10" i="2"/>
  <c r="G11" i="2"/>
  <c r="V11" i="2"/>
  <c r="H11" i="2"/>
  <c r="G12" i="2"/>
  <c r="V12" i="2"/>
  <c r="H12" i="2"/>
  <c r="G13" i="2"/>
  <c r="V13" i="2"/>
  <c r="X13" i="2"/>
  <c r="H13" i="2"/>
  <c r="G14" i="2"/>
  <c r="V14" i="2"/>
  <c r="H14" i="2"/>
  <c r="G15" i="2"/>
  <c r="V15" i="2"/>
  <c r="H15" i="2"/>
  <c r="G16" i="2"/>
  <c r="V16" i="2"/>
  <c r="H16" i="2"/>
  <c r="G17" i="2"/>
  <c r="V17" i="2"/>
  <c r="H17" i="2"/>
  <c r="G18" i="2"/>
  <c r="V18" i="2"/>
  <c r="H18" i="2"/>
  <c r="G19" i="2"/>
  <c r="V19" i="2"/>
  <c r="H19" i="2"/>
  <c r="G20" i="2"/>
  <c r="V20" i="2"/>
  <c r="H20" i="2"/>
  <c r="G21" i="2"/>
  <c r="V21" i="2"/>
  <c r="H21" i="2"/>
  <c r="G23" i="2"/>
  <c r="V23" i="2"/>
  <c r="H23" i="2"/>
  <c r="G24" i="2"/>
  <c r="V24" i="2"/>
  <c r="H24" i="2"/>
  <c r="H7" i="2"/>
  <c r="G7" i="2"/>
  <c r="V7" i="2"/>
  <c r="I7" i="2"/>
  <c r="P40" i="2"/>
  <c r="O41" i="2"/>
  <c r="X39" i="2"/>
  <c r="Z39" i="2"/>
  <c r="X36" i="2"/>
  <c r="Z36" i="2"/>
  <c r="X35" i="2"/>
  <c r="Z35" i="2"/>
  <c r="X42" i="2"/>
  <c r="Z42" i="2"/>
  <c r="S40" i="2"/>
  <c r="N13" i="2"/>
  <c r="N9" i="2"/>
  <c r="N15" i="2"/>
  <c r="N14" i="2"/>
  <c r="N7" i="2"/>
  <c r="N12" i="2"/>
  <c r="N24" i="2"/>
  <c r="N11" i="2"/>
  <c r="N23" i="2"/>
  <c r="N10" i="2"/>
  <c r="N21" i="2"/>
  <c r="N8" i="2"/>
  <c r="N20" i="2"/>
  <c r="N16" i="2"/>
  <c r="N19" i="2"/>
  <c r="N18" i="2"/>
  <c r="N17" i="2"/>
  <c r="C54" i="5"/>
  <c r="C58" i="5"/>
  <c r="C57" i="5"/>
  <c r="Z26" i="2"/>
  <c r="C43" i="5"/>
  <c r="C44" i="5"/>
  <c r="C52" i="5"/>
  <c r="C51" i="5"/>
  <c r="C38" i="5"/>
  <c r="C50" i="5"/>
  <c r="C53" i="5"/>
  <c r="C46" i="5"/>
  <c r="C47" i="5"/>
  <c r="C48" i="5"/>
  <c r="C45" i="5"/>
  <c r="C49" i="5"/>
  <c r="C39" i="5"/>
  <c r="F35" i="5"/>
  <c r="G35" i="5"/>
  <c r="C36" i="5"/>
  <c r="D36" i="5"/>
  <c r="E36" i="5"/>
  <c r="C37" i="5"/>
  <c r="C42" i="5"/>
  <c r="C40" i="5"/>
  <c r="C41" i="5"/>
  <c r="W10" i="2"/>
  <c r="X10" i="2"/>
  <c r="X24" i="2"/>
  <c r="W24" i="2"/>
  <c r="W14" i="2"/>
  <c r="X14" i="2"/>
  <c r="W8" i="2"/>
  <c r="X8" i="2"/>
  <c r="X17" i="2"/>
  <c r="W17" i="2"/>
  <c r="W23" i="2"/>
  <c r="X23" i="2"/>
  <c r="W21" i="2"/>
  <c r="X21" i="2"/>
  <c r="W9" i="2"/>
  <c r="X9" i="2"/>
  <c r="W19" i="2"/>
  <c r="X19" i="2"/>
  <c r="W11" i="2"/>
  <c r="X11" i="2"/>
  <c r="W16" i="2"/>
  <c r="X16" i="2"/>
  <c r="W15" i="2"/>
  <c r="X15" i="2"/>
  <c r="W20" i="2"/>
  <c r="X20" i="2"/>
  <c r="W7" i="2"/>
  <c r="X7" i="2"/>
  <c r="X18" i="2"/>
  <c r="W18" i="2"/>
  <c r="X12" i="2"/>
  <c r="W12" i="2"/>
  <c r="W13" i="2"/>
  <c r="X22" i="2"/>
  <c r="Z22" i="2"/>
  <c r="W26" i="2"/>
  <c r="Y26" i="2"/>
  <c r="W25" i="2"/>
  <c r="Y25" i="2"/>
  <c r="X28" i="2"/>
  <c r="Z28" i="2"/>
  <c r="X27" i="2"/>
  <c r="Z27" i="2"/>
  <c r="P41" i="2"/>
  <c r="S41" i="2"/>
  <c r="O42" i="2"/>
  <c r="D37" i="5"/>
  <c r="F36" i="5"/>
  <c r="G36" i="5"/>
  <c r="I11" i="2"/>
  <c r="J11" i="2"/>
  <c r="K11" i="2"/>
  <c r="L11" i="2"/>
  <c r="Y11" i="2"/>
  <c r="Z11" i="2"/>
  <c r="I12" i="2"/>
  <c r="J12" i="2"/>
  <c r="K12" i="2"/>
  <c r="L12" i="2"/>
  <c r="Y12" i="2"/>
  <c r="Z12" i="2"/>
  <c r="I14" i="2"/>
  <c r="J14" i="2"/>
  <c r="K14" i="2"/>
  <c r="L14" i="2"/>
  <c r="Y14" i="2"/>
  <c r="Z14" i="2"/>
  <c r="I15" i="2"/>
  <c r="J15" i="2"/>
  <c r="K15" i="2"/>
  <c r="L15" i="2"/>
  <c r="Y15" i="2"/>
  <c r="Z15" i="2"/>
  <c r="I17" i="2"/>
  <c r="J17" i="2"/>
  <c r="K17" i="2"/>
  <c r="L17" i="2"/>
  <c r="Y17" i="2"/>
  <c r="Z17" i="2"/>
  <c r="I18" i="2"/>
  <c r="J18" i="2"/>
  <c r="K18" i="2"/>
  <c r="L18" i="2"/>
  <c r="Y18" i="2"/>
  <c r="Z18" i="2"/>
  <c r="I19" i="2"/>
  <c r="J19" i="2"/>
  <c r="K19" i="2"/>
  <c r="L19" i="2"/>
  <c r="Y19" i="2"/>
  <c r="Z19" i="2"/>
  <c r="I20" i="2"/>
  <c r="J20" i="2"/>
  <c r="K20" i="2"/>
  <c r="L20" i="2"/>
  <c r="Y20" i="2"/>
  <c r="Z20" i="2"/>
  <c r="I21" i="2"/>
  <c r="J21" i="2"/>
  <c r="K21" i="2"/>
  <c r="L21" i="2"/>
  <c r="Y21" i="2"/>
  <c r="Z21" i="2"/>
  <c r="I23" i="2"/>
  <c r="J23" i="2"/>
  <c r="K23" i="2"/>
  <c r="L23" i="2"/>
  <c r="Y23" i="2"/>
  <c r="Z23" i="2"/>
  <c r="J7" i="2"/>
  <c r="K7" i="2"/>
  <c r="L7" i="2"/>
  <c r="Y7" i="2"/>
  <c r="Z7" i="2"/>
  <c r="I8" i="2"/>
  <c r="J8" i="2"/>
  <c r="K8" i="2"/>
  <c r="L8" i="2"/>
  <c r="Y8" i="2"/>
  <c r="Z8" i="2"/>
  <c r="I9" i="2"/>
  <c r="J9" i="2"/>
  <c r="K9" i="2"/>
  <c r="L9" i="2"/>
  <c r="Y9" i="2"/>
  <c r="Z9" i="2"/>
  <c r="I13" i="2"/>
  <c r="J13" i="2"/>
  <c r="K13" i="2"/>
  <c r="L13" i="2"/>
  <c r="Y13" i="2"/>
  <c r="Z13" i="2"/>
  <c r="I16" i="2"/>
  <c r="J16" i="2"/>
  <c r="K16" i="2"/>
  <c r="L16" i="2"/>
  <c r="Y16" i="2"/>
  <c r="Z16" i="2"/>
  <c r="I24" i="2"/>
  <c r="J24" i="2"/>
  <c r="K24" i="2"/>
  <c r="L24" i="2"/>
  <c r="Y24" i="2"/>
  <c r="Z24" i="2"/>
  <c r="Z10" i="2"/>
  <c r="L10" i="2"/>
  <c r="Y10" i="2"/>
  <c r="K10" i="2"/>
  <c r="J10" i="2"/>
  <c r="I10" i="2"/>
  <c r="P42" i="2"/>
  <c r="S42" i="2"/>
  <c r="O43" i="2"/>
  <c r="D38" i="5"/>
  <c r="E37" i="5"/>
  <c r="F37" i="5"/>
  <c r="G37" i="5"/>
  <c r="P43" i="2"/>
  <c r="S43" i="2"/>
  <c r="O44" i="2"/>
  <c r="P44" i="2"/>
  <c r="S44" i="2"/>
  <c r="D39" i="5"/>
  <c r="E38" i="5"/>
  <c r="F38" i="5"/>
  <c r="G38" i="5"/>
  <c r="E39" i="5"/>
  <c r="D40" i="5"/>
  <c r="F39" i="5"/>
  <c r="G39" i="5"/>
  <c r="E40" i="5"/>
  <c r="D41" i="5"/>
  <c r="F40" i="5"/>
  <c r="G40" i="5"/>
  <c r="E41" i="5"/>
  <c r="D42" i="5"/>
  <c r="F41" i="5"/>
  <c r="G41" i="5"/>
  <c r="E42" i="5"/>
  <c r="D43" i="5"/>
  <c r="F42" i="5"/>
  <c r="G42" i="5"/>
  <c r="D44" i="5"/>
  <c r="E43" i="5"/>
  <c r="F43" i="5"/>
  <c r="G43" i="5"/>
  <c r="F61" i="5"/>
  <c r="G61" i="5"/>
  <c r="F60" i="5"/>
  <c r="G60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D50" i="5"/>
  <c r="E49" i="5"/>
  <c r="F49" i="5"/>
  <c r="G49" i="5"/>
  <c r="E50" i="5"/>
  <c r="F50" i="5"/>
  <c r="G50" i="5"/>
  <c r="D51" i="5"/>
  <c r="E51" i="5"/>
  <c r="F51" i="5"/>
  <c r="G51" i="5"/>
  <c r="D52" i="5"/>
  <c r="E52" i="5"/>
  <c r="F52" i="5"/>
  <c r="G52" i="5"/>
  <c r="D53" i="5"/>
  <c r="E53" i="5"/>
  <c r="F53" i="5"/>
  <c r="G53" i="5"/>
  <c r="D54" i="5"/>
  <c r="E54" i="5"/>
  <c r="F54" i="5"/>
  <c r="G54" i="5"/>
  <c r="D59" i="5"/>
  <c r="E59" i="5"/>
  <c r="F59" i="5"/>
  <c r="G59" i="5"/>
  <c r="D55" i="5"/>
  <c r="E55" i="5"/>
  <c r="F55" i="5"/>
  <c r="G55" i="5"/>
  <c r="D56" i="5"/>
  <c r="E56" i="5"/>
  <c r="F56" i="5"/>
  <c r="G56" i="5"/>
  <c r="D57" i="5"/>
  <c r="E57" i="5"/>
  <c r="F57" i="5"/>
  <c r="G57" i="5"/>
  <c r="D58" i="5"/>
  <c r="E58" i="5"/>
  <c r="F58" i="5"/>
  <c r="G5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tc={97BA526A-7BDD-0A4C-A0DE-8CBD8B7ECE15}</author>
    <author>tc={83B825B7-5ADC-414D-9C93-1E9AF6B87086}</author>
  </authors>
  <commentList>
    <comment ref="Q6" authorId="0" shapeId="0" xr:uid="{97BA526A-7BDD-0A4C-A0DE-8CBD8B7ECE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 are doing d11B_0-d11B_1
</t>
      </text>
    </comment>
    <comment ref="Q34" authorId="1" shapeId="0" xr:uid="{83B825B7-5ADC-414D-9C93-1E9AF6B87086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did you decide your d11B_0?</t>
      </text>
    </comment>
  </commentList>
</comments>
</file>

<file path=xl/sharedStrings.xml><?xml version="1.0" encoding="utf-8"?>
<sst xmlns="http://schemas.openxmlformats.org/spreadsheetml/2006/main" count="307" uniqueCount="85">
  <si>
    <t>analysis_date</t>
  </si>
  <si>
    <t>depth</t>
  </si>
  <si>
    <t>d11B</t>
  </si>
  <si>
    <t>flag</t>
  </si>
  <si>
    <t>B [ppb]</t>
  </si>
  <si>
    <t>d11B_2sigma</t>
  </si>
  <si>
    <t>size_flag</t>
  </si>
  <si>
    <t>mgca</t>
  </si>
  <si>
    <t>mgca_2sigma</t>
  </si>
  <si>
    <t>planktic foram G. bulloides</t>
  </si>
  <si>
    <t>14C age</t>
  </si>
  <si>
    <t>14C.age.err</t>
  </si>
  <si>
    <t>AMS#</t>
  </si>
  <si>
    <t>D14C</t>
  </si>
  <si>
    <t>D14C.err</t>
  </si>
  <si>
    <t>core</t>
  </si>
  <si>
    <t>depth_top</t>
  </si>
  <si>
    <t>depth_bottom</t>
  </si>
  <si>
    <t>depth_mid</t>
  </si>
  <si>
    <t>cal.age</t>
  </si>
  <si>
    <t>cal.age.err</t>
  </si>
  <si>
    <t>mat.dated</t>
  </si>
  <si>
    <t>14C.raw</t>
  </si>
  <si>
    <t>14C.raw_err</t>
  </si>
  <si>
    <t>Labcode</t>
  </si>
  <si>
    <t>LPAZ-21P</t>
  </si>
  <si>
    <t>Planulina ariminensis</t>
  </si>
  <si>
    <t>178194, 181540</t>
  </si>
  <si>
    <t>Uvigerina peregrina</t>
  </si>
  <si>
    <t>157540, 157542, 157543</t>
  </si>
  <si>
    <t>160293, 176715</t>
  </si>
  <si>
    <t>176284, 181565</t>
  </si>
  <si>
    <t>162170, 161631.00</t>
  </si>
  <si>
    <t>176318 &amp; 160286</t>
  </si>
  <si>
    <t>Note:</t>
  </si>
  <si>
    <t>New 14C measurement</t>
  </si>
  <si>
    <t>NEW DATA</t>
  </si>
  <si>
    <t>14C.age</t>
  </si>
  <si>
    <t>14C.ID</t>
  </si>
  <si>
    <t>G.bulloides</t>
  </si>
  <si>
    <t>P.arimensis</t>
  </si>
  <si>
    <t>depth_bot</t>
  </si>
  <si>
    <t>Did I publish this before?</t>
  </si>
  <si>
    <t>##INTCAL20: Atmospheric data from Reimer et al (2020)</t>
  </si>
  <si>
    <t># Reimer et al. 2020</t>
  </si>
  <si>
    <t># DOI: 10.2458/azu_js_rc.xx.xxxx</t>
  </si>
  <si>
    <t># CAL BP</t>
  </si>
  <si>
    <t xml:space="preserve"> 14C age</t>
  </si>
  <si>
    <t>Sigma</t>
  </si>
  <si>
    <t>Delta 14C</t>
  </si>
  <si>
    <t>D14C.atmos</t>
  </si>
  <si>
    <t>cal.age.rnd</t>
  </si>
  <si>
    <t>D14C.err.atmos</t>
  </si>
  <si>
    <t>DD14C</t>
  </si>
  <si>
    <t>DD14C.err</t>
  </si>
  <si>
    <t>Delta(pH)</t>
  </si>
  <si>
    <t>Delta pH</t>
  </si>
  <si>
    <t>Delta pKB</t>
  </si>
  <si>
    <t>-</t>
  </si>
  <si>
    <t>log10</t>
  </si>
  <si>
    <t>alpha</t>
  </si>
  <si>
    <t>epsilon</t>
  </si>
  <si>
    <t>d11B SW</t>
  </si>
  <si>
    <t>d11B1</t>
  </si>
  <si>
    <t>d11B0</t>
  </si>
  <si>
    <t>d11B SW.err</t>
  </si>
  <si>
    <t>D(temp)</t>
  </si>
  <si>
    <t>Age</t>
  </si>
  <si>
    <t>Mean Spline</t>
  </si>
  <si>
    <t>Upper bound</t>
  </si>
  <si>
    <t>Lower bound</t>
  </si>
  <si>
    <t>yr BP</t>
  </si>
  <si>
    <t>°C</t>
  </si>
  <si>
    <t>cal.age.rounded</t>
  </si>
  <si>
    <t>Km/m (from Dickson 1990)</t>
  </si>
  <si>
    <t>Rae's pKB value from this (to left)</t>
  </si>
  <si>
    <t>pKB</t>
  </si>
  <si>
    <t>value from Dickson 1990</t>
  </si>
  <si>
    <t>degrees C</t>
  </si>
  <si>
    <t>Kelvin</t>
  </si>
  <si>
    <t>Delta MOT</t>
  </si>
  <si>
    <t>D(pKB)</t>
  </si>
  <si>
    <t>Delta(pH) pt 1</t>
  </si>
  <si>
    <t>Delta(pH) pt 2</t>
  </si>
  <si>
    <t>Delta(pH)?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</si>
</sst>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0"/>
      <name val="Arial"/>
      <family val="2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2" fillId="0" borderId="0" xfId="0" applyFont="1"/>
    <xf numFmtId="0" fontId="4" fillId="0" borderId="0" xfId="0" applyFont="1"/>
    <xf numFmtId="1" fontId="5" fillId="0" borderId="0" xfId="0" applyNumberFormat="1" applyFont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0" fontId="0" fillId="0" borderId="2" xfId="0" applyBorder="1"/>
    <xf numFmtId="2" fontId="0" fillId="0" borderId="0" xfId="0" applyNumberFormat="1"/>
    <xf numFmtId="164" fontId="6" fillId="0" borderId="0" xfId="0" applyNumberFormat="1" applyFont="1" applyAlignment="1">
      <alignment horizontal="center" wrapText="1"/>
    </xf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1" fillId="0" borderId="0" xfId="0" applyNumberFormat="1" applyFont="1"/>
    <xf numFmtId="0" fontId="7" fillId="0" borderId="0" xfId="0" applyFont="1"/>
    <xf numFmtId="2" fontId="7" fillId="0" borderId="0" xfId="0" applyNumberFormat="1" applyFont="1" applyAlignment="1">
      <alignment horizontal="center"/>
    </xf>
    <xf numFmtId="2" fontId="7" fillId="0" borderId="0" xfId="0" applyNumberFormat="1" applyFont="1"/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/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benthics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d11B!$D$7:$D$28</c:f>
              <c:numCache>
                <c:formatCode>0.0</c:formatCode>
                <c:ptCount val="22"/>
                <c:pt idx="0">
                  <c:v>15.819844255010151</c:v>
                </c:pt>
                <c:pt idx="1">
                  <c:v>15.68951153045739</c:v>
                </c:pt>
                <c:pt idx="2">
                  <c:v>15.7873915562663</c:v>
                </c:pt>
                <c:pt idx="3">
                  <c:v>15.778169451509855</c:v>
                </c:pt>
                <c:pt idx="4">
                  <c:v>16.097481573008313</c:v>
                </c:pt>
                <c:pt idx="5">
                  <c:v>15.634219034389661</c:v>
                </c:pt>
                <c:pt idx="6">
                  <c:v>15.864672210322839</c:v>
                </c:pt>
                <c:pt idx="7">
                  <c:v>15.969414751671279</c:v>
                </c:pt>
                <c:pt idx="8">
                  <c:v>15.768379754937428</c:v>
                </c:pt>
                <c:pt idx="9">
                  <c:v>15.794177756257101</c:v>
                </c:pt>
                <c:pt idx="10">
                  <c:v>16.143466118734072</c:v>
                </c:pt>
                <c:pt idx="11">
                  <c:v>15.125515622046967</c:v>
                </c:pt>
                <c:pt idx="12">
                  <c:v>15.963090057413771</c:v>
                </c:pt>
                <c:pt idx="13">
                  <c:v>15.767704672887314</c:v>
                </c:pt>
                <c:pt idx="14">
                  <c:v>16.007533120167302</c:v>
                </c:pt>
                <c:pt idx="15">
                  <c:v>15.72571273145118</c:v>
                </c:pt>
                <c:pt idx="16">
                  <c:v>15.907341097984789</c:v>
                </c:pt>
                <c:pt idx="17">
                  <c:v>15.824323137398011</c:v>
                </c:pt>
                <c:pt idx="18">
                  <c:v>15.946716499519287</c:v>
                </c:pt>
                <c:pt idx="19">
                  <c:v>15.725145976931421</c:v>
                </c:pt>
                <c:pt idx="20">
                  <c:v>15.621290820994949</c:v>
                </c:pt>
                <c:pt idx="21">
                  <c:v>15.188130083614526</c:v>
                </c:pt>
              </c:numCache>
            </c:numRef>
          </c:xVal>
          <c:yVal>
            <c:numRef>
              <c:f>d11B!$Y$7:$Y$28</c:f>
              <c:numCache>
                <c:formatCode>0</c:formatCode>
                <c:ptCount val="22"/>
                <c:pt idx="0">
                  <c:v>584.88218728758682</c:v>
                </c:pt>
                <c:pt idx="1">
                  <c:v>590.38368535142422</c:v>
                </c:pt>
                <c:pt idx="2">
                  <c:v>590.38368535142422</c:v>
                </c:pt>
                <c:pt idx="3">
                  <c:v>402.69779611734475</c:v>
                </c:pt>
                <c:pt idx="4">
                  <c:v>543.57476107918296</c:v>
                </c:pt>
                <c:pt idx="5">
                  <c:v>452.69652475498981</c:v>
                </c:pt>
                <c:pt idx="6">
                  <c:v>424.53183625269696</c:v>
                </c:pt>
                <c:pt idx="7">
                  <c:v>510.25864073243281</c:v>
                </c:pt>
                <c:pt idx="8">
                  <c:v>458.13929235962598</c:v>
                </c:pt>
                <c:pt idx="9">
                  <c:v>172.51245263470017</c:v>
                </c:pt>
                <c:pt idx="10">
                  <c:v>97.089298064536308</c:v>
                </c:pt>
                <c:pt idx="11">
                  <c:v>141.72325423530049</c:v>
                </c:pt>
                <c:pt idx="12">
                  <c:v>240.27658554846664</c:v>
                </c:pt>
                <c:pt idx="13">
                  <c:v>188.38128982440151</c:v>
                </c:pt>
                <c:pt idx="14">
                  <c:v>212.33365258268435</c:v>
                </c:pt>
                <c:pt idx="15">
                  <c:v>339.32436564550653</c:v>
                </c:pt>
                <c:pt idx="16">
                  <c:v>478.3101402314075</c:v>
                </c:pt>
                <c:pt idx="17">
                  <c:v>478.3101402314075</c:v>
                </c:pt>
                <c:pt idx="18">
                  <c:v>488.90940563317707</c:v>
                </c:pt>
                <c:pt idx="19">
                  <c:v>488.90940563317707</c:v>
                </c:pt>
                <c:pt idx="20">
                  <c:v>157.99426195823446</c:v>
                </c:pt>
                <c:pt idx="21">
                  <c:v>48.178797409326421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B-B84E-B3D5-41F4C10C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11231"/>
        <c:axId val="1615674479"/>
      </c:scatterChart>
      <c:valAx>
        <c:axId val="70381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74479"/>
        <c:crosses val="autoZero"/>
        <c:crossBetween val="midCat"/>
      </c:valAx>
      <c:valAx>
        <c:axId val="16156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1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pH vs Delta D14C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41258940500512"/>
          <c:y val="0.12803685366786552"/>
          <c:w val="0.75374217751112416"/>
          <c:h val="0.69678991158391457"/>
        </c:manualLayout>
      </c:layout>
      <c:scatterChart>
        <c:scatterStyle val="lineMarker"/>
        <c:varyColors val="0"/>
        <c:ser>
          <c:idx val="0"/>
          <c:order val="0"/>
          <c:tx>
            <c:v>benthic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d11B!$S$7:$S$28</c:f>
              <c:numCache>
                <c:formatCode>0.000</c:formatCode>
                <c:ptCount val="22"/>
                <c:pt idx="0">
                  <c:v>3.2161949884521916E-2</c:v>
                </c:pt>
                <c:pt idx="1">
                  <c:v>3.4865844300993647E-2</c:v>
                </c:pt>
                <c:pt idx="2">
                  <c:v>2.2050532909790085E-2</c:v>
                </c:pt>
                <c:pt idx="3">
                  <c:v>2.4391158616926617E-2</c:v>
                </c:pt>
                <c:pt idx="4">
                  <c:v>-1.2481959108599595E-2</c:v>
                </c:pt>
                <c:pt idx="5">
                  <c:v>4.4953895598340267E-2</c:v>
                </c:pt>
                <c:pt idx="6">
                  <c:v>1.3822126254215574E-2</c:v>
                </c:pt>
                <c:pt idx="7">
                  <c:v>-3.9135725503490482E-4</c:v>
                </c:pt>
                <c:pt idx="8">
                  <c:v>2.0924127155222773E-2</c:v>
                </c:pt>
                <c:pt idx="9">
                  <c:v>0</c:v>
                </c:pt>
                <c:pt idx="10">
                  <c:v>-2.9905921053128552E-2</c:v>
                </c:pt>
                <c:pt idx="11">
                  <c:v>0.1196178598682868</c:v>
                </c:pt>
                <c:pt idx="12">
                  <c:v>-1.6191682397587646E-2</c:v>
                </c:pt>
                <c:pt idx="13">
                  <c:v>6.8766207470848601E-3</c:v>
                </c:pt>
                <c:pt idx="14">
                  <c:v>-2.0963487265226302E-2</c:v>
                </c:pt>
                <c:pt idx="15">
                  <c:v>1.2334272500140788E-2</c:v>
                </c:pt>
                <c:pt idx="16">
                  <c:v>-9.9710165969732929E-3</c:v>
                </c:pt>
                <c:pt idx="17">
                  <c:v>-1.8559312799332726E-4</c:v>
                </c:pt>
                <c:pt idx="18">
                  <c:v>-1.439244243715487E-2</c:v>
                </c:pt>
                <c:pt idx="19">
                  <c:v>1.2409270063857778E-2</c:v>
                </c:pt>
                <c:pt idx="20">
                  <c:v>2.679447982433324E-2</c:v>
                </c:pt>
                <c:pt idx="21">
                  <c:v>0.10497488543239984</c:v>
                </c:pt>
              </c:numCache>
            </c:numRef>
          </c:xVal>
          <c:yVal>
            <c:numRef>
              <c:f>d11B!$Y$7:$Y$28</c:f>
              <c:numCache>
                <c:formatCode>0</c:formatCode>
                <c:ptCount val="22"/>
                <c:pt idx="0">
                  <c:v>584.88218728758682</c:v>
                </c:pt>
                <c:pt idx="1">
                  <c:v>590.38368535142422</c:v>
                </c:pt>
                <c:pt idx="2">
                  <c:v>590.38368535142422</c:v>
                </c:pt>
                <c:pt idx="3">
                  <c:v>402.69779611734475</c:v>
                </c:pt>
                <c:pt idx="4">
                  <c:v>543.57476107918296</c:v>
                </c:pt>
                <c:pt idx="5">
                  <c:v>452.69652475498981</c:v>
                </c:pt>
                <c:pt idx="6">
                  <c:v>424.53183625269696</c:v>
                </c:pt>
                <c:pt idx="7">
                  <c:v>510.25864073243281</c:v>
                </c:pt>
                <c:pt idx="8">
                  <c:v>458.13929235962598</c:v>
                </c:pt>
                <c:pt idx="9">
                  <c:v>172.51245263470017</c:v>
                </c:pt>
                <c:pt idx="10">
                  <c:v>97.089298064536308</c:v>
                </c:pt>
                <c:pt idx="11">
                  <c:v>141.72325423530049</c:v>
                </c:pt>
                <c:pt idx="12">
                  <c:v>240.27658554846664</c:v>
                </c:pt>
                <c:pt idx="13">
                  <c:v>188.38128982440151</c:v>
                </c:pt>
                <c:pt idx="14">
                  <c:v>212.33365258268435</c:v>
                </c:pt>
                <c:pt idx="15">
                  <c:v>339.32436564550653</c:v>
                </c:pt>
                <c:pt idx="16">
                  <c:v>478.3101402314075</c:v>
                </c:pt>
                <c:pt idx="17">
                  <c:v>478.3101402314075</c:v>
                </c:pt>
                <c:pt idx="18">
                  <c:v>488.90940563317707</c:v>
                </c:pt>
                <c:pt idx="19">
                  <c:v>488.90940563317707</c:v>
                </c:pt>
                <c:pt idx="20">
                  <c:v>157.99426195823446</c:v>
                </c:pt>
                <c:pt idx="21">
                  <c:v>48.178797409326421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5-5B4A-B97C-C86356DAA8B3}"/>
            </c:ext>
          </c:extLst>
        </c:ser>
        <c:ser>
          <c:idx val="1"/>
          <c:order val="1"/>
          <c:tx>
            <c:v>planktic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d11B!$S$34:$S$44</c:f>
              <c:numCache>
                <c:formatCode>0.000</c:formatCode>
                <c:ptCount val="11"/>
                <c:pt idx="0">
                  <c:v>4.5146901864224105E-3</c:v>
                </c:pt>
                <c:pt idx="1">
                  <c:v>-2.2438426556454019E-2</c:v>
                </c:pt>
                <c:pt idx="2">
                  <c:v>-7.0560275390995318E-3</c:v>
                </c:pt>
                <c:pt idx="3">
                  <c:v>-2.6637429886222339E-2</c:v>
                </c:pt>
                <c:pt idx="5">
                  <c:v>-2.5907218103324466E-2</c:v>
                </c:pt>
                <c:pt idx="6">
                  <c:v>-2.5419141403067141E-2</c:v>
                </c:pt>
                <c:pt idx="7">
                  <c:v>-1.6964280616882439E-2</c:v>
                </c:pt>
                <c:pt idx="8">
                  <c:v>3.5334199047643011E-3</c:v>
                </c:pt>
                <c:pt idx="9">
                  <c:v>-3.8763183958539373E-2</c:v>
                </c:pt>
                <c:pt idx="10">
                  <c:v>-1.5694212226823285E-2</c:v>
                </c:pt>
              </c:numCache>
            </c:numRef>
          </c:xVal>
          <c:yVal>
            <c:numRef>
              <c:f>d11B!$Y$34:$Y$44</c:f>
              <c:numCache>
                <c:formatCode>0</c:formatCode>
                <c:ptCount val="11"/>
                <c:pt idx="0">
                  <c:v>543.87476107918292</c:v>
                </c:pt>
                <c:pt idx="1">
                  <c:v>452.39652475498985</c:v>
                </c:pt>
                <c:pt idx="2">
                  <c:v>457.83929235962597</c:v>
                </c:pt>
                <c:pt idx="3">
                  <c:v>485.68340499780766</c:v>
                </c:pt>
                <c:pt idx="4">
                  <c:v>140.0232542353005</c:v>
                </c:pt>
                <c:pt idx="5">
                  <c:v>240.27658554846664</c:v>
                </c:pt>
                <c:pt idx="6">
                  <c:v>188.38128982440151</c:v>
                </c:pt>
                <c:pt idx="7">
                  <c:v>212.33365258268435</c:v>
                </c:pt>
                <c:pt idx="8">
                  <c:v>297.23058421116559</c:v>
                </c:pt>
                <c:pt idx="9">
                  <c:v>478.3101402314075</c:v>
                </c:pt>
                <c:pt idx="10">
                  <c:v>478.3101402314075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65-5B4A-B97C-C86356DA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811231"/>
        <c:axId val="1615674479"/>
      </c:scatterChart>
      <c:valAx>
        <c:axId val="703811231"/>
        <c:scaling>
          <c:orientation val="minMax"/>
          <c:max val="0.12"/>
          <c:min val="-0.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(pH)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74479"/>
        <c:crosses val="autoZero"/>
        <c:crossBetween val="midCat"/>
        <c:majorUnit val="0.04"/>
      </c:valAx>
      <c:valAx>
        <c:axId val="16156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(D14C)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1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001141962186106"/>
          <c:y val="0.14979971250517085"/>
          <c:w val="0.19734648255510118"/>
          <c:h val="0.13771525162615542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1289051</xdr:colOff>
      <xdr:row>46</xdr:row>
      <xdr:rowOff>6351</xdr:rowOff>
    </xdr:from>
    <xdr:to>
      <xdr:col>23</xdr:col>
      <xdr:colOff>1094317</xdr:colOff>
      <xdr:row>59</xdr:row>
      <xdr:rowOff>107951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CD09-1E79-4963-4A43-88E10AD51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182034</xdr:colOff>
      <xdr:row>46</xdr:row>
      <xdr:rowOff>194734</xdr:rowOff>
    </xdr:from>
    <xdr:to>
      <xdr:col>17</xdr:col>
      <xdr:colOff>365554</xdr:colOff>
      <xdr:row>55</xdr:row>
      <xdr:rowOff>88413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F250CC-79B3-4949-A4AA-EB673512E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2967" y="9541934"/>
          <a:ext cx="7786587" cy="1722479"/>
        </a:xfrm>
        <a:prstGeom prst="rect">
          <a:avLst/>
        </a:prstGeom>
      </xdr:spPr>
    </xdr:pic>
    <xdr:clientData/>
  </xdr:twoCellAnchor>
  <xdr:twoCellAnchor>
    <xdr:from>
      <xdr:col>26</xdr:col>
      <xdr:colOff>762000</xdr:colOff>
      <xdr:row>32</xdr:row>
      <xdr:rowOff>67734</xdr:rowOff>
    </xdr:from>
    <xdr:to>
      <xdr:col>32</xdr:col>
      <xdr:colOff>270934</xdr:colOff>
      <xdr:row>55</xdr:row>
      <xdr:rowOff>67734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F901A1-3197-5348-B2F9-DD7ABAA60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7</xdr:row>
      <xdr:rowOff>76200</xdr:rowOff>
    </xdr:from>
    <xdr:to>
      <xdr:col>10</xdr:col>
      <xdr:colOff>24714</xdr:colOff>
      <xdr:row>15</xdr:row>
      <xdr:rowOff>151112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DCA38-CA0D-5249-9590-387EE4CE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1498600"/>
          <a:ext cx="7772400" cy="17005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yan Green" id="{CBC2E273-8382-954D-972E-264FC0DD8376}" userId="S::rygreen@ucsc.edu::becfab87-be18-4cc8-b93b-5fd4cbdbbf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5-01-23T23:09:57.83" personId="{CBC2E273-8382-954D-972E-264FC0DD8376}" id="{97BA526A-7BDD-0A4C-A0DE-8CBD8B7ECE15}">
    <text xml:space="preserve">You are doing d11B_0-d11B_1
</text>
  </threadedComment>
  <threadedComment ref="Q34" dT="2025-01-23T23:10:15.53" personId="{CBC2E273-8382-954D-972E-264FC0DD8376}" id="{83B825B7-5ADC-414D-9C93-1E9AF6B87086}">
    <text>how did you decide your d11B_0?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8211-DA82-004C-9CFA-113410E7F922}">
  <dimension ref="A1:W93"/>
  <sheetViews>
    <sheetView topLeftCell="A9" zoomScale="81" workbookViewId="0">
      <selection activeCell="C40" sqref="C40"/>
    </sheetView>
  </sheetViews>
  <sheetFormatPr baseColWidth="10" defaultRowHeight="16" x14ac:dyDescent="0.2"/>
  <cols>
    <col min="10" max="10" width="21" bestFit="1" customWidth="1"/>
  </cols>
  <sheetData>
    <row r="1" spans="1:23" x14ac:dyDescent="0.2">
      <c r="Q1" s="2" t="s">
        <v>36</v>
      </c>
      <c r="R1" s="3" t="s">
        <v>40</v>
      </c>
      <c r="S1" s="3" t="s">
        <v>40</v>
      </c>
      <c r="T1" s="3" t="s">
        <v>40</v>
      </c>
      <c r="U1" s="3" t="s">
        <v>39</v>
      </c>
      <c r="V1" s="3" t="s">
        <v>39</v>
      </c>
      <c r="W1" s="3" t="s">
        <v>39</v>
      </c>
    </row>
    <row r="2" spans="1:23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13</v>
      </c>
      <c r="L2" t="s">
        <v>14</v>
      </c>
      <c r="O2" t="s">
        <v>16</v>
      </c>
      <c r="P2" t="s">
        <v>41</v>
      </c>
      <c r="Q2" t="s">
        <v>18</v>
      </c>
      <c r="R2" t="s">
        <v>37</v>
      </c>
      <c r="S2" t="s">
        <v>11</v>
      </c>
      <c r="T2" t="s">
        <v>38</v>
      </c>
      <c r="U2" t="s">
        <v>37</v>
      </c>
      <c r="V2" t="s">
        <v>11</v>
      </c>
      <c r="W2" t="s">
        <v>38</v>
      </c>
    </row>
    <row r="3" spans="1:23" x14ac:dyDescent="0.2">
      <c r="A3" t="s">
        <v>25</v>
      </c>
      <c r="B3">
        <v>63</v>
      </c>
      <c r="C3">
        <v>65</v>
      </c>
      <c r="D3">
        <v>64</v>
      </c>
      <c r="E3">
        <v>11738.5</v>
      </c>
      <c r="F3">
        <v>586.22448979591843</v>
      </c>
      <c r="G3" t="s">
        <v>26</v>
      </c>
      <c r="H3">
        <v>15620</v>
      </c>
      <c r="I3">
        <v>100</v>
      </c>
      <c r="J3">
        <v>162173</v>
      </c>
      <c r="K3">
        <v>-408.18218728758683</v>
      </c>
      <c r="L3">
        <v>7.4133799597267966</v>
      </c>
      <c r="O3">
        <v>106</v>
      </c>
      <c r="P3">
        <v>108</v>
      </c>
      <c r="Q3">
        <v>107</v>
      </c>
      <c r="R3">
        <v>22570</v>
      </c>
      <c r="S3">
        <v>80</v>
      </c>
      <c r="T3">
        <v>208195</v>
      </c>
      <c r="U3">
        <v>19310</v>
      </c>
      <c r="V3">
        <v>140</v>
      </c>
      <c r="W3">
        <v>176732</v>
      </c>
    </row>
    <row r="4" spans="1:23" x14ac:dyDescent="0.2">
      <c r="A4" t="s">
        <v>25</v>
      </c>
      <c r="B4">
        <v>66</v>
      </c>
      <c r="C4">
        <v>67</v>
      </c>
      <c r="D4">
        <v>66.5</v>
      </c>
      <c r="E4">
        <v>12821</v>
      </c>
      <c r="F4">
        <v>187.19387755102022</v>
      </c>
      <c r="G4" t="s">
        <v>26</v>
      </c>
      <c r="H4">
        <v>16880</v>
      </c>
      <c r="I4">
        <v>650</v>
      </c>
      <c r="J4">
        <v>178177</v>
      </c>
      <c r="K4">
        <v>-423.31963205411461</v>
      </c>
      <c r="L4">
        <v>48.602651639132262</v>
      </c>
      <c r="O4">
        <v>121</v>
      </c>
      <c r="P4">
        <v>122</v>
      </c>
      <c r="Q4">
        <v>121.5</v>
      </c>
      <c r="R4">
        <v>28880</v>
      </c>
      <c r="S4">
        <v>550</v>
      </c>
      <c r="T4">
        <v>233855</v>
      </c>
      <c r="U4">
        <v>27400</v>
      </c>
      <c r="V4">
        <v>120</v>
      </c>
      <c r="W4">
        <v>233854</v>
      </c>
    </row>
    <row r="5" spans="1:23" x14ac:dyDescent="0.2">
      <c r="A5" t="s">
        <v>25</v>
      </c>
      <c r="B5">
        <v>67</v>
      </c>
      <c r="C5">
        <v>68</v>
      </c>
      <c r="D5">
        <v>67.5</v>
      </c>
      <c r="E5">
        <v>13096.2</v>
      </c>
      <c r="F5">
        <v>125.7908163265307</v>
      </c>
      <c r="G5" t="s">
        <v>26</v>
      </c>
      <c r="H5">
        <v>16555</v>
      </c>
      <c r="I5">
        <v>45</v>
      </c>
      <c r="J5">
        <v>206073</v>
      </c>
      <c r="K5">
        <v>-379.18368535142423</v>
      </c>
      <c r="L5">
        <v>3.4875052614527249</v>
      </c>
      <c r="O5">
        <v>122</v>
      </c>
      <c r="P5">
        <v>124</v>
      </c>
      <c r="Q5">
        <v>123</v>
      </c>
      <c r="R5">
        <v>28440</v>
      </c>
      <c r="S5">
        <v>420</v>
      </c>
      <c r="T5">
        <v>176317</v>
      </c>
      <c r="U5">
        <v>26560</v>
      </c>
      <c r="V5">
        <v>550</v>
      </c>
      <c r="W5">
        <v>175258</v>
      </c>
    </row>
    <row r="6" spans="1:23" x14ac:dyDescent="0.2">
      <c r="A6" t="s">
        <v>25</v>
      </c>
      <c r="B6">
        <v>68</v>
      </c>
      <c r="C6">
        <v>69</v>
      </c>
      <c r="D6">
        <v>68.5</v>
      </c>
      <c r="E6">
        <v>13276.9</v>
      </c>
      <c r="F6">
        <v>202.57653061224499</v>
      </c>
      <c r="G6" t="s">
        <v>26</v>
      </c>
      <c r="H6">
        <v>14330</v>
      </c>
      <c r="I6">
        <v>60</v>
      </c>
      <c r="J6">
        <v>206075</v>
      </c>
      <c r="K6">
        <v>-162.95679706689103</v>
      </c>
      <c r="L6">
        <v>6.2754414361985198</v>
      </c>
      <c r="O6">
        <v>130</v>
      </c>
      <c r="P6">
        <v>131</v>
      </c>
      <c r="Q6">
        <v>130.5</v>
      </c>
      <c r="R6">
        <v>30670</v>
      </c>
      <c r="S6">
        <v>760</v>
      </c>
      <c r="T6">
        <v>177344</v>
      </c>
      <c r="U6">
        <v>33070</v>
      </c>
      <c r="V6">
        <v>180</v>
      </c>
      <c r="W6">
        <v>203485</v>
      </c>
    </row>
    <row r="7" spans="1:23" x14ac:dyDescent="0.2">
      <c r="A7" t="s">
        <v>25</v>
      </c>
      <c r="B7">
        <v>69</v>
      </c>
      <c r="C7">
        <v>70.5</v>
      </c>
      <c r="D7">
        <v>69.75</v>
      </c>
      <c r="E7">
        <v>13690.9</v>
      </c>
      <c r="F7">
        <v>297.83163265306121</v>
      </c>
      <c r="G7" t="s">
        <v>26</v>
      </c>
      <c r="H7">
        <v>15120</v>
      </c>
      <c r="I7">
        <v>90</v>
      </c>
      <c r="J7">
        <v>175820</v>
      </c>
      <c r="K7">
        <v>-202.39779611734477</v>
      </c>
      <c r="L7">
        <v>8.9864100197191306</v>
      </c>
    </row>
    <row r="8" spans="1:23" x14ac:dyDescent="0.2">
      <c r="A8" t="s">
        <v>25</v>
      </c>
      <c r="B8">
        <v>70.5</v>
      </c>
      <c r="C8">
        <v>71.5</v>
      </c>
      <c r="D8">
        <v>71</v>
      </c>
      <c r="E8">
        <v>13791.5</v>
      </c>
      <c r="F8">
        <v>325.20408163265336</v>
      </c>
      <c r="G8" t="s">
        <v>26</v>
      </c>
      <c r="H8">
        <v>15375</v>
      </c>
      <c r="I8">
        <v>45</v>
      </c>
      <c r="J8">
        <v>203474</v>
      </c>
      <c r="K8">
        <v>-217.85918851319087</v>
      </c>
      <c r="L8">
        <v>4.3937637122201352</v>
      </c>
    </row>
    <row r="9" spans="1:23" x14ac:dyDescent="0.2">
      <c r="A9" t="s">
        <v>25</v>
      </c>
      <c r="B9">
        <v>71.5</v>
      </c>
      <c r="C9">
        <v>72.5</v>
      </c>
      <c r="D9">
        <v>72</v>
      </c>
      <c r="E9">
        <v>14001.9</v>
      </c>
      <c r="F9">
        <v>344.61734693877543</v>
      </c>
      <c r="G9" t="s">
        <v>26</v>
      </c>
      <c r="H9">
        <v>15395</v>
      </c>
      <c r="I9">
        <v>40</v>
      </c>
      <c r="J9">
        <v>203476</v>
      </c>
      <c r="K9">
        <v>-199.69280558446422</v>
      </c>
      <c r="L9">
        <v>3.9950357501872134</v>
      </c>
    </row>
    <row r="10" spans="1:23" x14ac:dyDescent="0.2">
      <c r="A10" t="s">
        <v>25</v>
      </c>
      <c r="B10">
        <v>72</v>
      </c>
      <c r="C10">
        <v>73</v>
      </c>
      <c r="D10">
        <v>72.5</v>
      </c>
      <c r="E10">
        <v>14108.9</v>
      </c>
      <c r="F10">
        <v>350.73979591836724</v>
      </c>
      <c r="G10" t="s">
        <v>26</v>
      </c>
      <c r="H10">
        <v>17080</v>
      </c>
      <c r="I10">
        <v>330</v>
      </c>
      <c r="J10">
        <v>203478</v>
      </c>
      <c r="K10">
        <v>-342.67476107918293</v>
      </c>
      <c r="L10">
        <v>27.56560605530467</v>
      </c>
    </row>
    <row r="11" spans="1:23" x14ac:dyDescent="0.2">
      <c r="A11" t="s">
        <v>25</v>
      </c>
      <c r="B11">
        <v>73</v>
      </c>
      <c r="C11">
        <v>74</v>
      </c>
      <c r="D11">
        <v>73.5</v>
      </c>
      <c r="E11">
        <v>14314.9</v>
      </c>
      <c r="F11">
        <v>368.41836734693851</v>
      </c>
      <c r="G11" t="s">
        <v>26</v>
      </c>
      <c r="H11">
        <v>16110</v>
      </c>
      <c r="I11">
        <v>70</v>
      </c>
      <c r="J11">
        <v>203480</v>
      </c>
      <c r="K11">
        <v>-239.59652475498982</v>
      </c>
      <c r="L11">
        <v>6.6551519096020684</v>
      </c>
    </row>
    <row r="12" spans="1:23" x14ac:dyDescent="0.2">
      <c r="A12" t="s">
        <v>25</v>
      </c>
      <c r="B12">
        <v>74</v>
      </c>
      <c r="C12">
        <v>76</v>
      </c>
      <c r="D12">
        <v>75</v>
      </c>
      <c r="E12">
        <v>14629.5</v>
      </c>
      <c r="F12">
        <v>399.20918367346928</v>
      </c>
      <c r="G12" t="s">
        <v>26</v>
      </c>
      <c r="H12">
        <v>15965</v>
      </c>
      <c r="I12">
        <v>45</v>
      </c>
      <c r="J12">
        <v>181567</v>
      </c>
      <c r="K12">
        <v>-195.71423145115341</v>
      </c>
      <c r="L12">
        <v>4.5181654916939351</v>
      </c>
    </row>
    <row r="13" spans="1:23" x14ac:dyDescent="0.2">
      <c r="A13" t="s">
        <v>25</v>
      </c>
      <c r="B13">
        <v>75</v>
      </c>
      <c r="C13">
        <v>76</v>
      </c>
      <c r="D13">
        <v>75.5</v>
      </c>
      <c r="E13">
        <v>14734.3</v>
      </c>
      <c r="F13">
        <v>396.70918367346951</v>
      </c>
      <c r="G13" t="s">
        <v>26</v>
      </c>
      <c r="H13">
        <v>15660</v>
      </c>
      <c r="I13">
        <v>35</v>
      </c>
      <c r="J13">
        <v>204764</v>
      </c>
      <c r="K13">
        <v>-153.93183625269691</v>
      </c>
      <c r="L13">
        <v>3.6943844779422363</v>
      </c>
    </row>
    <row r="14" spans="1:23" x14ac:dyDescent="0.2">
      <c r="A14" t="s">
        <v>25</v>
      </c>
      <c r="B14">
        <v>77</v>
      </c>
      <c r="C14">
        <v>78</v>
      </c>
      <c r="D14">
        <v>77.5</v>
      </c>
      <c r="E14">
        <v>15156.9</v>
      </c>
      <c r="F14">
        <v>412.88265306122452</v>
      </c>
      <c r="G14" t="s">
        <v>26</v>
      </c>
      <c r="H14">
        <v>16775</v>
      </c>
      <c r="I14">
        <v>45</v>
      </c>
      <c r="J14">
        <v>203058</v>
      </c>
      <c r="K14">
        <v>-224.95864073243277</v>
      </c>
      <c r="L14">
        <v>4.3538817432968813</v>
      </c>
    </row>
    <row r="15" spans="1:23" x14ac:dyDescent="0.2">
      <c r="A15" t="s">
        <v>25</v>
      </c>
      <c r="B15">
        <v>77</v>
      </c>
      <c r="C15">
        <v>79</v>
      </c>
      <c r="D15">
        <v>78</v>
      </c>
      <c r="E15">
        <v>15258.4</v>
      </c>
      <c r="F15">
        <v>424.03061224489818</v>
      </c>
      <c r="G15" t="s">
        <v>26</v>
      </c>
      <c r="H15">
        <v>16760</v>
      </c>
      <c r="I15">
        <v>70</v>
      </c>
      <c r="J15">
        <v>175789</v>
      </c>
      <c r="K15">
        <v>-213.91775617796625</v>
      </c>
      <c r="L15">
        <v>6.8798958926258251</v>
      </c>
    </row>
    <row r="16" spans="1:23" x14ac:dyDescent="0.2">
      <c r="A16" t="s">
        <v>25</v>
      </c>
      <c r="B16">
        <v>78</v>
      </c>
      <c r="C16">
        <v>79</v>
      </c>
      <c r="D16">
        <v>78.5</v>
      </c>
      <c r="E16">
        <v>15363.7</v>
      </c>
      <c r="F16">
        <v>416.96428571428572</v>
      </c>
      <c r="G16" t="s">
        <v>26</v>
      </c>
      <c r="H16">
        <v>17020</v>
      </c>
      <c r="I16">
        <v>60</v>
      </c>
      <c r="J16">
        <v>206076</v>
      </c>
      <c r="K16">
        <v>-229.19738875156392</v>
      </c>
      <c r="L16">
        <v>5.7788255478429278</v>
      </c>
    </row>
    <row r="17" spans="1:12" x14ac:dyDescent="0.2">
      <c r="A17" t="s">
        <v>25</v>
      </c>
      <c r="B17">
        <v>79</v>
      </c>
      <c r="C17">
        <v>81</v>
      </c>
      <c r="D17">
        <v>80</v>
      </c>
      <c r="E17">
        <v>15687.2</v>
      </c>
      <c r="F17">
        <v>433.13775510204073</v>
      </c>
      <c r="G17" t="s">
        <v>26</v>
      </c>
      <c r="H17">
        <v>16550</v>
      </c>
      <c r="I17">
        <v>45</v>
      </c>
      <c r="J17">
        <v>181535</v>
      </c>
      <c r="K17">
        <v>-150.13929235962598</v>
      </c>
      <c r="L17">
        <v>4.7741878224889547</v>
      </c>
    </row>
    <row r="18" spans="1:12" x14ac:dyDescent="0.2">
      <c r="A18" t="s">
        <v>25</v>
      </c>
      <c r="B18">
        <v>80</v>
      </c>
      <c r="C18">
        <v>81</v>
      </c>
      <c r="D18">
        <v>80.5</v>
      </c>
      <c r="E18">
        <v>15796.1</v>
      </c>
      <c r="F18">
        <v>422.95918367346894</v>
      </c>
      <c r="G18" t="s">
        <v>26</v>
      </c>
      <c r="H18">
        <v>15920</v>
      </c>
      <c r="I18">
        <v>100</v>
      </c>
      <c r="J18">
        <v>206078</v>
      </c>
      <c r="K18">
        <v>-68.61585340880427</v>
      </c>
      <c r="L18">
        <v>11.666942796974553</v>
      </c>
    </row>
    <row r="19" spans="1:12" x14ac:dyDescent="0.2">
      <c r="A19" t="s">
        <v>25</v>
      </c>
      <c r="B19">
        <v>82</v>
      </c>
      <c r="C19">
        <v>84</v>
      </c>
      <c r="D19">
        <v>83</v>
      </c>
      <c r="E19">
        <v>16311.5</v>
      </c>
      <c r="F19">
        <v>421.07142857142867</v>
      </c>
      <c r="G19" t="s">
        <v>26</v>
      </c>
      <c r="H19">
        <v>17520</v>
      </c>
      <c r="I19">
        <v>80</v>
      </c>
      <c r="J19">
        <v>175800</v>
      </c>
      <c r="K19">
        <v>-187.72603342353301</v>
      </c>
      <c r="L19">
        <v>8.1297857585136626</v>
      </c>
    </row>
    <row r="20" spans="1:12" x14ac:dyDescent="0.2">
      <c r="A20" t="s">
        <v>25</v>
      </c>
      <c r="B20">
        <v>84.5</v>
      </c>
      <c r="C20">
        <v>85.5</v>
      </c>
      <c r="D20">
        <v>85</v>
      </c>
      <c r="E20">
        <v>16724.2</v>
      </c>
      <c r="F20">
        <v>390.84183673469443</v>
      </c>
      <c r="G20" t="s">
        <v>26</v>
      </c>
      <c r="H20">
        <v>16640</v>
      </c>
      <c r="I20">
        <v>140</v>
      </c>
      <c r="J20">
        <v>178190</v>
      </c>
      <c r="K20">
        <v>-47.293226304914839</v>
      </c>
      <c r="L20">
        <v>16.749408854925818</v>
      </c>
    </row>
    <row r="21" spans="1:12" x14ac:dyDescent="0.2">
      <c r="A21" t="s">
        <v>25</v>
      </c>
      <c r="B21">
        <v>85.5</v>
      </c>
      <c r="C21">
        <v>87</v>
      </c>
      <c r="D21">
        <v>86.25</v>
      </c>
      <c r="E21">
        <v>17125.400000000001</v>
      </c>
      <c r="F21">
        <v>356.65816326530671</v>
      </c>
      <c r="G21" t="s">
        <v>26</v>
      </c>
      <c r="H21">
        <v>17760</v>
      </c>
      <c r="I21">
        <v>60</v>
      </c>
      <c r="J21">
        <v>181548</v>
      </c>
      <c r="K21">
        <v>-130.07013149845048</v>
      </c>
      <c r="L21">
        <v>6.5219978183342846</v>
      </c>
    </row>
    <row r="22" spans="1:12" x14ac:dyDescent="0.2">
      <c r="A22" t="s">
        <v>25</v>
      </c>
      <c r="B22">
        <v>87</v>
      </c>
      <c r="C22">
        <v>87.5</v>
      </c>
      <c r="D22">
        <v>87.25</v>
      </c>
      <c r="E22">
        <v>17231.5</v>
      </c>
      <c r="F22">
        <v>324.13265306122503</v>
      </c>
      <c r="G22" t="s">
        <v>26</v>
      </c>
      <c r="H22">
        <v>17615</v>
      </c>
      <c r="I22">
        <v>50</v>
      </c>
      <c r="J22">
        <v>181536</v>
      </c>
      <c r="K22">
        <v>-102.78340499780769</v>
      </c>
      <c r="L22">
        <v>5.6019835744902622</v>
      </c>
    </row>
    <row r="23" spans="1:12" x14ac:dyDescent="0.2">
      <c r="A23" t="s">
        <v>25</v>
      </c>
      <c r="B23">
        <v>87.5</v>
      </c>
      <c r="C23">
        <v>88</v>
      </c>
      <c r="D23">
        <v>87.75</v>
      </c>
      <c r="E23">
        <v>17343.8</v>
      </c>
      <c r="F23">
        <v>313.69897959183692</v>
      </c>
      <c r="G23" t="s">
        <v>26</v>
      </c>
      <c r="H23">
        <v>17350</v>
      </c>
      <c r="I23">
        <v>70</v>
      </c>
      <c r="J23">
        <v>201575</v>
      </c>
      <c r="K23">
        <v>-60.008954377579805</v>
      </c>
      <c r="L23">
        <v>8.2269261069166646</v>
      </c>
    </row>
    <row r="24" spans="1:12" x14ac:dyDescent="0.2">
      <c r="A24" t="s">
        <v>25</v>
      </c>
      <c r="B24">
        <v>88</v>
      </c>
      <c r="C24">
        <v>89</v>
      </c>
      <c r="D24">
        <v>88.5</v>
      </c>
      <c r="E24">
        <v>17549.2</v>
      </c>
      <c r="F24">
        <v>292.62755102040779</v>
      </c>
      <c r="G24" t="s">
        <v>26</v>
      </c>
      <c r="H24">
        <v>17610</v>
      </c>
      <c r="I24">
        <v>60</v>
      </c>
      <c r="J24">
        <v>201577</v>
      </c>
      <c r="K24">
        <v>-67.051842990817349</v>
      </c>
      <c r="L24">
        <v>6.9944556049255127</v>
      </c>
    </row>
    <row r="25" spans="1:12" x14ac:dyDescent="0.2">
      <c r="A25" t="s">
        <v>25</v>
      </c>
      <c r="B25">
        <v>89</v>
      </c>
      <c r="C25">
        <v>90</v>
      </c>
      <c r="D25">
        <v>89.5</v>
      </c>
      <c r="E25">
        <v>17922.400000000001</v>
      </c>
      <c r="F25">
        <v>351.50510204081672</v>
      </c>
      <c r="G25" t="s">
        <v>26</v>
      </c>
      <c r="H25">
        <v>18140</v>
      </c>
      <c r="I25">
        <v>60</v>
      </c>
      <c r="J25">
        <v>183754</v>
      </c>
      <c r="K25">
        <v>-86.288265291556087</v>
      </c>
      <c r="L25">
        <v>6.8502371928203019</v>
      </c>
    </row>
    <row r="26" spans="1:12" x14ac:dyDescent="0.2">
      <c r="A26" t="s">
        <v>25</v>
      </c>
      <c r="B26">
        <v>90</v>
      </c>
      <c r="C26">
        <v>91</v>
      </c>
      <c r="D26">
        <v>90.5</v>
      </c>
      <c r="E26">
        <v>18266.8</v>
      </c>
      <c r="F26">
        <v>396.04591836734693</v>
      </c>
      <c r="G26" t="s">
        <v>26</v>
      </c>
      <c r="H26">
        <v>18190</v>
      </c>
      <c r="I26">
        <v>450</v>
      </c>
      <c r="J26">
        <v>203049</v>
      </c>
      <c r="K26">
        <v>-53.330137060623059</v>
      </c>
      <c r="L26">
        <v>54.544936122658982</v>
      </c>
    </row>
    <row r="27" spans="1:12" x14ac:dyDescent="0.2">
      <c r="A27" t="s">
        <v>25</v>
      </c>
      <c r="B27">
        <v>91</v>
      </c>
      <c r="C27">
        <v>92</v>
      </c>
      <c r="D27">
        <v>91.5</v>
      </c>
      <c r="E27">
        <v>18611.8</v>
      </c>
      <c r="F27">
        <v>427.09183673469408</v>
      </c>
      <c r="G27" t="s">
        <v>26</v>
      </c>
      <c r="H27">
        <v>19220</v>
      </c>
      <c r="I27">
        <v>450</v>
      </c>
      <c r="J27">
        <v>201581</v>
      </c>
      <c r="K27">
        <v>-131.76577820969248</v>
      </c>
      <c r="L27">
        <v>50.025655216291312</v>
      </c>
    </row>
    <row r="28" spans="1:12" x14ac:dyDescent="0.2">
      <c r="A28" t="s">
        <v>25</v>
      </c>
      <c r="B28">
        <v>92</v>
      </c>
      <c r="C28">
        <v>93</v>
      </c>
      <c r="D28">
        <v>92.5</v>
      </c>
      <c r="E28">
        <v>18977.8</v>
      </c>
      <c r="F28">
        <v>439.61734693877531</v>
      </c>
      <c r="G28" t="s">
        <v>26</v>
      </c>
      <c r="H28">
        <v>16800</v>
      </c>
      <c r="I28">
        <v>70</v>
      </c>
      <c r="J28">
        <v>201583</v>
      </c>
      <c r="K28">
        <v>226.58754736529986</v>
      </c>
      <c r="L28">
        <v>10.735256641893216</v>
      </c>
    </row>
    <row r="29" spans="1:12" x14ac:dyDescent="0.2">
      <c r="A29" t="s">
        <v>25</v>
      </c>
      <c r="B29">
        <v>92</v>
      </c>
      <c r="C29">
        <v>94</v>
      </c>
      <c r="D29">
        <v>93</v>
      </c>
      <c r="E29">
        <v>19161.2</v>
      </c>
      <c r="F29">
        <v>466.7091836734694</v>
      </c>
      <c r="G29" t="s">
        <v>26</v>
      </c>
      <c r="H29">
        <v>16805</v>
      </c>
      <c r="I29">
        <v>45</v>
      </c>
      <c r="J29">
        <v>181538</v>
      </c>
      <c r="K29">
        <v>253.32261754633078</v>
      </c>
      <c r="L29">
        <v>7.0406803427278533</v>
      </c>
    </row>
    <row r="30" spans="1:12" x14ac:dyDescent="0.2">
      <c r="A30" t="s">
        <v>25</v>
      </c>
      <c r="B30">
        <v>93</v>
      </c>
      <c r="C30">
        <v>94</v>
      </c>
      <c r="D30">
        <v>93.5</v>
      </c>
      <c r="E30">
        <v>19326.3</v>
      </c>
      <c r="F30">
        <v>453.67346938775455</v>
      </c>
      <c r="G30" t="s">
        <v>26</v>
      </c>
      <c r="H30">
        <v>16530</v>
      </c>
      <c r="I30">
        <v>60</v>
      </c>
      <c r="J30">
        <v>201588</v>
      </c>
      <c r="K30">
        <v>323.13361424248097</v>
      </c>
      <c r="L30">
        <v>9.919735898157569</v>
      </c>
    </row>
    <row r="31" spans="1:12" x14ac:dyDescent="0.2">
      <c r="A31" t="s">
        <v>25</v>
      </c>
      <c r="B31">
        <v>94</v>
      </c>
      <c r="C31">
        <v>95</v>
      </c>
      <c r="D31">
        <v>94.5</v>
      </c>
      <c r="E31">
        <v>19670</v>
      </c>
      <c r="F31">
        <v>460.35714285714249</v>
      </c>
      <c r="G31" t="s">
        <v>26</v>
      </c>
      <c r="H31">
        <v>16960</v>
      </c>
      <c r="I31">
        <v>100</v>
      </c>
      <c r="J31">
        <v>192493</v>
      </c>
      <c r="K31">
        <v>307.41070193546369</v>
      </c>
      <c r="L31">
        <v>16.377223004558061</v>
      </c>
    </row>
    <row r="32" spans="1:12" x14ac:dyDescent="0.2">
      <c r="A32" t="s">
        <v>25</v>
      </c>
      <c r="B32">
        <v>96</v>
      </c>
      <c r="C32">
        <v>97</v>
      </c>
      <c r="D32">
        <v>96.5</v>
      </c>
      <c r="E32">
        <v>21733.8</v>
      </c>
      <c r="F32">
        <v>391.86224489795882</v>
      </c>
      <c r="G32" t="s">
        <v>26</v>
      </c>
      <c r="H32">
        <v>20240</v>
      </c>
      <c r="I32">
        <v>70</v>
      </c>
      <c r="J32">
        <v>181551</v>
      </c>
      <c r="K32">
        <v>115.5818190562603</v>
      </c>
      <c r="L32">
        <v>9.7637198081157521</v>
      </c>
    </row>
    <row r="33" spans="1:12" x14ac:dyDescent="0.2">
      <c r="A33" t="s">
        <v>25</v>
      </c>
      <c r="B33">
        <v>97</v>
      </c>
      <c r="C33">
        <v>98</v>
      </c>
      <c r="D33">
        <v>97.5</v>
      </c>
      <c r="E33">
        <v>22709.200000000001</v>
      </c>
      <c r="F33">
        <v>304.15816326530592</v>
      </c>
      <c r="G33" t="s">
        <v>26</v>
      </c>
      <c r="H33">
        <v>19580</v>
      </c>
      <c r="I33">
        <v>670</v>
      </c>
      <c r="J33">
        <v>200178</v>
      </c>
      <c r="K33">
        <v>362.77674576469951</v>
      </c>
      <c r="L33">
        <v>118.53838273472752</v>
      </c>
    </row>
    <row r="34" spans="1:12" x14ac:dyDescent="0.2">
      <c r="A34" t="s">
        <v>25</v>
      </c>
      <c r="B34">
        <v>97</v>
      </c>
      <c r="C34">
        <v>99</v>
      </c>
      <c r="D34">
        <v>98</v>
      </c>
      <c r="E34">
        <v>22809.200000000001</v>
      </c>
      <c r="F34">
        <v>319.7704081632653</v>
      </c>
      <c r="G34" t="s">
        <v>26</v>
      </c>
      <c r="H34">
        <v>20196.666666666668</v>
      </c>
      <c r="I34">
        <v>263.33333333333331</v>
      </c>
      <c r="J34" t="s">
        <v>27</v>
      </c>
      <c r="K34">
        <v>277.43474136588134</v>
      </c>
      <c r="L34">
        <v>42.57009687399767</v>
      </c>
    </row>
    <row r="35" spans="1:12" x14ac:dyDescent="0.2">
      <c r="A35" t="s">
        <v>25</v>
      </c>
      <c r="B35">
        <v>98</v>
      </c>
      <c r="C35">
        <v>99</v>
      </c>
      <c r="D35">
        <v>98.5</v>
      </c>
      <c r="E35">
        <v>22898.9</v>
      </c>
      <c r="F35">
        <v>302.52551020408106</v>
      </c>
      <c r="G35" t="s">
        <v>26</v>
      </c>
      <c r="H35">
        <v>20240</v>
      </c>
      <c r="I35">
        <v>260</v>
      </c>
      <c r="J35">
        <v>200181</v>
      </c>
      <c r="K35">
        <v>284.4234144515334</v>
      </c>
      <c r="L35">
        <v>42.2523671759987</v>
      </c>
    </row>
    <row r="36" spans="1:12" x14ac:dyDescent="0.2">
      <c r="A36" t="s">
        <v>25</v>
      </c>
      <c r="B36">
        <v>99</v>
      </c>
      <c r="C36">
        <v>100</v>
      </c>
      <c r="D36">
        <v>99.5</v>
      </c>
      <c r="E36">
        <v>23072.9</v>
      </c>
      <c r="F36">
        <v>298.57142857142895</v>
      </c>
      <c r="G36" t="s">
        <v>26</v>
      </c>
      <c r="H36">
        <v>20490</v>
      </c>
      <c r="I36">
        <v>160</v>
      </c>
      <c r="J36">
        <v>200525</v>
      </c>
      <c r="K36">
        <v>271.54898187486884</v>
      </c>
      <c r="L36">
        <v>25.580415405966448</v>
      </c>
    </row>
    <row r="37" spans="1:12" x14ac:dyDescent="0.2">
      <c r="A37" t="s">
        <v>25</v>
      </c>
      <c r="B37">
        <v>100</v>
      </c>
      <c r="C37">
        <v>101</v>
      </c>
      <c r="D37">
        <v>100.5</v>
      </c>
      <c r="E37">
        <v>23256</v>
      </c>
      <c r="F37">
        <v>278.34183673469443</v>
      </c>
      <c r="G37" t="s">
        <v>26</v>
      </c>
      <c r="H37">
        <v>20630</v>
      </c>
      <c r="I37">
        <v>120</v>
      </c>
      <c r="J37">
        <v>200527</v>
      </c>
      <c r="K37">
        <v>277.565123972332</v>
      </c>
      <c r="L37">
        <v>19.22801235845543</v>
      </c>
    </row>
    <row r="38" spans="1:12" x14ac:dyDescent="0.2">
      <c r="A38" t="s">
        <v>25</v>
      </c>
      <c r="B38">
        <v>101</v>
      </c>
      <c r="C38">
        <v>102</v>
      </c>
      <c r="D38">
        <v>101.5</v>
      </c>
      <c r="E38">
        <v>23438.1</v>
      </c>
      <c r="F38">
        <v>255.20408163265344</v>
      </c>
      <c r="G38" t="s">
        <v>26</v>
      </c>
      <c r="H38">
        <v>20630</v>
      </c>
      <c r="I38">
        <v>80</v>
      </c>
      <c r="J38">
        <v>181554</v>
      </c>
      <c r="K38">
        <v>306.01871017559847</v>
      </c>
      <c r="L38">
        <v>13.071516196792913</v>
      </c>
    </row>
    <row r="39" spans="1:12" x14ac:dyDescent="0.2">
      <c r="A39" t="s">
        <v>25</v>
      </c>
      <c r="B39">
        <v>104</v>
      </c>
      <c r="C39">
        <v>106</v>
      </c>
      <c r="D39">
        <v>105</v>
      </c>
      <c r="E39">
        <v>24297.8</v>
      </c>
      <c r="F39">
        <v>296.37755102040796</v>
      </c>
      <c r="G39" t="s">
        <v>26</v>
      </c>
      <c r="H39">
        <v>21520</v>
      </c>
      <c r="I39">
        <v>80</v>
      </c>
      <c r="J39">
        <v>176294</v>
      </c>
      <c r="K39">
        <v>297.16634741731565</v>
      </c>
      <c r="L39">
        <v>12.982915779147675</v>
      </c>
    </row>
    <row r="40" spans="1:12" x14ac:dyDescent="0.2">
      <c r="A40" t="s">
        <v>25</v>
      </c>
      <c r="B40">
        <v>110</v>
      </c>
      <c r="C40">
        <v>111</v>
      </c>
      <c r="D40">
        <v>110.5</v>
      </c>
      <c r="E40">
        <v>25927.599999999999</v>
      </c>
      <c r="F40">
        <v>370.58673469387776</v>
      </c>
      <c r="G40" t="s">
        <v>26</v>
      </c>
      <c r="H40">
        <v>22660</v>
      </c>
      <c r="I40">
        <v>90</v>
      </c>
      <c r="J40">
        <v>201590</v>
      </c>
      <c r="K40">
        <v>370.82510746347964</v>
      </c>
      <c r="L40">
        <v>15.444787415362498</v>
      </c>
    </row>
    <row r="41" spans="1:12" x14ac:dyDescent="0.2">
      <c r="A41" t="s">
        <v>25</v>
      </c>
      <c r="B41">
        <v>114</v>
      </c>
      <c r="C41">
        <v>115</v>
      </c>
      <c r="D41">
        <v>114.5</v>
      </c>
      <c r="E41">
        <v>27223.4</v>
      </c>
      <c r="F41">
        <v>541.98979591836701</v>
      </c>
      <c r="G41" t="s">
        <v>26</v>
      </c>
      <c r="H41">
        <v>25490</v>
      </c>
      <c r="I41">
        <v>80</v>
      </c>
      <c r="J41">
        <v>204773</v>
      </c>
      <c r="K41">
        <v>127.33870943317305</v>
      </c>
      <c r="L41">
        <v>11.283166224813186</v>
      </c>
    </row>
    <row r="42" spans="1:12" x14ac:dyDescent="0.2">
      <c r="A42" t="s">
        <v>25</v>
      </c>
      <c r="B42">
        <v>115</v>
      </c>
      <c r="C42">
        <v>116</v>
      </c>
      <c r="D42">
        <v>115.5</v>
      </c>
      <c r="E42">
        <v>27573.8</v>
      </c>
      <c r="F42">
        <v>586.1479591836727</v>
      </c>
      <c r="G42" t="s">
        <v>26</v>
      </c>
      <c r="H42">
        <v>25590</v>
      </c>
      <c r="I42">
        <v>100</v>
      </c>
      <c r="J42">
        <v>204776</v>
      </c>
      <c r="K42">
        <v>161.59779753574787</v>
      </c>
      <c r="L42">
        <v>14.550704031781379</v>
      </c>
    </row>
    <row r="43" spans="1:12" x14ac:dyDescent="0.2">
      <c r="A43" t="s">
        <v>25</v>
      </c>
      <c r="B43">
        <v>116</v>
      </c>
      <c r="C43">
        <v>117</v>
      </c>
      <c r="D43">
        <v>116.5</v>
      </c>
      <c r="E43">
        <v>27914.6</v>
      </c>
      <c r="F43">
        <v>619.94897959183595</v>
      </c>
      <c r="G43" t="s">
        <v>26</v>
      </c>
      <c r="H43">
        <v>27020</v>
      </c>
      <c r="I43">
        <v>190</v>
      </c>
      <c r="J43">
        <v>206080</v>
      </c>
      <c r="K43">
        <v>13.089859768592449</v>
      </c>
      <c r="L43">
        <v>24.24766852668192</v>
      </c>
    </row>
    <row r="44" spans="1:12" x14ac:dyDescent="0.2">
      <c r="A44" t="s">
        <v>25</v>
      </c>
      <c r="B44">
        <v>116</v>
      </c>
      <c r="C44">
        <v>118</v>
      </c>
      <c r="D44">
        <v>117</v>
      </c>
      <c r="E44">
        <v>28090</v>
      </c>
      <c r="F44">
        <v>650.15306122448942</v>
      </c>
      <c r="G44" t="s">
        <v>26</v>
      </c>
      <c r="H44">
        <v>26540</v>
      </c>
      <c r="I44">
        <v>410</v>
      </c>
      <c r="J44">
        <v>176296</v>
      </c>
      <c r="K44">
        <v>98.532645963092861</v>
      </c>
      <c r="L44">
        <v>57.524026063525454</v>
      </c>
    </row>
    <row r="45" spans="1:12" x14ac:dyDescent="0.2">
      <c r="A45" t="s">
        <v>25</v>
      </c>
      <c r="B45">
        <v>117</v>
      </c>
      <c r="C45">
        <v>118</v>
      </c>
      <c r="D45">
        <v>117.5</v>
      </c>
      <c r="E45">
        <v>28278.799999999999</v>
      </c>
      <c r="F45">
        <v>653.5204081632661</v>
      </c>
      <c r="G45" t="s">
        <v>26</v>
      </c>
      <c r="H45">
        <v>26190</v>
      </c>
      <c r="I45">
        <v>160</v>
      </c>
      <c r="J45">
        <v>206085</v>
      </c>
      <c r="K45">
        <v>173.96087251524861</v>
      </c>
      <c r="L45">
        <v>23.617184408430518</v>
      </c>
    </row>
    <row r="46" spans="1:12" x14ac:dyDescent="0.2">
      <c r="A46" t="s">
        <v>25</v>
      </c>
      <c r="B46">
        <v>119</v>
      </c>
      <c r="C46">
        <v>120</v>
      </c>
      <c r="D46">
        <v>119.5</v>
      </c>
      <c r="E46">
        <v>28982</v>
      </c>
      <c r="F46">
        <v>767.32142857142901</v>
      </c>
      <c r="G46" t="s">
        <v>26</v>
      </c>
      <c r="H46">
        <v>27410</v>
      </c>
      <c r="I46">
        <v>780</v>
      </c>
      <c r="J46">
        <v>177324</v>
      </c>
      <c r="K46">
        <v>98.088517668698302</v>
      </c>
      <c r="L46">
        <v>111.97205901518893</v>
      </c>
    </row>
    <row r="47" spans="1:12" x14ac:dyDescent="0.2">
      <c r="A47" t="s">
        <v>25</v>
      </c>
      <c r="B47">
        <v>122</v>
      </c>
      <c r="C47">
        <v>124</v>
      </c>
      <c r="D47">
        <v>123</v>
      </c>
      <c r="E47">
        <v>30259.7</v>
      </c>
      <c r="F47">
        <v>972.47448979591798</v>
      </c>
      <c r="G47" t="s">
        <v>26</v>
      </c>
      <c r="H47">
        <v>28440</v>
      </c>
      <c r="I47">
        <v>420</v>
      </c>
      <c r="J47">
        <v>176317</v>
      </c>
      <c r="K47">
        <v>127.38875332784794</v>
      </c>
      <c r="L47">
        <v>60.512916495370163</v>
      </c>
    </row>
    <row r="48" spans="1:12" x14ac:dyDescent="0.2">
      <c r="A48" t="s">
        <v>25</v>
      </c>
      <c r="B48">
        <v>2</v>
      </c>
      <c r="C48">
        <v>3</v>
      </c>
      <c r="D48">
        <v>2.5</v>
      </c>
      <c r="E48">
        <v>5428.3</v>
      </c>
      <c r="F48">
        <v>370.34999999999991</v>
      </c>
      <c r="G48" t="s">
        <v>28</v>
      </c>
      <c r="H48">
        <v>5831.666666666667</v>
      </c>
      <c r="I48">
        <v>58.333333333333336</v>
      </c>
      <c r="J48" t="s">
        <v>29</v>
      </c>
      <c r="K48">
        <v>-66.991545091665046</v>
      </c>
      <c r="L48">
        <v>6.7998983612257362</v>
      </c>
    </row>
    <row r="49" spans="1:12" x14ac:dyDescent="0.2">
      <c r="A49" t="s">
        <v>25</v>
      </c>
      <c r="B49">
        <v>22</v>
      </c>
      <c r="C49">
        <v>24</v>
      </c>
      <c r="D49">
        <v>23</v>
      </c>
      <c r="E49">
        <v>6803.4</v>
      </c>
      <c r="F49">
        <v>161.75</v>
      </c>
      <c r="G49" t="s">
        <v>28</v>
      </c>
      <c r="H49">
        <v>7215</v>
      </c>
      <c r="I49">
        <v>20</v>
      </c>
      <c r="J49">
        <v>160284</v>
      </c>
      <c r="K49">
        <v>-72.452522272839488</v>
      </c>
      <c r="L49">
        <v>2.3122198628783224</v>
      </c>
    </row>
    <row r="50" spans="1:12" x14ac:dyDescent="0.2">
      <c r="A50" t="s">
        <v>25</v>
      </c>
      <c r="B50">
        <v>42</v>
      </c>
      <c r="C50">
        <v>44</v>
      </c>
      <c r="D50">
        <v>43</v>
      </c>
      <c r="E50">
        <v>7987.6</v>
      </c>
      <c r="F50">
        <v>102.79999999999973</v>
      </c>
      <c r="G50" t="s">
        <v>28</v>
      </c>
      <c r="H50">
        <v>8425</v>
      </c>
      <c r="I50">
        <v>22.5</v>
      </c>
      <c r="J50" t="s">
        <v>30</v>
      </c>
      <c r="K50">
        <v>-79.27670688444644</v>
      </c>
      <c r="L50">
        <v>2.5825113637717436</v>
      </c>
    </row>
    <row r="51" spans="1:12" x14ac:dyDescent="0.2">
      <c r="A51" t="s">
        <v>25</v>
      </c>
      <c r="B51">
        <v>46</v>
      </c>
      <c r="C51">
        <v>48</v>
      </c>
      <c r="D51">
        <v>47</v>
      </c>
      <c r="E51">
        <v>8175.2</v>
      </c>
      <c r="F51">
        <v>168</v>
      </c>
      <c r="G51" t="s">
        <v>28</v>
      </c>
      <c r="H51">
        <v>9185</v>
      </c>
      <c r="I51">
        <v>25</v>
      </c>
      <c r="J51">
        <v>176718</v>
      </c>
      <c r="K51">
        <v>-143.16750206293406</v>
      </c>
      <c r="L51">
        <v>2.6707555803413641</v>
      </c>
    </row>
    <row r="52" spans="1:12" x14ac:dyDescent="0.2">
      <c r="A52" t="s">
        <v>25</v>
      </c>
      <c r="B52">
        <v>48</v>
      </c>
      <c r="C52">
        <v>50</v>
      </c>
      <c r="D52">
        <v>49</v>
      </c>
      <c r="E52">
        <v>8263.2000000000007</v>
      </c>
      <c r="F52">
        <v>189.44999999999982</v>
      </c>
      <c r="G52" t="s">
        <v>28</v>
      </c>
      <c r="H52">
        <v>8865</v>
      </c>
      <c r="I52">
        <v>35</v>
      </c>
      <c r="J52">
        <v>176280</v>
      </c>
      <c r="K52">
        <v>-98.803920946812667</v>
      </c>
      <c r="L52">
        <v>3.9351023341789215</v>
      </c>
    </row>
    <row r="53" spans="1:12" x14ac:dyDescent="0.2">
      <c r="A53" t="s">
        <v>25</v>
      </c>
      <c r="B53">
        <v>52</v>
      </c>
      <c r="C53">
        <v>55</v>
      </c>
      <c r="D53">
        <v>53.5</v>
      </c>
      <c r="E53">
        <v>8465.7999999999993</v>
      </c>
      <c r="F53">
        <v>200.60000000000036</v>
      </c>
      <c r="G53" t="s">
        <v>28</v>
      </c>
      <c r="H53">
        <v>9075</v>
      </c>
      <c r="I53">
        <v>35</v>
      </c>
      <c r="J53">
        <v>176282</v>
      </c>
      <c r="K53">
        <v>-100.27625114114936</v>
      </c>
      <c r="L53">
        <v>3.9286733559364961</v>
      </c>
    </row>
    <row r="54" spans="1:12" x14ac:dyDescent="0.2">
      <c r="A54" t="s">
        <v>25</v>
      </c>
      <c r="B54">
        <v>57</v>
      </c>
      <c r="C54">
        <v>59</v>
      </c>
      <c r="D54">
        <v>58</v>
      </c>
      <c r="E54">
        <v>8665.5</v>
      </c>
      <c r="F54">
        <v>168.90000000000055</v>
      </c>
      <c r="G54" t="s">
        <v>28</v>
      </c>
      <c r="H54">
        <v>9077.5</v>
      </c>
      <c r="I54">
        <v>30</v>
      </c>
      <c r="J54" t="s">
        <v>31</v>
      </c>
      <c r="K54">
        <v>-78.564446376015454</v>
      </c>
      <c r="L54">
        <v>3.4476221526623618</v>
      </c>
    </row>
    <row r="55" spans="1:12" x14ac:dyDescent="0.2">
      <c r="A55" t="s">
        <v>25</v>
      </c>
      <c r="B55">
        <v>61</v>
      </c>
      <c r="C55">
        <v>63</v>
      </c>
      <c r="D55">
        <v>62</v>
      </c>
      <c r="E55">
        <v>9401.5</v>
      </c>
      <c r="F55">
        <v>173.05000000000018</v>
      </c>
      <c r="G55" t="s">
        <v>28</v>
      </c>
      <c r="H55">
        <v>9370</v>
      </c>
      <c r="I55">
        <v>25</v>
      </c>
      <c r="J55">
        <v>176721</v>
      </c>
      <c r="K55">
        <v>-28.783696415862092</v>
      </c>
      <c r="L55">
        <v>3.027291061859728</v>
      </c>
    </row>
    <row r="56" spans="1:12" x14ac:dyDescent="0.2">
      <c r="A56" t="s">
        <v>25</v>
      </c>
      <c r="B56">
        <v>63</v>
      </c>
      <c r="C56">
        <v>65</v>
      </c>
      <c r="D56">
        <v>64</v>
      </c>
      <c r="E56">
        <v>12405</v>
      </c>
      <c r="F56">
        <v>238.25</v>
      </c>
      <c r="G56" t="s">
        <v>28</v>
      </c>
      <c r="H56">
        <v>14105</v>
      </c>
      <c r="I56">
        <v>47.5</v>
      </c>
      <c r="J56" t="s">
        <v>32</v>
      </c>
      <c r="K56">
        <v>-225.34511145875825</v>
      </c>
      <c r="L56">
        <v>4.5941879294514365</v>
      </c>
    </row>
    <row r="57" spans="1:12" x14ac:dyDescent="0.2">
      <c r="A57" t="s">
        <v>25</v>
      </c>
      <c r="B57">
        <v>66</v>
      </c>
      <c r="C57">
        <v>67</v>
      </c>
      <c r="D57">
        <v>66.5</v>
      </c>
      <c r="E57">
        <v>12997.5</v>
      </c>
      <c r="F57">
        <v>245.75</v>
      </c>
      <c r="G57" t="s">
        <v>28</v>
      </c>
      <c r="H57">
        <v>15210</v>
      </c>
      <c r="I57">
        <v>45</v>
      </c>
      <c r="J57">
        <v>178178</v>
      </c>
      <c r="K57">
        <v>-274.73975633691816</v>
      </c>
      <c r="L57">
        <v>4.0742307442892525</v>
      </c>
    </row>
    <row r="58" spans="1:12" x14ac:dyDescent="0.2">
      <c r="A58" t="s">
        <v>25</v>
      </c>
      <c r="B58">
        <v>67</v>
      </c>
      <c r="C58">
        <v>69</v>
      </c>
      <c r="D58">
        <v>68</v>
      </c>
      <c r="E58">
        <v>13234.5</v>
      </c>
      <c r="F58">
        <v>460.5</v>
      </c>
      <c r="G58" t="s">
        <v>28</v>
      </c>
      <c r="H58">
        <v>14360</v>
      </c>
      <c r="I58">
        <v>150</v>
      </c>
      <c r="J58">
        <v>178180</v>
      </c>
      <c r="K58">
        <v>-170.34308051667836</v>
      </c>
      <c r="L58">
        <v>15.637708961051999</v>
      </c>
    </row>
    <row r="59" spans="1:12" x14ac:dyDescent="0.2">
      <c r="A59" t="s">
        <v>25</v>
      </c>
      <c r="B59">
        <v>69</v>
      </c>
      <c r="C59">
        <v>70.5</v>
      </c>
      <c r="D59">
        <v>69.75</v>
      </c>
      <c r="E59">
        <v>13690.9</v>
      </c>
      <c r="F59">
        <v>297.83163265306121</v>
      </c>
      <c r="G59" t="s">
        <v>28</v>
      </c>
      <c r="H59">
        <v>14870</v>
      </c>
      <c r="I59">
        <v>170</v>
      </c>
      <c r="J59">
        <v>178182</v>
      </c>
      <c r="K59">
        <v>-177.18482141199087</v>
      </c>
      <c r="L59">
        <v>17.598553631791617</v>
      </c>
    </row>
    <row r="60" spans="1:12" x14ac:dyDescent="0.2">
      <c r="A60" t="s">
        <v>25</v>
      </c>
      <c r="B60">
        <v>70.5</v>
      </c>
      <c r="C60">
        <v>71.5</v>
      </c>
      <c r="D60">
        <v>71</v>
      </c>
      <c r="E60">
        <v>13791.5</v>
      </c>
      <c r="F60">
        <v>325.20408163265336</v>
      </c>
      <c r="G60" t="s">
        <v>28</v>
      </c>
      <c r="H60">
        <v>15705</v>
      </c>
      <c r="I60">
        <v>35</v>
      </c>
      <c r="J60">
        <v>203475</v>
      </c>
      <c r="K60">
        <v>-249.33892816422011</v>
      </c>
      <c r="L60">
        <v>3.2777862716201298</v>
      </c>
    </row>
    <row r="61" spans="1:12" x14ac:dyDescent="0.2">
      <c r="A61" t="s">
        <v>25</v>
      </c>
      <c r="B61">
        <v>71.5</v>
      </c>
      <c r="C61">
        <v>72.5</v>
      </c>
      <c r="D61">
        <v>72</v>
      </c>
      <c r="E61">
        <v>14001.9</v>
      </c>
      <c r="F61">
        <v>344.61734693877543</v>
      </c>
      <c r="G61" t="s">
        <v>28</v>
      </c>
      <c r="H61">
        <v>16075</v>
      </c>
      <c r="I61">
        <v>40</v>
      </c>
      <c r="J61">
        <v>203477</v>
      </c>
      <c r="K61">
        <v>-264.65128300223319</v>
      </c>
      <c r="L61">
        <v>3.6707709661488934</v>
      </c>
    </row>
    <row r="62" spans="1:12" x14ac:dyDescent="0.2">
      <c r="A62" t="s">
        <v>25</v>
      </c>
      <c r="B62">
        <v>72</v>
      </c>
      <c r="C62">
        <v>73</v>
      </c>
      <c r="D62">
        <v>72.5</v>
      </c>
      <c r="E62">
        <v>14108.9</v>
      </c>
      <c r="F62">
        <v>350.73979591836724</v>
      </c>
      <c r="G62" t="s">
        <v>28</v>
      </c>
      <c r="H62">
        <v>16575</v>
      </c>
      <c r="I62">
        <v>45</v>
      </c>
      <c r="J62">
        <v>203479</v>
      </c>
      <c r="K62">
        <v>-300.02500604948534</v>
      </c>
      <c r="L62">
        <v>3.9321880187210922</v>
      </c>
    </row>
    <row r="63" spans="1:12" x14ac:dyDescent="0.2">
      <c r="A63" t="s">
        <v>25</v>
      </c>
      <c r="B63">
        <v>73</v>
      </c>
      <c r="C63">
        <v>74</v>
      </c>
      <c r="D63">
        <v>73.5</v>
      </c>
      <c r="E63">
        <v>14314.9</v>
      </c>
      <c r="F63">
        <v>368.41836734693851</v>
      </c>
      <c r="G63" t="s">
        <v>28</v>
      </c>
      <c r="H63">
        <v>16830</v>
      </c>
      <c r="I63">
        <v>50</v>
      </c>
      <c r="J63">
        <v>203481</v>
      </c>
      <c r="K63">
        <v>-304.78656038682306</v>
      </c>
      <c r="L63">
        <v>4.340729196463883</v>
      </c>
    </row>
    <row r="64" spans="1:12" x14ac:dyDescent="0.2">
      <c r="A64" t="s">
        <v>25</v>
      </c>
      <c r="B64">
        <v>74</v>
      </c>
      <c r="C64">
        <v>76</v>
      </c>
      <c r="D64">
        <v>75</v>
      </c>
      <c r="E64">
        <v>14629.5</v>
      </c>
      <c r="F64">
        <v>399.20918367346928</v>
      </c>
      <c r="G64" t="s">
        <v>28</v>
      </c>
      <c r="H64">
        <v>17740</v>
      </c>
      <c r="I64">
        <v>60</v>
      </c>
      <c r="J64">
        <v>181566</v>
      </c>
      <c r="K64">
        <v>-355.16716408061842</v>
      </c>
      <c r="L64">
        <v>4.8344107971606149</v>
      </c>
    </row>
    <row r="65" spans="1:12" x14ac:dyDescent="0.2">
      <c r="A65" t="s">
        <v>25</v>
      </c>
      <c r="B65">
        <v>77</v>
      </c>
      <c r="C65">
        <v>79</v>
      </c>
      <c r="D65">
        <v>78</v>
      </c>
      <c r="E65">
        <v>15258.4</v>
      </c>
      <c r="F65">
        <v>424.03061224489818</v>
      </c>
      <c r="G65" t="s">
        <v>28</v>
      </c>
      <c r="H65">
        <v>17640</v>
      </c>
      <c r="I65">
        <v>60</v>
      </c>
      <c r="J65">
        <v>175790</v>
      </c>
      <c r="K65">
        <v>-295.48240313657135</v>
      </c>
      <c r="L65">
        <v>5.2818766156813126</v>
      </c>
    </row>
    <row r="66" spans="1:12" x14ac:dyDescent="0.2">
      <c r="A66" t="s">
        <v>25</v>
      </c>
      <c r="B66">
        <v>79</v>
      </c>
      <c r="C66">
        <v>81</v>
      </c>
      <c r="D66">
        <v>80</v>
      </c>
      <c r="E66">
        <v>15687.2</v>
      </c>
      <c r="F66">
        <v>433.13775510204073</v>
      </c>
      <c r="G66" t="s">
        <v>28</v>
      </c>
      <c r="H66">
        <v>15720</v>
      </c>
      <c r="I66">
        <v>150</v>
      </c>
      <c r="J66">
        <v>178188</v>
      </c>
      <c r="K66">
        <v>-57.631627202143321</v>
      </c>
      <c r="L66">
        <v>17.762139990456063</v>
      </c>
    </row>
    <row r="67" spans="1:12" x14ac:dyDescent="0.2">
      <c r="A67" t="s">
        <v>25</v>
      </c>
      <c r="B67">
        <v>82</v>
      </c>
      <c r="C67">
        <v>84</v>
      </c>
      <c r="D67">
        <v>83</v>
      </c>
      <c r="E67">
        <v>16311.5</v>
      </c>
      <c r="F67">
        <v>421.07142857142867</v>
      </c>
      <c r="G67" t="s">
        <v>28</v>
      </c>
      <c r="H67">
        <v>17620</v>
      </c>
      <c r="I67">
        <v>70</v>
      </c>
      <c r="J67">
        <v>178777</v>
      </c>
      <c r="K67">
        <v>-197.77506895316444</v>
      </c>
      <c r="L67">
        <v>7.0211788288664252</v>
      </c>
    </row>
    <row r="68" spans="1:12" x14ac:dyDescent="0.2">
      <c r="A68" t="s">
        <v>25</v>
      </c>
      <c r="B68">
        <v>84.5</v>
      </c>
      <c r="C68">
        <v>85.5</v>
      </c>
      <c r="D68">
        <v>85</v>
      </c>
      <c r="E68">
        <v>16724.2</v>
      </c>
      <c r="F68">
        <v>390.84183673469443</v>
      </c>
      <c r="G68" t="s">
        <v>28</v>
      </c>
      <c r="H68">
        <v>16935</v>
      </c>
      <c r="I68">
        <v>45</v>
      </c>
      <c r="J68">
        <v>181568</v>
      </c>
      <c r="K68">
        <v>-81.645342473001151</v>
      </c>
      <c r="L68">
        <v>5.1589602664005128</v>
      </c>
    </row>
    <row r="69" spans="1:12" x14ac:dyDescent="0.2">
      <c r="A69" t="s">
        <v>25</v>
      </c>
      <c r="B69">
        <v>85.5</v>
      </c>
      <c r="C69">
        <v>87</v>
      </c>
      <c r="D69">
        <v>86.25</v>
      </c>
      <c r="E69">
        <v>17125.400000000001</v>
      </c>
      <c r="F69">
        <v>356.65816326530671</v>
      </c>
      <c r="G69" t="s">
        <v>28</v>
      </c>
      <c r="H69">
        <v>18300</v>
      </c>
      <c r="I69">
        <v>50</v>
      </c>
      <c r="J69">
        <v>181547</v>
      </c>
      <c r="K69">
        <v>-186.62692498783161</v>
      </c>
      <c r="L69">
        <v>5.0784867684481299</v>
      </c>
    </row>
    <row r="70" spans="1:12" x14ac:dyDescent="0.2">
      <c r="A70" t="s">
        <v>25</v>
      </c>
      <c r="B70">
        <v>87</v>
      </c>
      <c r="C70">
        <v>87.5</v>
      </c>
      <c r="D70">
        <v>87.25</v>
      </c>
      <c r="E70">
        <v>17231.5</v>
      </c>
      <c r="F70">
        <v>324.13265306122503</v>
      </c>
      <c r="G70" t="s">
        <v>28</v>
      </c>
      <c r="H70">
        <v>17495</v>
      </c>
      <c r="I70">
        <v>50</v>
      </c>
      <c r="J70">
        <v>181537</v>
      </c>
      <c r="K70">
        <v>-89.279833670443224</v>
      </c>
      <c r="L70">
        <v>5.6862963092235645</v>
      </c>
    </row>
    <row r="71" spans="1:12" x14ac:dyDescent="0.2">
      <c r="A71" t="s">
        <v>25</v>
      </c>
      <c r="B71">
        <v>87.5</v>
      </c>
      <c r="C71">
        <v>88</v>
      </c>
      <c r="D71">
        <v>87.75</v>
      </c>
      <c r="E71">
        <v>17343.8</v>
      </c>
      <c r="F71">
        <v>313.69897959183692</v>
      </c>
      <c r="G71" t="s">
        <v>28</v>
      </c>
      <c r="H71">
        <v>16755</v>
      </c>
      <c r="I71">
        <v>40</v>
      </c>
      <c r="J71">
        <v>203046</v>
      </c>
      <c r="K71">
        <v>12.259067610130625</v>
      </c>
      <c r="L71">
        <v>5.0530736094491751</v>
      </c>
    </row>
    <row r="72" spans="1:12" x14ac:dyDescent="0.2">
      <c r="A72" t="s">
        <v>25</v>
      </c>
      <c r="B72">
        <v>88</v>
      </c>
      <c r="C72">
        <v>89</v>
      </c>
      <c r="D72">
        <v>88.5</v>
      </c>
      <c r="E72">
        <v>17549.2</v>
      </c>
      <c r="F72">
        <v>292.62755102040779</v>
      </c>
      <c r="G72" t="s">
        <v>28</v>
      </c>
      <c r="H72">
        <v>18430</v>
      </c>
      <c r="I72">
        <v>70</v>
      </c>
      <c r="J72">
        <v>203047</v>
      </c>
      <c r="K72">
        <v>-157.58673366199915</v>
      </c>
      <c r="L72">
        <v>7.3729124611602117</v>
      </c>
    </row>
    <row r="73" spans="1:12" x14ac:dyDescent="0.2">
      <c r="A73" t="s">
        <v>25</v>
      </c>
      <c r="B73">
        <v>89</v>
      </c>
      <c r="C73">
        <v>90</v>
      </c>
      <c r="D73">
        <v>89.5</v>
      </c>
      <c r="E73">
        <v>17922.400000000001</v>
      </c>
      <c r="F73">
        <v>351.50510204081672</v>
      </c>
      <c r="G73" t="s">
        <v>28</v>
      </c>
      <c r="H73">
        <v>15895</v>
      </c>
      <c r="I73">
        <v>40</v>
      </c>
      <c r="J73">
        <v>183755</v>
      </c>
      <c r="K73">
        <v>208.32128828584496</v>
      </c>
      <c r="L73">
        <v>6.031792264393772</v>
      </c>
    </row>
    <row r="74" spans="1:12" x14ac:dyDescent="0.2">
      <c r="A74" t="s">
        <v>25</v>
      </c>
      <c r="B74">
        <v>90</v>
      </c>
      <c r="C74">
        <v>91</v>
      </c>
      <c r="D74">
        <v>90.5</v>
      </c>
      <c r="E74">
        <v>18266.8</v>
      </c>
      <c r="F74">
        <v>396.04591836734693</v>
      </c>
      <c r="G74" t="s">
        <v>28</v>
      </c>
      <c r="H74">
        <v>18390</v>
      </c>
      <c r="I74">
        <v>45</v>
      </c>
      <c r="J74">
        <v>203048</v>
      </c>
      <c r="K74">
        <v>-76.608670583839469</v>
      </c>
      <c r="L74">
        <v>5.1872543355144813</v>
      </c>
    </row>
    <row r="75" spans="1:12" x14ac:dyDescent="0.2">
      <c r="A75" t="s">
        <v>25</v>
      </c>
      <c r="B75">
        <v>90</v>
      </c>
      <c r="C75">
        <v>92</v>
      </c>
      <c r="D75">
        <v>91</v>
      </c>
      <c r="E75">
        <v>18438.3</v>
      </c>
      <c r="F75">
        <v>437.67857142857162</v>
      </c>
      <c r="G75" t="s">
        <v>28</v>
      </c>
      <c r="H75">
        <v>18175</v>
      </c>
      <c r="I75">
        <v>50</v>
      </c>
      <c r="J75">
        <v>196212</v>
      </c>
      <c r="K75">
        <v>-31.679771177379635</v>
      </c>
      <c r="L75">
        <v>6.0459358943285579</v>
      </c>
    </row>
    <row r="76" spans="1:12" x14ac:dyDescent="0.2">
      <c r="A76" t="s">
        <v>25</v>
      </c>
      <c r="B76">
        <v>91</v>
      </c>
      <c r="C76">
        <v>92</v>
      </c>
      <c r="D76">
        <v>91.5</v>
      </c>
      <c r="E76">
        <v>18611.8</v>
      </c>
      <c r="F76">
        <v>427.09183673469408</v>
      </c>
      <c r="G76" t="s">
        <v>28</v>
      </c>
      <c r="H76">
        <v>18940</v>
      </c>
      <c r="I76">
        <v>60</v>
      </c>
      <c r="J76">
        <v>203050</v>
      </c>
      <c r="K76">
        <v>-100.96880176657996</v>
      </c>
      <c r="L76">
        <v>6.7401749563930053</v>
      </c>
    </row>
    <row r="77" spans="1:12" x14ac:dyDescent="0.2">
      <c r="A77" t="s">
        <v>25</v>
      </c>
      <c r="B77">
        <v>92</v>
      </c>
      <c r="C77">
        <v>93</v>
      </c>
      <c r="D77">
        <v>92.5</v>
      </c>
      <c r="E77">
        <v>18977.8</v>
      </c>
      <c r="F77">
        <v>439.61734693877531</v>
      </c>
      <c r="G77" t="s">
        <v>28</v>
      </c>
      <c r="H77">
        <v>17770</v>
      </c>
      <c r="I77">
        <v>45</v>
      </c>
      <c r="J77">
        <v>203051</v>
      </c>
      <c r="K77">
        <v>87.067891187689213</v>
      </c>
      <c r="L77">
        <v>6.1067257747879893</v>
      </c>
    </row>
    <row r="78" spans="1:12" x14ac:dyDescent="0.2">
      <c r="A78" t="s">
        <v>25</v>
      </c>
      <c r="B78">
        <v>92</v>
      </c>
      <c r="C78">
        <v>94</v>
      </c>
      <c r="D78">
        <v>93</v>
      </c>
      <c r="E78">
        <v>19161.2</v>
      </c>
      <c r="F78">
        <v>466.7091836734694</v>
      </c>
      <c r="G78" t="s">
        <v>28</v>
      </c>
      <c r="H78">
        <v>17535</v>
      </c>
      <c r="I78">
        <v>45</v>
      </c>
      <c r="J78">
        <v>181539</v>
      </c>
      <c r="K78">
        <v>144.44863417214205</v>
      </c>
      <c r="L78">
        <v>6.4290685327703443</v>
      </c>
    </row>
    <row r="79" spans="1:12" x14ac:dyDescent="0.2">
      <c r="A79" t="s">
        <v>25</v>
      </c>
      <c r="B79">
        <v>93</v>
      </c>
      <c r="C79">
        <v>94</v>
      </c>
      <c r="D79">
        <v>93.5</v>
      </c>
      <c r="E79">
        <v>19326.3</v>
      </c>
      <c r="F79">
        <v>453.67346938775455</v>
      </c>
      <c r="G79" t="s">
        <v>28</v>
      </c>
      <c r="H79">
        <v>17980</v>
      </c>
      <c r="I79">
        <v>50</v>
      </c>
      <c r="J79">
        <v>203052</v>
      </c>
      <c r="K79">
        <v>104.61566308110947</v>
      </c>
      <c r="L79">
        <v>6.8969286069544609</v>
      </c>
    </row>
    <row r="80" spans="1:12" x14ac:dyDescent="0.2">
      <c r="A80" t="s">
        <v>25</v>
      </c>
      <c r="B80">
        <v>94</v>
      </c>
      <c r="C80">
        <v>95</v>
      </c>
      <c r="D80">
        <v>94.5</v>
      </c>
      <c r="E80">
        <v>19670</v>
      </c>
      <c r="F80">
        <v>460.35714285714249</v>
      </c>
      <c r="G80" t="s">
        <v>28</v>
      </c>
      <c r="H80">
        <v>17330</v>
      </c>
      <c r="I80">
        <v>160</v>
      </c>
      <c r="J80">
        <v>178191</v>
      </c>
      <c r="K80">
        <v>248.55716337957801</v>
      </c>
      <c r="L80">
        <v>25.11787697730017</v>
      </c>
    </row>
    <row r="81" spans="1:12" x14ac:dyDescent="0.2">
      <c r="A81" t="s">
        <v>25</v>
      </c>
      <c r="B81">
        <v>96</v>
      </c>
      <c r="C81">
        <v>97</v>
      </c>
      <c r="D81">
        <v>96.5</v>
      </c>
      <c r="E81">
        <v>21733.8</v>
      </c>
      <c r="F81">
        <v>391.86224489795882</v>
      </c>
      <c r="G81" t="s">
        <v>28</v>
      </c>
      <c r="H81">
        <v>19630</v>
      </c>
      <c r="I81">
        <v>70</v>
      </c>
      <c r="J81">
        <v>181550</v>
      </c>
      <c r="K81">
        <v>203.5949144596978</v>
      </c>
      <c r="L81">
        <v>10.53402207396914</v>
      </c>
    </row>
    <row r="82" spans="1:12" x14ac:dyDescent="0.2">
      <c r="A82" t="s">
        <v>25</v>
      </c>
      <c r="B82">
        <v>97</v>
      </c>
      <c r="C82">
        <v>98</v>
      </c>
      <c r="D82">
        <v>97.5</v>
      </c>
      <c r="E82">
        <v>22709.200000000001</v>
      </c>
      <c r="F82">
        <v>304.15816326530592</v>
      </c>
      <c r="G82" t="s">
        <v>28</v>
      </c>
      <c r="H82">
        <v>20050</v>
      </c>
      <c r="I82">
        <v>130</v>
      </c>
      <c r="J82">
        <v>200179</v>
      </c>
      <c r="K82">
        <v>285.33025264505073</v>
      </c>
      <c r="L82">
        <v>20.97003720192015</v>
      </c>
    </row>
    <row r="83" spans="1:12" x14ac:dyDescent="0.2">
      <c r="A83" t="s">
        <v>25</v>
      </c>
      <c r="B83">
        <v>97</v>
      </c>
      <c r="C83">
        <v>99</v>
      </c>
      <c r="D83">
        <v>98</v>
      </c>
      <c r="E83">
        <v>22809.200000000001</v>
      </c>
      <c r="F83">
        <v>319.7704081632653</v>
      </c>
      <c r="G83" t="s">
        <v>28</v>
      </c>
      <c r="H83">
        <v>20280</v>
      </c>
      <c r="I83">
        <v>310</v>
      </c>
      <c r="J83">
        <v>178193</v>
      </c>
      <c r="K83">
        <v>264.25129370618674</v>
      </c>
      <c r="L83">
        <v>49.742106234440939</v>
      </c>
    </row>
    <row r="84" spans="1:12" x14ac:dyDescent="0.2">
      <c r="A84" t="s">
        <v>25</v>
      </c>
      <c r="B84">
        <v>98</v>
      </c>
      <c r="C84">
        <v>99</v>
      </c>
      <c r="D84">
        <v>98.5</v>
      </c>
      <c r="E84">
        <v>22898.9</v>
      </c>
      <c r="F84">
        <v>302.52551020408106</v>
      </c>
      <c r="G84" t="s">
        <v>28</v>
      </c>
      <c r="H84">
        <v>19820</v>
      </c>
      <c r="I84">
        <v>80</v>
      </c>
      <c r="J84">
        <v>200182</v>
      </c>
      <c r="K84">
        <v>353.36521167451917</v>
      </c>
      <c r="L84">
        <v>13.545391920305235</v>
      </c>
    </row>
    <row r="85" spans="1:12" x14ac:dyDescent="0.2">
      <c r="A85" t="s">
        <v>25</v>
      </c>
      <c r="B85">
        <v>99</v>
      </c>
      <c r="C85">
        <v>100</v>
      </c>
      <c r="D85">
        <v>99.5</v>
      </c>
      <c r="E85">
        <v>23072.9</v>
      </c>
      <c r="F85">
        <v>298.57142857142895</v>
      </c>
      <c r="G85" t="s">
        <v>28</v>
      </c>
      <c r="H85">
        <v>20560</v>
      </c>
      <c r="I85">
        <v>90</v>
      </c>
      <c r="J85">
        <v>200526</v>
      </c>
      <c r="K85">
        <v>260.51677216455226</v>
      </c>
      <c r="L85">
        <v>14.201967467318809</v>
      </c>
    </row>
    <row r="86" spans="1:12" x14ac:dyDescent="0.2">
      <c r="A86" t="s">
        <v>25</v>
      </c>
      <c r="B86">
        <v>100</v>
      </c>
      <c r="C86">
        <v>101</v>
      </c>
      <c r="D86">
        <v>100.5</v>
      </c>
      <c r="E86">
        <v>23256</v>
      </c>
      <c r="F86">
        <v>278.34183673469443</v>
      </c>
      <c r="G86" t="s">
        <v>28</v>
      </c>
      <c r="H86">
        <v>20510</v>
      </c>
      <c r="I86">
        <v>120</v>
      </c>
      <c r="J86">
        <v>200528</v>
      </c>
      <c r="K86">
        <v>296.79313633078743</v>
      </c>
      <c r="L86">
        <v>19.517403836290612</v>
      </c>
    </row>
    <row r="87" spans="1:12" x14ac:dyDescent="0.2">
      <c r="A87" t="s">
        <v>25</v>
      </c>
      <c r="B87">
        <v>101</v>
      </c>
      <c r="C87">
        <v>102</v>
      </c>
      <c r="D87">
        <v>101.5</v>
      </c>
      <c r="E87">
        <v>23438.1</v>
      </c>
      <c r="F87">
        <v>255.20408163265344</v>
      </c>
      <c r="G87" t="s">
        <v>28</v>
      </c>
      <c r="H87">
        <v>20600</v>
      </c>
      <c r="I87">
        <v>70</v>
      </c>
      <c r="J87">
        <v>181553</v>
      </c>
      <c r="K87">
        <v>310.90527985405726</v>
      </c>
      <c r="L87">
        <v>11.473216602169828</v>
      </c>
    </row>
    <row r="88" spans="1:12" x14ac:dyDescent="0.2">
      <c r="A88" t="s">
        <v>25</v>
      </c>
      <c r="B88">
        <v>102</v>
      </c>
      <c r="C88">
        <v>104</v>
      </c>
      <c r="D88">
        <v>103</v>
      </c>
      <c r="E88">
        <v>23701.1</v>
      </c>
      <c r="F88">
        <v>229.84693877551021</v>
      </c>
      <c r="G88" t="s">
        <v>28</v>
      </c>
      <c r="H88">
        <v>21030</v>
      </c>
      <c r="I88">
        <v>70</v>
      </c>
      <c r="J88">
        <v>176727</v>
      </c>
      <c r="K88">
        <v>282.74458973638718</v>
      </c>
      <c r="L88">
        <v>11.226750513160198</v>
      </c>
    </row>
    <row r="89" spans="1:12" x14ac:dyDescent="0.2">
      <c r="A89" t="s">
        <v>25</v>
      </c>
      <c r="B89">
        <v>104</v>
      </c>
      <c r="C89">
        <v>106</v>
      </c>
      <c r="D89">
        <v>105</v>
      </c>
      <c r="E89">
        <v>24297.8</v>
      </c>
      <c r="F89">
        <v>296.37755102040796</v>
      </c>
      <c r="G89" t="s">
        <v>28</v>
      </c>
      <c r="H89">
        <v>22100</v>
      </c>
      <c r="I89">
        <v>190</v>
      </c>
      <c r="J89">
        <v>176292</v>
      </c>
      <c r="K89">
        <v>206.80936271485484</v>
      </c>
      <c r="L89">
        <v>28.884222973755357</v>
      </c>
    </row>
    <row r="90" spans="1:12" x14ac:dyDescent="0.2">
      <c r="A90" t="s">
        <v>25</v>
      </c>
      <c r="B90">
        <v>111</v>
      </c>
      <c r="C90">
        <v>112</v>
      </c>
      <c r="D90">
        <v>111.5</v>
      </c>
      <c r="E90">
        <v>26231.1</v>
      </c>
      <c r="F90">
        <v>380.71428571428612</v>
      </c>
      <c r="G90" t="s">
        <v>28</v>
      </c>
      <c r="H90">
        <v>22740</v>
      </c>
      <c r="I90">
        <v>100</v>
      </c>
      <c r="J90">
        <v>176733</v>
      </c>
      <c r="K90">
        <v>407.99419753601086</v>
      </c>
      <c r="L90">
        <v>17.637177765207582</v>
      </c>
    </row>
    <row r="91" spans="1:12" x14ac:dyDescent="0.2">
      <c r="A91" t="s">
        <v>25</v>
      </c>
      <c r="B91">
        <v>116</v>
      </c>
      <c r="C91">
        <v>118</v>
      </c>
      <c r="D91">
        <v>117</v>
      </c>
      <c r="E91">
        <v>28090</v>
      </c>
      <c r="F91">
        <v>650.15306122448942</v>
      </c>
      <c r="G91" t="s">
        <v>28</v>
      </c>
      <c r="H91">
        <v>26820</v>
      </c>
      <c r="I91">
        <v>330</v>
      </c>
      <c r="J91">
        <v>176295</v>
      </c>
      <c r="K91">
        <v>60.901600359566153</v>
      </c>
      <c r="L91">
        <v>44.48999345737392</v>
      </c>
    </row>
    <row r="92" spans="1:12" x14ac:dyDescent="0.2">
      <c r="A92" t="s">
        <v>25</v>
      </c>
      <c r="B92">
        <v>119</v>
      </c>
      <c r="C92">
        <v>120</v>
      </c>
      <c r="D92">
        <v>119.5</v>
      </c>
      <c r="E92">
        <v>28982</v>
      </c>
      <c r="F92">
        <v>767.32142857142901</v>
      </c>
      <c r="G92" t="s">
        <v>28</v>
      </c>
      <c r="H92">
        <v>27870</v>
      </c>
      <c r="I92">
        <v>300</v>
      </c>
      <c r="J92">
        <v>177323</v>
      </c>
      <c r="K92">
        <v>36.974325127039577</v>
      </c>
      <c r="L92">
        <v>39.459020364256418</v>
      </c>
    </row>
    <row r="93" spans="1:12" x14ac:dyDescent="0.2">
      <c r="A93" t="s">
        <v>25</v>
      </c>
      <c r="B93">
        <v>122</v>
      </c>
      <c r="C93">
        <v>124</v>
      </c>
      <c r="D93">
        <v>123</v>
      </c>
      <c r="E93">
        <v>30259.7</v>
      </c>
      <c r="F93">
        <v>972.47448979591798</v>
      </c>
      <c r="G93" t="s">
        <v>28</v>
      </c>
      <c r="H93">
        <v>28945</v>
      </c>
      <c r="I93">
        <v>210</v>
      </c>
      <c r="J93" t="s">
        <v>33</v>
      </c>
      <c r="K93">
        <v>58.696507793048134</v>
      </c>
      <c r="L93">
        <v>28.041553747751188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95CA-76C7-3346-9644-A47DD52374F7}">
  <dimension ref="A1:AJ44"/>
  <sheetViews>
    <sheetView tabSelected="1" zoomScaleNormal="100" workbookViewId="0">
      <selection activeCell="J21" sqref="J21"/>
    </sheetView>
  </sheetViews>
  <sheetFormatPr baseColWidth="10" defaultRowHeight="16" x14ac:dyDescent="0.2"/>
  <cols>
    <col min="5" max="5" width="8" bestFit="1" customWidth="1"/>
    <col min="6" max="6" width="11.83203125" bestFit="1" customWidth="1"/>
    <col min="7" max="8" width="11.83203125" customWidth="1"/>
    <col min="17" max="18" width="12.6640625" bestFit="1" customWidth="1"/>
    <col min="19" max="19" width="12.6640625" style="35" customWidth="1"/>
    <col min="21" max="21" width="20.83203125" bestFit="1" customWidth="1"/>
    <col min="22" max="24" width="20.83203125" customWidth="1"/>
    <col min="25" max="25" width="20.83203125" style="35" customWidth="1"/>
    <col min="26" max="27" width="20.83203125" customWidth="1"/>
  </cols>
  <sheetData>
    <row r="1" spans="1:36" x14ac:dyDescent="0.2">
      <c r="A1" t="s">
        <v>56</v>
      </c>
      <c r="B1" t="s">
        <v>57</v>
      </c>
      <c r="C1" t="s">
        <v>58</v>
      </c>
      <c r="D1" t="s">
        <v>59</v>
      </c>
      <c r="E1" t="s">
        <v>62</v>
      </c>
      <c r="F1" t="s">
        <v>65</v>
      </c>
      <c r="G1" t="s">
        <v>63</v>
      </c>
      <c r="H1" t="s">
        <v>64</v>
      </c>
      <c r="I1" t="s">
        <v>60</v>
      </c>
      <c r="J1" t="s">
        <v>61</v>
      </c>
    </row>
    <row r="2" spans="1:36" x14ac:dyDescent="0.2">
      <c r="E2">
        <v>39.61</v>
      </c>
      <c r="F2">
        <v>4.2</v>
      </c>
      <c r="I2">
        <v>1.0271999999999999</v>
      </c>
      <c r="J2">
        <v>27.2</v>
      </c>
    </row>
    <row r="5" spans="1:36" x14ac:dyDescent="0.2">
      <c r="I5" s="3" t="s">
        <v>26</v>
      </c>
      <c r="AD5" s="2" t="s">
        <v>9</v>
      </c>
    </row>
    <row r="6" spans="1:36" x14ac:dyDescent="0.2">
      <c r="A6" t="s">
        <v>0</v>
      </c>
      <c r="B6" t="s">
        <v>1</v>
      </c>
      <c r="D6" t="s">
        <v>2</v>
      </c>
      <c r="E6" t="s">
        <v>3</v>
      </c>
      <c r="F6" t="s">
        <v>5</v>
      </c>
      <c r="G6" t="s">
        <v>19</v>
      </c>
      <c r="H6" t="s">
        <v>20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66</v>
      </c>
      <c r="O6" t="s">
        <v>76</v>
      </c>
      <c r="P6" t="s">
        <v>81</v>
      </c>
      <c r="Q6" t="s">
        <v>82</v>
      </c>
      <c r="R6" t="s">
        <v>83</v>
      </c>
      <c r="S6" s="35" t="s">
        <v>55</v>
      </c>
      <c r="T6" s="32" t="s">
        <v>84</v>
      </c>
      <c r="U6" t="s">
        <v>34</v>
      </c>
      <c r="V6" t="s">
        <v>51</v>
      </c>
      <c r="W6" t="s">
        <v>50</v>
      </c>
      <c r="X6" t="s">
        <v>52</v>
      </c>
      <c r="Y6" s="35" t="s">
        <v>53</v>
      </c>
      <c r="Z6" s="2" t="s">
        <v>54</v>
      </c>
      <c r="AD6" t="s">
        <v>0</v>
      </c>
      <c r="AE6" t="s">
        <v>1</v>
      </c>
      <c r="AF6" t="s">
        <v>2</v>
      </c>
      <c r="AG6" t="s">
        <v>4</v>
      </c>
      <c r="AH6" t="s">
        <v>5</v>
      </c>
      <c r="AI6" t="s">
        <v>7</v>
      </c>
      <c r="AJ6" t="s">
        <v>8</v>
      </c>
    </row>
    <row r="7" spans="1:36" x14ac:dyDescent="0.2">
      <c r="A7">
        <v>20221219</v>
      </c>
      <c r="B7">
        <v>63</v>
      </c>
      <c r="D7" s="1">
        <v>15.819844255010151</v>
      </c>
      <c r="F7" s="1">
        <v>0.14000000000000001</v>
      </c>
      <c r="G7" s="4">
        <f>VLOOKUP(B7,'14C'!B$3:L$47,4,0)</f>
        <v>11738.5</v>
      </c>
      <c r="H7" s="4">
        <f>VLOOKUP(B7,'14C'!B$3:L$47,5)</f>
        <v>586.22448979591843</v>
      </c>
      <c r="I7">
        <f>VLOOKUP(B7,'14C'!B$3:L$47,7,0)</f>
        <v>15620</v>
      </c>
      <c r="J7">
        <f>VLOOKUP(B7,'14C'!B$3:L$47,8,0)</f>
        <v>100</v>
      </c>
      <c r="K7">
        <f>VLOOKUP(B7,'14C'!B$3:L$47,9,0)</f>
        <v>162173</v>
      </c>
      <c r="L7" s="4">
        <f>VLOOKUP(B7,'14C'!B$3:L$47,10,0)</f>
        <v>-408.18218728758683</v>
      </c>
      <c r="M7" s="4">
        <f>VLOOKUP(B7,'14C'!B$3:L$47,11,0)*1</f>
        <v>7.4133799597267966</v>
      </c>
      <c r="N7" s="1">
        <f>VLOOKUP(MROUND(G7,200),MOT!B$3:C$1502,2)*1</f>
        <v>-8.8108000000000006E-2</v>
      </c>
      <c r="O7" s="18">
        <f>pKB!G67</f>
        <v>8.6003596827990041</v>
      </c>
      <c r="P7" s="15">
        <f>(pKB!G$32-d11B!O7)</f>
        <v>3.5334199047655446E-2</v>
      </c>
      <c r="Q7" s="18">
        <f>((D$16-D7)/(E$2-(I$2*D7)-J$2))</f>
        <v>6.6837333776427381E-3</v>
      </c>
      <c r="R7" s="21">
        <f>(((I$2-1)*E$2-J$2)/(D$16-E$2))</f>
        <v>1.0968593791408214</v>
      </c>
      <c r="S7" s="37">
        <f>P7-LOG(1+(Q7*R7))</f>
        <v>3.2161949884521916E-2</v>
      </c>
      <c r="T7" s="33">
        <f>P7-LOG((1+((D7-D$16)/(E$2-(I$2*d11B!D7)-J$2))*(((I$2-1)*(E$2-J$2))/d11B!D16-E$2)))</f>
        <v>-6.6618921707003759E-2</v>
      </c>
      <c r="V7" s="6">
        <f>MROUND(G7,10)</f>
        <v>11740</v>
      </c>
      <c r="W7">
        <f>VLOOKUP(V7,'co2'!A$7:E$9999,4,0)</f>
        <v>176.7</v>
      </c>
      <c r="X7">
        <f>VLOOKUP(V7,'co2'!A$7:E$9999,5,0)</f>
        <v>3.3</v>
      </c>
      <c r="Y7" s="9">
        <f>W7-L7</f>
        <v>584.88218728758682</v>
      </c>
      <c r="Z7" s="5">
        <f>(M7^2+X7^2)^0.5</f>
        <v>8.1146905318242961</v>
      </c>
      <c r="AD7">
        <v>20180709</v>
      </c>
      <c r="AE7">
        <v>72</v>
      </c>
      <c r="AF7" s="1">
        <v>17.787442902035636</v>
      </c>
      <c r="AG7" s="1">
        <v>16.993656130148175</v>
      </c>
      <c r="AH7" s="1">
        <v>0.29136339999999999</v>
      </c>
      <c r="AI7" s="1">
        <v>3.5794618142741994</v>
      </c>
      <c r="AJ7" s="1">
        <v>4.2953541771290391E-2</v>
      </c>
    </row>
    <row r="8" spans="1:36" x14ac:dyDescent="0.2">
      <c r="A8">
        <v>20221219</v>
      </c>
      <c r="B8">
        <v>67</v>
      </c>
      <c r="D8" s="1">
        <v>15.68951153045739</v>
      </c>
      <c r="F8" s="1">
        <v>0.14000000000000001</v>
      </c>
      <c r="G8" s="4">
        <f>VLOOKUP(B8,'14C'!B$3:L$47,4,0)</f>
        <v>13096.2</v>
      </c>
      <c r="H8" s="4">
        <f>VLOOKUP(B8,'14C'!B$3:L$47,5)</f>
        <v>125.7908163265307</v>
      </c>
      <c r="I8">
        <f>VLOOKUP(B8,'14C'!B$3:L$47,7,0)</f>
        <v>16555</v>
      </c>
      <c r="J8">
        <f>VLOOKUP(B8,'14C'!B$3:L$47,8,0)</f>
        <v>45</v>
      </c>
      <c r="K8">
        <f>VLOOKUP(B8,'14C'!B$3:L$47,9,0)</f>
        <v>206073</v>
      </c>
      <c r="L8" s="4">
        <f>VLOOKUP(B8,'14C'!B$3:L$47,10,0)</f>
        <v>-379.18368535142423</v>
      </c>
      <c r="M8" s="4">
        <f>VLOOKUP(B8,'14C'!B$3:L$47,11,0)</f>
        <v>3.4875052614527249</v>
      </c>
      <c r="N8" s="1">
        <f>VLOOKUP(MROUND(G8,200),MOT!B$3:C$1502,2)*1</f>
        <v>-1.2555000000000001</v>
      </c>
      <c r="O8" s="18">
        <f>pKB!G79</f>
        <v>8.6144933624180666</v>
      </c>
      <c r="P8" s="15">
        <f>(pKB!G$32-d11B!O8)</f>
        <v>2.1200519428592912E-2</v>
      </c>
      <c r="Q8" s="18">
        <f>((D$16-D8)/(E$2-(I$2*D8)-J$2))</f>
        <v>-2.8240341871480369E-2</v>
      </c>
      <c r="R8" s="21">
        <f>(((I$2-1)*E$2-J$2)/(D$16-E$2))</f>
        <v>1.0968593791408214</v>
      </c>
      <c r="S8" s="37">
        <f t="shared" ref="S8:S28" si="0">P8-LOG(1+(Q8*R8))</f>
        <v>3.4865844300993647E-2</v>
      </c>
      <c r="T8" s="33" t="e">
        <f>P8-LOG((1+((D8-D$16)/(E$2-(I$2*d11B!D8)-J$2))*(((I$2-1)*(E$2-J$2))/d11B!D17-E$2)))</f>
        <v>#NUM!</v>
      </c>
      <c r="V8" s="6">
        <f>MROUND(G8,10)</f>
        <v>13100</v>
      </c>
      <c r="W8">
        <f>VLOOKUP(V8,'co2'!A$7:E$9999,4,0)</f>
        <v>211.2</v>
      </c>
      <c r="X8">
        <f>VLOOKUP(V8,'co2'!A$7:E$9999,5,0)</f>
        <v>4.5</v>
      </c>
      <c r="Y8" s="9">
        <f>W8-L8</f>
        <v>590.38368535142422</v>
      </c>
      <c r="Z8" s="5">
        <f>(M8^2+X8^2)^0.5</f>
        <v>5.6932146410143751</v>
      </c>
      <c r="AD8">
        <v>20180709</v>
      </c>
      <c r="AE8">
        <v>73</v>
      </c>
      <c r="AF8" s="1">
        <v>18.220424467840186</v>
      </c>
      <c r="AG8" s="1">
        <v>15.92741909525752</v>
      </c>
      <c r="AH8" s="1">
        <v>0.32039020000000001</v>
      </c>
      <c r="AI8" s="1">
        <v>3.9342705565384049</v>
      </c>
      <c r="AJ8" s="1">
        <v>4.7211246678460862E-2</v>
      </c>
    </row>
    <row r="9" spans="1:36" x14ac:dyDescent="0.2">
      <c r="A9">
        <v>20221219</v>
      </c>
      <c r="B9">
        <v>67</v>
      </c>
      <c r="D9" s="1">
        <v>15.7873915562663</v>
      </c>
      <c r="F9" s="1">
        <v>0.14000000000000001</v>
      </c>
      <c r="G9" s="4">
        <f>VLOOKUP(B9,'14C'!B$3:L$47,4,0)</f>
        <v>13096.2</v>
      </c>
      <c r="H9" s="4">
        <f>VLOOKUP(B9,'14C'!B$3:L$47,5)</f>
        <v>125.7908163265307</v>
      </c>
      <c r="I9">
        <f>VLOOKUP(B9,'14C'!B$3:L$47,7,0)</f>
        <v>16555</v>
      </c>
      <c r="J9">
        <f>VLOOKUP(B9,'14C'!B$3:L$47,8,0)</f>
        <v>45</v>
      </c>
      <c r="K9">
        <f>VLOOKUP(B9,'14C'!B$3:L$47,9,0)</f>
        <v>206073</v>
      </c>
      <c r="L9" s="4">
        <f>VLOOKUP(B9,'14C'!B$3:L$47,10,0)</f>
        <v>-379.18368535142423</v>
      </c>
      <c r="M9" s="4">
        <f>VLOOKUP(B9,'14C'!B$3:L$47,11,0)</f>
        <v>3.4875052614527249</v>
      </c>
      <c r="N9" s="1">
        <f>VLOOKUP(MROUND(G9,200),MOT!B$3:C$1502,2)*1</f>
        <v>-1.2555000000000001</v>
      </c>
      <c r="O9" s="18">
        <f>O8</f>
        <v>8.6144933624180666</v>
      </c>
      <c r="P9" s="15">
        <f>(pKB!G$32-d11B!O9)</f>
        <v>2.1200519428592912E-2</v>
      </c>
      <c r="Q9" s="18">
        <f>((D$16-D9)/(E$2-(I$2*D9)-J$2))</f>
        <v>-1.7826480635357125E-3</v>
      </c>
      <c r="R9" s="21">
        <f>(((I$2-1)*E$2-J$2)/(D$16-E$2))</f>
        <v>1.0968593791408214</v>
      </c>
      <c r="S9" s="37">
        <f t="shared" si="0"/>
        <v>2.2050532909790085E-2</v>
      </c>
      <c r="T9" s="33">
        <f>P9-LOG((1+((D9-D$16)/(E$2-(I$2*d11B!D9)-J$2))*(((I$2-1)*(E$2-J$2))/d11B!D18-E$2)))</f>
        <v>5.2984256747984966E-2</v>
      </c>
      <c r="V9" s="6">
        <f>MROUND(G9,10)</f>
        <v>13100</v>
      </c>
      <c r="W9">
        <f>VLOOKUP(V9,'co2'!A$7:E$9999,4,0)</f>
        <v>211.2</v>
      </c>
      <c r="X9">
        <f>VLOOKUP(V9,'co2'!A$7:E$9999,5,0)</f>
        <v>4.5</v>
      </c>
      <c r="Y9" s="9">
        <f>W9-L9</f>
        <v>590.38368535142422</v>
      </c>
      <c r="Z9" s="5">
        <f>(M9^2+X9^2)^0.5</f>
        <v>5.6932146410143751</v>
      </c>
      <c r="AD9">
        <v>20180709</v>
      </c>
      <c r="AE9">
        <v>79</v>
      </c>
      <c r="AF9" s="1">
        <v>17.89718662591692</v>
      </c>
      <c r="AG9" s="1">
        <v>12.407348136991796</v>
      </c>
      <c r="AH9" s="1">
        <v>0.41477429999999998</v>
      </c>
      <c r="AI9" s="1">
        <v>3.5986162428403463</v>
      </c>
      <c r="AJ9" s="1">
        <v>4.3183394914084156E-2</v>
      </c>
    </row>
    <row r="10" spans="1:36" x14ac:dyDescent="0.2">
      <c r="A10">
        <v>20180711</v>
      </c>
      <c r="B10">
        <v>69</v>
      </c>
      <c r="D10" s="1">
        <v>15.778169451509855</v>
      </c>
      <c r="F10" s="1">
        <v>0.26329849999999999</v>
      </c>
      <c r="G10" s="4">
        <f>VLOOKUP(B10,'14C'!B$3:L$47,4,0)</f>
        <v>13690.9</v>
      </c>
      <c r="H10" s="4">
        <f>VLOOKUP(B10,'14C'!B$3:L$47,5)</f>
        <v>297.83163265306121</v>
      </c>
      <c r="I10">
        <f>VLOOKUP(B10,'14C'!B$3:L$47,7,0)</f>
        <v>15120</v>
      </c>
      <c r="J10">
        <f>VLOOKUP(B10,'14C'!B$3:L$47,8,0)</f>
        <v>90</v>
      </c>
      <c r="K10">
        <f>VLOOKUP(B10,'14C'!B$3:L$47,9,0)</f>
        <v>175820</v>
      </c>
      <c r="L10" s="4">
        <f>VLOOKUP(B10,'14C'!B$3:L$47,10,0)</f>
        <v>-202.39779611734477</v>
      </c>
      <c r="M10" s="4">
        <f>VLOOKUP(B10,'14C'!B$3:L$47,11,0)</f>
        <v>8.9864100197191306</v>
      </c>
      <c r="N10" s="1">
        <f>VLOOKUP(MROUND(G10,200),MOT!B$3:C$1502,2)*1</f>
        <v>-1.2433000000000001</v>
      </c>
      <c r="O10" s="18">
        <f>pKB!G78</f>
        <v>8.6133155557831458</v>
      </c>
      <c r="P10" s="15">
        <f>(pKB!G$32-d11B!O10)</f>
        <v>2.2378326063513754E-2</v>
      </c>
      <c r="Q10" s="18">
        <f>((D$16-D10)/(E$2-(I$2*D10)-J$2))</f>
        <v>-4.2156675569613288E-3</v>
      </c>
      <c r="R10" s="21">
        <f>(((I$2-1)*E$2-J$2)/(D$16-E$2))</f>
        <v>1.0968593791408214</v>
      </c>
      <c r="S10" s="37">
        <f t="shared" si="0"/>
        <v>2.4391158616926617E-2</v>
      </c>
      <c r="T10" s="33">
        <f>P10-LOG((1+((D10-D$16)/(E$2-(I$2*d11B!D10)-J$2))*(((I$2-1)*(E$2-J$2))/d11B!D19-E$2)))</f>
        <v>0.10167777623619373</v>
      </c>
      <c r="V10" s="6">
        <f>MROUND(G10,10)</f>
        <v>13690</v>
      </c>
      <c r="W10">
        <f>VLOOKUP(V10,'co2'!A$7:E$9999,4,0)</f>
        <v>200.3</v>
      </c>
      <c r="X10">
        <f>VLOOKUP(V10,'co2'!A$7:E$9999,5,0)</f>
        <v>3.8</v>
      </c>
      <c r="Y10" s="9">
        <f>W10-L10</f>
        <v>402.69779611734475</v>
      </c>
      <c r="Z10" s="5">
        <f>(M10^2+X10^2)^0.5</f>
        <v>9.7568214620596798</v>
      </c>
      <c r="AD10">
        <v>20221219</v>
      </c>
      <c r="AE10">
        <v>87</v>
      </c>
      <c r="AF10" s="1">
        <v>17.975220947452186</v>
      </c>
      <c r="AG10" s="1"/>
      <c r="AH10" s="1">
        <v>0.14000000000000001</v>
      </c>
      <c r="AI10" s="1">
        <v>3.8174977254050253</v>
      </c>
      <c r="AJ10" s="1">
        <v>4.5809972704860306E-2</v>
      </c>
    </row>
    <row r="11" spans="1:36" x14ac:dyDescent="0.2">
      <c r="A11">
        <v>20180711</v>
      </c>
      <c r="B11">
        <v>72</v>
      </c>
      <c r="D11" s="1">
        <v>16.097481573008313</v>
      </c>
      <c r="F11" s="1">
        <v>0.25363960000000002</v>
      </c>
      <c r="G11" s="4">
        <f>VLOOKUP(B11,'14C'!B$3:L$47,4,0)</f>
        <v>14108.9</v>
      </c>
      <c r="H11" s="4">
        <f>VLOOKUP(B11,'14C'!B$3:L$47,5)</f>
        <v>350.73979591836724</v>
      </c>
      <c r="I11">
        <f>VLOOKUP(B11,'14C'!B$3:L$47,7,0)</f>
        <v>17080</v>
      </c>
      <c r="J11">
        <f>VLOOKUP(B11,'14C'!B$3:L$47,8,0)</f>
        <v>330</v>
      </c>
      <c r="K11">
        <f>VLOOKUP(B11,'14C'!B$3:L$47,9,0)</f>
        <v>203478</v>
      </c>
      <c r="L11" s="4">
        <f>VLOOKUP(B11,'14C'!B$3:L$47,10,0)</f>
        <v>-342.67476107918293</v>
      </c>
      <c r="M11" s="4">
        <f>VLOOKUP(B11,'14C'!B$3:L$47,11,0)</f>
        <v>27.56560605530467</v>
      </c>
      <c r="N11" s="1">
        <f>VLOOKUP(MROUND(G11,200),MOT!B$3:C$1502,2)*1</f>
        <v>-1.2533000000000001</v>
      </c>
      <c r="O11" s="18">
        <f>O9</f>
        <v>8.6144933624180666</v>
      </c>
      <c r="P11" s="15">
        <f>(pKB!G$32-d11B!O11)</f>
        <v>2.1200519428592912E-2</v>
      </c>
      <c r="Q11" s="18">
        <f>((D$16-D11)/(E$2-(I$2*D11)-J$2))</f>
        <v>7.3522261469012251E-2</v>
      </c>
      <c r="R11" s="21">
        <f>(((I$2-1)*E$2-J$2)/(D$16-E$2))</f>
        <v>1.0968593791408214</v>
      </c>
      <c r="S11" s="37">
        <f t="shared" si="0"/>
        <v>-1.2481959108599595E-2</v>
      </c>
      <c r="T11" s="33">
        <f>P11-LOG((1+((D11-D$16)/(E$2-(I$2*d11B!D11)-J$2))*(((I$2-1)*(E$2-J$2))/d11B!D20-E$2)))</f>
        <v>-0.57104763258872415</v>
      </c>
      <c r="V11" s="6">
        <f>MROUND(G11,10)</f>
        <v>14110</v>
      </c>
      <c r="W11">
        <f>VLOOKUP(V11,'co2'!A$7:E$9999,4,0)</f>
        <v>200.9</v>
      </c>
      <c r="X11">
        <f>VLOOKUP(V11,'co2'!A$7:E$9999,5,0)</f>
        <v>3.5</v>
      </c>
      <c r="Y11" s="9">
        <f>W11-L11</f>
        <v>543.57476107918296</v>
      </c>
      <c r="Z11" s="5">
        <f>(M11^2+X11^2)^0.5</f>
        <v>27.786914855669917</v>
      </c>
      <c r="AD11">
        <v>20180709</v>
      </c>
      <c r="AE11">
        <v>97</v>
      </c>
      <c r="AF11" s="1"/>
      <c r="AG11" s="1">
        <v>10.493146248916881</v>
      </c>
      <c r="AH11" s="1"/>
      <c r="AI11" s="1">
        <v>3.4606577679174766</v>
      </c>
      <c r="AJ11" s="1">
        <v>4.1527893215009722E-2</v>
      </c>
    </row>
    <row r="12" spans="1:36" x14ac:dyDescent="0.2">
      <c r="A12">
        <v>20180711</v>
      </c>
      <c r="B12">
        <v>73</v>
      </c>
      <c r="D12" s="1">
        <v>15.634219034389661</v>
      </c>
      <c r="F12" s="1">
        <v>0.25708140000000002</v>
      </c>
      <c r="G12" s="4">
        <f>VLOOKUP(B12,'14C'!B$3:L$47,4,0)</f>
        <v>14314.9</v>
      </c>
      <c r="H12" s="4">
        <f>VLOOKUP(B12,'14C'!B$3:L$47,5)</f>
        <v>368.41836734693851</v>
      </c>
      <c r="I12">
        <f>VLOOKUP(B12,'14C'!B$3:L$47,7,0)</f>
        <v>16110</v>
      </c>
      <c r="J12">
        <f>VLOOKUP(B12,'14C'!B$3:L$47,8,0)</f>
        <v>70</v>
      </c>
      <c r="K12">
        <f>VLOOKUP(B12,'14C'!B$3:L$47,9,0)</f>
        <v>203480</v>
      </c>
      <c r="L12" s="4">
        <f>VLOOKUP(B12,'14C'!B$3:L$47,10,0)</f>
        <v>-239.59652475498982</v>
      </c>
      <c r="M12" s="4">
        <f>VLOOKUP(B12,'14C'!B$3:L$47,11,0)</f>
        <v>6.6551519096020684</v>
      </c>
      <c r="N12" s="1">
        <f>VLOOKUP(MROUND(G12,200),MOT!B$3:C$1502,2)*1</f>
        <v>-1.0909</v>
      </c>
      <c r="O12" s="18">
        <f>pKB!G77</f>
        <v>8.6121377491482232</v>
      </c>
      <c r="P12" s="15">
        <f>(pKB!G$32-d11B!O12)</f>
        <v>2.3556132698436372E-2</v>
      </c>
      <c r="Q12" s="18">
        <f>((D$16-D12)/(E$2-(I$2*D12)-J$2))</f>
        <v>-4.3830674311266846E-2</v>
      </c>
      <c r="R12" s="21">
        <f>(((I$2-1)*E$2-J$2)/(D$16-E$2))</f>
        <v>1.0968593791408214</v>
      </c>
      <c r="S12" s="37">
        <f t="shared" si="0"/>
        <v>4.4953895598340267E-2</v>
      </c>
      <c r="T12" s="33" t="e">
        <f>P12-LOG((1+((D12-D$16)/(E$2-(I$2*d11B!D12)-J$2))*(((I$2-1)*(E$2-J$2))/d11B!D21-E$2)))</f>
        <v>#NUM!</v>
      </c>
      <c r="V12" s="6">
        <f>MROUND(G12,10)</f>
        <v>14310</v>
      </c>
      <c r="W12">
        <f>VLOOKUP(V12,'co2'!A$7:E$9999,4,0)</f>
        <v>213.1</v>
      </c>
      <c r="X12">
        <f>VLOOKUP(V12,'co2'!A$7:E$9999,5,0)</f>
        <v>7.5</v>
      </c>
      <c r="Y12" s="9">
        <f>W12-L12</f>
        <v>452.69652475498981</v>
      </c>
      <c r="Z12" s="5">
        <f>(M12^2+X12^2)^0.5</f>
        <v>10.027015854175163</v>
      </c>
      <c r="AD12">
        <v>20180709</v>
      </c>
      <c r="AE12">
        <v>98</v>
      </c>
      <c r="AF12" s="1">
        <v>17.964582474295998</v>
      </c>
      <c r="AG12" s="1">
        <v>12.056272884670827</v>
      </c>
      <c r="AH12" s="1">
        <v>0.32039020000000001</v>
      </c>
      <c r="AI12" s="1">
        <v>3.5787473426631013</v>
      </c>
      <c r="AJ12" s="1">
        <v>4.2944968111957214E-2</v>
      </c>
    </row>
    <row r="13" spans="1:36" x14ac:dyDescent="0.2">
      <c r="A13">
        <v>20221219</v>
      </c>
      <c r="B13">
        <v>75</v>
      </c>
      <c r="D13" s="1">
        <v>15.864672210322839</v>
      </c>
      <c r="F13" s="1">
        <v>0.14000000000000001</v>
      </c>
      <c r="G13" s="4">
        <f>VLOOKUP(B13,'14C'!B$3:L$47,4,0)</f>
        <v>14734.3</v>
      </c>
      <c r="H13" s="4">
        <f>VLOOKUP(B13,'14C'!B$3:L$47,5)</f>
        <v>396.70918367346951</v>
      </c>
      <c r="I13">
        <f>VLOOKUP(B13,'14C'!B$3:L$47,7,0)</f>
        <v>15660</v>
      </c>
      <c r="J13">
        <f>VLOOKUP(B13,'14C'!B$3:L$47,8,0)</f>
        <v>35</v>
      </c>
      <c r="K13">
        <f>VLOOKUP(B13,'14C'!B$3:L$47,9,0)</f>
        <v>204764</v>
      </c>
      <c r="L13" s="4">
        <f>VLOOKUP(B13,'14C'!B$3:L$47,10,0)</f>
        <v>-153.93183625269691</v>
      </c>
      <c r="M13" s="4">
        <f>VLOOKUP(B13,'14C'!B$3:L$47,11,0)</f>
        <v>3.6943844779422363</v>
      </c>
      <c r="N13" s="1">
        <f>VLOOKUP(MROUND(G13,200),MOT!B$3:C$1502,2)*1</f>
        <v>-1.1716</v>
      </c>
      <c r="O13" s="18">
        <f>O10</f>
        <v>8.6133155557831458</v>
      </c>
      <c r="P13" s="15">
        <f>(pKB!G$32-d11B!O13)</f>
        <v>2.2378326063513754E-2</v>
      </c>
      <c r="Q13" s="18">
        <f>((D$16-D13)/(E$2-(I$2*D13)-J$2))</f>
        <v>1.8139728264671164E-2</v>
      </c>
      <c r="R13" s="21">
        <f>(((I$2-1)*E$2-J$2)/(D$16-E$2))</f>
        <v>1.0968593791408214</v>
      </c>
      <c r="S13" s="37">
        <f t="shared" si="0"/>
        <v>1.3822126254215574E-2</v>
      </c>
      <c r="T13" s="33">
        <f>P13-LOG((1+((D13-D$16)/(E$2-(I$2*d11B!D13)-J$2))*(((I$2-1)*(E$2-J$2))/d11B!D22-E$2)))</f>
        <v>-0.21267649881273168</v>
      </c>
      <c r="V13" s="6">
        <f>MROUND(G13,10)</f>
        <v>14730</v>
      </c>
      <c r="W13">
        <f>VLOOKUP(V13,'co2'!A$7:E$9999,4,0)</f>
        <v>270.60000000000002</v>
      </c>
      <c r="X13">
        <f>VLOOKUP(V13,'co2'!A$7:E$9999,5,0)</f>
        <v>7.5</v>
      </c>
      <c r="Y13" s="9">
        <f>W13-L13</f>
        <v>424.53183625269696</v>
      </c>
      <c r="Z13" s="5">
        <f>(M13^2+X13^2)^0.5</f>
        <v>8.3605308845108954</v>
      </c>
      <c r="AD13">
        <v>20180709</v>
      </c>
      <c r="AE13">
        <v>101</v>
      </c>
      <c r="AF13" s="1">
        <v>17.957502986577648</v>
      </c>
      <c r="AG13" s="1">
        <v>10.124645162382333</v>
      </c>
      <c r="AH13" s="1">
        <v>0.38113999999999998</v>
      </c>
      <c r="AI13" s="1">
        <v>3.4667575643843738</v>
      </c>
      <c r="AJ13" s="1">
        <v>4.1601090772612488E-2</v>
      </c>
    </row>
    <row r="14" spans="1:36" x14ac:dyDescent="0.2">
      <c r="A14">
        <v>20180711</v>
      </c>
      <c r="B14">
        <v>77</v>
      </c>
      <c r="D14" s="1">
        <v>15.969414751671279</v>
      </c>
      <c r="F14" s="1">
        <v>0.25384879999999999</v>
      </c>
      <c r="G14" s="4">
        <f>VLOOKUP(B14,'14C'!B$3:L$47,4,0)</f>
        <v>15156.9</v>
      </c>
      <c r="H14" s="4">
        <f>VLOOKUP(B14,'14C'!B$3:L$47,5)</f>
        <v>424.03061224489818</v>
      </c>
      <c r="I14">
        <f>VLOOKUP(B14,'14C'!B$3:L$47,7,0)</f>
        <v>16775</v>
      </c>
      <c r="J14">
        <f>VLOOKUP(B14,'14C'!B$3:L$47,8,0)</f>
        <v>45</v>
      </c>
      <c r="K14">
        <f>VLOOKUP(B14,'14C'!B$3:L$47,9,0)</f>
        <v>203058</v>
      </c>
      <c r="L14" s="4">
        <f>VLOOKUP(B14,'14C'!B$3:L$47,10,0)</f>
        <v>-224.95864073243277</v>
      </c>
      <c r="M14" s="4">
        <f>VLOOKUP(B14,'14C'!B$3:L$47,11,0)</f>
        <v>4.3538817432968813</v>
      </c>
      <c r="N14" s="1">
        <f>VLOOKUP(MROUND(G14,200),MOT!B$3:C$1502,2)*1</f>
        <v>-1.3833</v>
      </c>
      <c r="O14" s="18">
        <f>pKB!G80</f>
        <v>8.6156711690529892</v>
      </c>
      <c r="P14" s="15">
        <f>(pKB!G$32-d11B!O14)</f>
        <v>2.0022712793670294E-2</v>
      </c>
      <c r="Q14" s="18">
        <f>((D$16-D14)/(E$2-(I$2*D14)-J$2))</f>
        <v>4.3877447208665266E-2</v>
      </c>
      <c r="R14" s="21">
        <f>(((I$2-1)*E$2-J$2)/(D$16-E$2))</f>
        <v>1.0968593791408214</v>
      </c>
      <c r="S14" s="37">
        <f t="shared" si="0"/>
        <v>-3.9135725503490482E-4</v>
      </c>
      <c r="T14" s="33">
        <f>P14-LOG((1+((D14-D$16)/(E$2-(I$2*d11B!D14)-J$2))*(((I$2-1)*(E$2-J$2))/d11B!D23-E$2)))</f>
        <v>-0.41726074969823446</v>
      </c>
      <c r="V14" s="6">
        <f>MROUND(G14,10)</f>
        <v>15160</v>
      </c>
      <c r="W14">
        <f>VLOOKUP(V14,'co2'!A$7:E$9999,4,0)</f>
        <v>285.3</v>
      </c>
      <c r="X14">
        <f>VLOOKUP(V14,'co2'!A$7:E$9999,5,0)</f>
        <v>5.9</v>
      </c>
      <c r="Y14" s="9">
        <f>W14-L14</f>
        <v>510.25864073243281</v>
      </c>
      <c r="Z14" s="5">
        <f>(M14^2+X14^2)^0.5</f>
        <v>7.3325497771657773</v>
      </c>
      <c r="AD14">
        <v>20180709</v>
      </c>
      <c r="AE14">
        <v>104</v>
      </c>
      <c r="AF14" s="1">
        <v>17.83871747663849</v>
      </c>
      <c r="AG14" s="1">
        <v>10.951114505874539</v>
      </c>
      <c r="AH14" s="1">
        <v>0.38113999999999998</v>
      </c>
      <c r="AI14" s="1">
        <v>3.1486917860132118</v>
      </c>
      <c r="AJ14" s="1">
        <v>3.7784301432158544E-2</v>
      </c>
    </row>
    <row r="15" spans="1:36" x14ac:dyDescent="0.2">
      <c r="A15">
        <v>20180711</v>
      </c>
      <c r="B15">
        <v>79</v>
      </c>
      <c r="D15" s="1">
        <v>15.768379754937428</v>
      </c>
      <c r="F15" s="1">
        <v>0.25576510000000002</v>
      </c>
      <c r="G15" s="4">
        <f>VLOOKUP(B15,'14C'!B$3:L$47,4,0)</f>
        <v>15687.2</v>
      </c>
      <c r="H15" s="4">
        <f>VLOOKUP(B15,'14C'!B$3:L$47,5)</f>
        <v>433.13775510204073</v>
      </c>
      <c r="I15">
        <f>VLOOKUP(B15,'14C'!B$3:L$47,7,0)</f>
        <v>16550</v>
      </c>
      <c r="J15">
        <f>VLOOKUP(B15,'14C'!B$3:L$47,8,0)</f>
        <v>45</v>
      </c>
      <c r="K15">
        <f>VLOOKUP(B15,'14C'!B$3:L$47,9,0)</f>
        <v>181535</v>
      </c>
      <c r="L15" s="4">
        <f>VLOOKUP(B15,'14C'!B$3:L$47,10,0)</f>
        <v>-150.13929235962598</v>
      </c>
      <c r="M15" s="4">
        <f>VLOOKUP(B15,'14C'!B$3:L$47,11,0)</f>
        <v>4.7741878224889547</v>
      </c>
      <c r="N15" s="1">
        <f>VLOOKUP(MROUND(G15,200),MOT!B$3:C$1502,2)*1</f>
        <v>-1.6448</v>
      </c>
      <c r="O15" s="18">
        <f>pKB!G82</f>
        <v>8.6180267823228327</v>
      </c>
      <c r="P15" s="15">
        <f>(pKB!G$32-d11B!O15)</f>
        <v>1.7667099523826835E-2</v>
      </c>
      <c r="Q15" s="18">
        <f>((D$16-D15)/(E$2-(I$2*D15)-J$2))</f>
        <v>-6.811749717563857E-3</v>
      </c>
      <c r="R15" s="21">
        <f>(((I$2-1)*E$2-J$2)/(D$16-E$2))</f>
        <v>1.0968593791408214</v>
      </c>
      <c r="S15" s="37">
        <f t="shared" si="0"/>
        <v>2.0924127155222773E-2</v>
      </c>
      <c r="T15" s="33">
        <f>P15-LOG((1+((D15-D$16)/(E$2-(I$2*d11B!D15)-J$2))*(((I$2-1)*(E$2-J$2))/d11B!D24-E$2)))</f>
        <v>0.15414683105946717</v>
      </c>
      <c r="V15" s="6">
        <f>MROUND(G15,10)</f>
        <v>15690</v>
      </c>
      <c r="W15">
        <f>VLOOKUP(V15,'co2'!A$7:E$9999,4,0)</f>
        <v>308</v>
      </c>
      <c r="X15">
        <f>VLOOKUP(V15,'co2'!A$7:E$9999,5,0)</f>
        <v>6</v>
      </c>
      <c r="Y15" s="9">
        <f>W15-L15</f>
        <v>458.13929235962598</v>
      </c>
      <c r="Z15" s="5">
        <f>(M15^2+X15^2)^0.5</f>
        <v>7.6676508374078836</v>
      </c>
      <c r="AD15">
        <v>20221219</v>
      </c>
      <c r="AE15">
        <v>106</v>
      </c>
      <c r="AF15" s="1">
        <v>17.57814096729571</v>
      </c>
      <c r="AG15" s="1"/>
      <c r="AH15" s="1">
        <v>0.14000000000000001</v>
      </c>
      <c r="AI15" s="1">
        <v>3.3882681502536238</v>
      </c>
      <c r="AJ15" s="1">
        <v>4.0659217803043483E-2</v>
      </c>
    </row>
    <row r="16" spans="1:36" x14ac:dyDescent="0.2">
      <c r="A16">
        <v>20221219</v>
      </c>
      <c r="B16">
        <v>92</v>
      </c>
      <c r="D16" s="31">
        <v>15.794177756257101</v>
      </c>
      <c r="F16" s="1">
        <v>0.14000000000000001</v>
      </c>
      <c r="G16" s="4">
        <f>VLOOKUP(B16,'14C'!B$3:L$47,4,0)</f>
        <v>18977.8</v>
      </c>
      <c r="H16" s="4">
        <f>VLOOKUP(B16,'14C'!B$3:L$47,5)</f>
        <v>466.7091836734694</v>
      </c>
      <c r="I16">
        <f>VLOOKUP(B16,'14C'!B$3:L$47,7,0)</f>
        <v>16800</v>
      </c>
      <c r="J16">
        <f>VLOOKUP(B16,'14C'!B$3:L$47,8,0)</f>
        <v>70</v>
      </c>
      <c r="K16">
        <f>VLOOKUP(B16,'14C'!B$3:L$47,9,0)</f>
        <v>201583</v>
      </c>
      <c r="L16" s="4">
        <f>VLOOKUP(B16,'14C'!B$3:L$47,10,0)</f>
        <v>226.58754736529986</v>
      </c>
      <c r="M16" s="4">
        <f>VLOOKUP(B16,'14C'!B$3:L$47,11,0)</f>
        <v>10.735256641893216</v>
      </c>
      <c r="N16" s="1">
        <f>VLOOKUP(MROUND(G16,200),MOT!B$3:C$1502,2)*1</f>
        <v>-3.1453000000000002</v>
      </c>
      <c r="O16" s="18">
        <f>pKB!G32</f>
        <v>8.6356938818466595</v>
      </c>
      <c r="P16" s="15">
        <f>(pKB!G$32-d11B!O16)</f>
        <v>0</v>
      </c>
      <c r="Q16" s="18">
        <f>((D$16-D16)/(E$2-(I$2*D16)-J$2))</f>
        <v>0</v>
      </c>
      <c r="R16" s="21">
        <f>(((I$2-1)*E$2-J$2)/(D$16-E$2))</f>
        <v>1.0968593791408214</v>
      </c>
      <c r="S16" s="37">
        <f t="shared" si="0"/>
        <v>0</v>
      </c>
      <c r="T16" s="33">
        <f>P16-LOG((1+((D16-D$16)/(E$2-(I$2*d11B!D16)-J$2))*(((I$2-1)*(E$2-J$2))/d11B!D25-E$2)))</f>
        <v>0</v>
      </c>
      <c r="V16" s="6">
        <f>MROUND(G16,10)</f>
        <v>18980</v>
      </c>
      <c r="W16">
        <f>VLOOKUP(V16,'co2'!A$7:E$9999,4,0)</f>
        <v>399.1</v>
      </c>
      <c r="X16">
        <f>VLOOKUP(V16,'co2'!A$7:E$9999,5,0)</f>
        <v>6.3</v>
      </c>
      <c r="Y16" s="9">
        <f>W16-L16</f>
        <v>172.51245263470017</v>
      </c>
      <c r="Z16" s="5">
        <f>(M16^2+X16^2)^0.5</f>
        <v>12.447318392622259</v>
      </c>
      <c r="AD16">
        <v>20180709</v>
      </c>
      <c r="AE16">
        <v>116</v>
      </c>
      <c r="AF16" s="1">
        <v>18.160492024389406</v>
      </c>
      <c r="AG16" s="1">
        <v>32.774228199506609</v>
      </c>
      <c r="AH16" s="1">
        <v>0.2582063</v>
      </c>
      <c r="AI16" s="1">
        <v>2.9263749631553608</v>
      </c>
      <c r="AJ16" s="1">
        <v>3.5116499557864334E-2</v>
      </c>
    </row>
    <row r="17" spans="1:36" x14ac:dyDescent="0.2">
      <c r="A17">
        <v>20180711</v>
      </c>
      <c r="B17">
        <v>94</v>
      </c>
      <c r="D17" s="1">
        <v>16.143466118734072</v>
      </c>
      <c r="F17" s="1">
        <v>0.25685960000000002</v>
      </c>
      <c r="G17" s="4">
        <f>VLOOKUP(B17,'14C'!B$3:L$47,4,0)</f>
        <v>19670</v>
      </c>
      <c r="H17" s="4">
        <f>VLOOKUP(B17,'14C'!B$3:L$47,5)</f>
        <v>460.35714285714249</v>
      </c>
      <c r="I17">
        <f>VLOOKUP(B17,'14C'!B$3:L$47,7,0)</f>
        <v>16960</v>
      </c>
      <c r="J17">
        <f>VLOOKUP(B17,'14C'!B$3:L$47,8,0)</f>
        <v>100</v>
      </c>
      <c r="K17">
        <f>VLOOKUP(B17,'14C'!B$3:L$47,9,0)</f>
        <v>192493</v>
      </c>
      <c r="L17" s="4">
        <f>VLOOKUP(B17,'14C'!B$3:L$47,10,0)</f>
        <v>307.41070193546369</v>
      </c>
      <c r="M17" s="4">
        <f>VLOOKUP(B17,'14C'!B$3:L$47,11,0)</f>
        <v>16.377223004558061</v>
      </c>
      <c r="N17" s="1">
        <f>VLOOKUP(MROUND(G17,200),MOT!B$3:C$1502,2)*1</f>
        <v>-2.4207000000000001</v>
      </c>
      <c r="O17" s="18">
        <f>pKB!G35</f>
        <v>8.6274492354022065</v>
      </c>
      <c r="P17" s="15">
        <f>(pKB!G$32-d11B!O17)</f>
        <v>8.2446464444529965E-3</v>
      </c>
      <c r="Q17" s="18">
        <f>((D$16-D17)/(E$2-(I$2*D17)-J$2))</f>
        <v>8.3710637964473977E-2</v>
      </c>
      <c r="R17" s="21">
        <f>(((I$2-1)*E$2-J$2)/(D$16-E$2))</f>
        <v>1.0968593791408214</v>
      </c>
      <c r="S17" s="37">
        <f t="shared" si="0"/>
        <v>-2.9905921053128552E-2</v>
      </c>
      <c r="T17" s="33">
        <f>P17-LOG((1+((D17-D$16)/(E$2-(I$2*d11B!D17)-J$2))*(((I$2-1)*(E$2-J$2))/d11B!D26-E$2)))</f>
        <v>-0.62663362771998576</v>
      </c>
      <c r="V17" s="6">
        <f>MROUND(G17,10)</f>
        <v>19670</v>
      </c>
      <c r="W17">
        <f>VLOOKUP(V17,'co2'!A$7:E$9999,4,0)</f>
        <v>404.5</v>
      </c>
      <c r="X17">
        <f>VLOOKUP(V17,'co2'!A$7:E$9999,5,0)</f>
        <v>8.1</v>
      </c>
      <c r="Y17" s="9">
        <f>W17-L17</f>
        <v>97.089298064536308</v>
      </c>
      <c r="Z17" s="5">
        <f>(M17^2+X17^2)^0.5</f>
        <v>18.270835595041234</v>
      </c>
      <c r="AD17">
        <v>20221219</v>
      </c>
      <c r="AE17">
        <v>116</v>
      </c>
      <c r="AF17" s="1">
        <v>17.821481194067125</v>
      </c>
      <c r="AG17" s="1"/>
      <c r="AH17" s="1">
        <v>0.14000000000000001</v>
      </c>
      <c r="AI17" s="1">
        <v>3.1725143580306066</v>
      </c>
      <c r="AJ17" s="1">
        <v>3.8070172296367277E-2</v>
      </c>
    </row>
    <row r="18" spans="1:36" x14ac:dyDescent="0.2">
      <c r="A18" s="7">
        <v>20180711</v>
      </c>
      <c r="B18" s="35">
        <v>97</v>
      </c>
      <c r="C18" s="35"/>
      <c r="D18" s="36">
        <v>15.125515622046967</v>
      </c>
      <c r="E18" s="35"/>
      <c r="F18" s="36">
        <v>0.25708140000000002</v>
      </c>
      <c r="G18" s="9">
        <f>VLOOKUP(B18,'14C'!B$3:L$47,4,0)</f>
        <v>22709.200000000001</v>
      </c>
      <c r="H18" s="9">
        <f>VLOOKUP(B18,'14C'!B$3:L$47,5)</f>
        <v>319.7704081632653</v>
      </c>
      <c r="I18" s="35">
        <f>VLOOKUP(B18,'14C'!B$3:L$47,7,0)</f>
        <v>19580</v>
      </c>
      <c r="J18" s="35">
        <f>VLOOKUP(B18,'14C'!B$3:L$47,8,0)</f>
        <v>670</v>
      </c>
      <c r="K18" s="35">
        <f>VLOOKUP(B18,'14C'!B$3:L$47,9,0)</f>
        <v>200178</v>
      </c>
      <c r="L18" s="9">
        <f>VLOOKUP(B18,'14C'!B$3:L$47,10,0)</f>
        <v>362.77674576469951</v>
      </c>
      <c r="M18" s="9">
        <f>VLOOKUP(B18,'14C'!B$3:L$47,11,0)</f>
        <v>118.53838273472752</v>
      </c>
      <c r="N18" s="31">
        <f>VLOOKUP(MROUND(G18,200),MOT!B$3:C$1502,2)*1</f>
        <v>-2.8376000000000001</v>
      </c>
      <c r="O18" s="17">
        <f>pKB!G33</f>
        <v>8.6321604619418952</v>
      </c>
      <c r="P18" s="22">
        <f>(pKB!G$32-d11B!O18)</f>
        <v>3.5334199047643011E-3</v>
      </c>
      <c r="Q18" s="17">
        <f>((D$16-D18)/(E$2-(I$2*D18)-J$2))</f>
        <v>-0.21383983961992462</v>
      </c>
      <c r="R18" s="20">
        <f>(((I$2-1)*E$2-J$2)/(D$16-E$2))</f>
        <v>1.0968593791408214</v>
      </c>
      <c r="S18" s="37">
        <f t="shared" si="0"/>
        <v>0.1196178598682868</v>
      </c>
      <c r="T18" s="33" t="e">
        <f>P18-LOG((1+((D18-D$16)/(E$2-(I$2*d11B!D18)-J$2))*(((I$2-1)*(E$2-J$2))/d11B!D27-E$2)))</f>
        <v>#NUM!</v>
      </c>
      <c r="V18" s="6">
        <f>MROUND(G18,10)</f>
        <v>22710</v>
      </c>
      <c r="W18">
        <f>VLOOKUP(V18,'co2'!A$7:E$9999,4,0)</f>
        <v>504.5</v>
      </c>
      <c r="X18">
        <f>VLOOKUP(V18,'co2'!A$7:E$9999,5,0)</f>
        <v>9.3000000000000007</v>
      </c>
      <c r="Y18" s="9">
        <f>W18-L18</f>
        <v>141.72325423530049</v>
      </c>
      <c r="Z18" s="5">
        <f>(M18^2+X18^2)^0.5</f>
        <v>118.90264160801789</v>
      </c>
    </row>
    <row r="19" spans="1:36" x14ac:dyDescent="0.2">
      <c r="A19">
        <v>20180711</v>
      </c>
      <c r="B19">
        <v>98</v>
      </c>
      <c r="D19" s="1">
        <v>15.963090057413771</v>
      </c>
      <c r="F19" s="1">
        <v>0.25322349999999999</v>
      </c>
      <c r="G19" s="4">
        <f>VLOOKUP(B19,'14C'!B$3:L$47,4,0)</f>
        <v>22898.9</v>
      </c>
      <c r="H19" s="4">
        <f>VLOOKUP(B19,'14C'!B$3:L$47,5)</f>
        <v>302.52551020408106</v>
      </c>
      <c r="I19">
        <f>VLOOKUP(B19,'14C'!B$3:L$47,7,0)</f>
        <v>20240</v>
      </c>
      <c r="J19">
        <f>VLOOKUP(B19,'14C'!B$3:L$47,8,0)</f>
        <v>260</v>
      </c>
      <c r="K19">
        <f>VLOOKUP(B19,'14C'!B$3:L$47,9,0)</f>
        <v>200181</v>
      </c>
      <c r="L19" s="4">
        <f>VLOOKUP(B19,'14C'!B$3:L$47,10,0)</f>
        <v>284.4234144515334</v>
      </c>
      <c r="M19" s="4">
        <f>VLOOKUP(B19,'14C'!B$3:L$47,11,0)</f>
        <v>42.2523671759987</v>
      </c>
      <c r="N19" s="1">
        <f>VLOOKUP(MROUND(G19,200),MOT!B$3:C$1502,2)*1</f>
        <v>-2.8376000000000001</v>
      </c>
      <c r="O19" s="18">
        <f t="shared" ref="O19:O28" si="1">O18</f>
        <v>8.6321604619418952</v>
      </c>
      <c r="P19" s="15">
        <f>(pKB!G$32-d11B!O19)</f>
        <v>3.5334199047643011E-3</v>
      </c>
      <c r="Q19" s="18">
        <f>((D$16-D19)/(E$2-(I$2*D19)-J$2))</f>
        <v>4.2362724074696316E-2</v>
      </c>
      <c r="R19" s="21">
        <f>(((I$2-1)*E$2-J$2)/(D$16-E$2))</f>
        <v>1.0968593791408214</v>
      </c>
      <c r="S19" s="37">
        <f t="shared" si="0"/>
        <v>-1.6191682397587646E-2</v>
      </c>
      <c r="T19" s="33">
        <f>P19-LOG((1+((D19-D$16)/(E$2-(I$2*d11B!D19)-J$2))*(((I$2-1)*(E$2-J$2))/d11B!D28-E$2)))</f>
        <v>-0.42412241400107215</v>
      </c>
      <c r="V19" s="6">
        <f>MROUND(G19,10)</f>
        <v>22900</v>
      </c>
      <c r="W19">
        <f>VLOOKUP(V19,'co2'!A$7:E$9999,4,0)</f>
        <v>524.70000000000005</v>
      </c>
      <c r="X19">
        <f>VLOOKUP(V19,'co2'!A$7:E$9999,5,0)</f>
        <v>13.5</v>
      </c>
      <c r="Y19" s="9">
        <f>W19-L19</f>
        <v>240.27658554846664</v>
      </c>
      <c r="Z19" s="5">
        <f>(M19^2+X19^2)^0.5</f>
        <v>44.356651496426238</v>
      </c>
    </row>
    <row r="20" spans="1:36" x14ac:dyDescent="0.2">
      <c r="A20">
        <v>20180711</v>
      </c>
      <c r="B20">
        <v>101</v>
      </c>
      <c r="D20" s="1">
        <v>15.767704672887314</v>
      </c>
      <c r="F20" s="1">
        <v>0.25384879999999999</v>
      </c>
      <c r="G20" s="4">
        <f>VLOOKUP(B20,'14C'!B$3:L$47,4,0)</f>
        <v>23438.1</v>
      </c>
      <c r="H20" s="4">
        <f>VLOOKUP(B20,'14C'!B$3:L$47,5)</f>
        <v>255.20408163265344</v>
      </c>
      <c r="I20">
        <f>VLOOKUP(B20,'14C'!B$3:L$47,7,0)</f>
        <v>20630</v>
      </c>
      <c r="J20">
        <f>VLOOKUP(B20,'14C'!B$3:L$47,8,0)</f>
        <v>80</v>
      </c>
      <c r="K20">
        <f>VLOOKUP(B20,'14C'!B$3:L$47,9,0)</f>
        <v>181554</v>
      </c>
      <c r="L20" s="4">
        <f>VLOOKUP(B20,'14C'!B$3:L$47,10,0)</f>
        <v>306.01871017559847</v>
      </c>
      <c r="M20" s="4">
        <f>VLOOKUP(B20,'14C'!B$3:L$47,11,0)</f>
        <v>13.071516196792913</v>
      </c>
      <c r="N20" s="1">
        <f>VLOOKUP(MROUND(G20,200),MOT!B$3:C$1502,2)*1</f>
        <v>-2.8376000000000001</v>
      </c>
      <c r="O20" s="18">
        <f t="shared" si="1"/>
        <v>8.6321604619418952</v>
      </c>
      <c r="P20" s="15">
        <f>(pKB!G$32-d11B!O20)</f>
        <v>3.5334199047643011E-3</v>
      </c>
      <c r="Q20" s="18">
        <f>((D$16-D20)/(E$2-(I$2*D20)-J$2))</f>
        <v>-6.9912796624586569E-3</v>
      </c>
      <c r="R20" s="21">
        <f>(((I$2-1)*E$2-J$2)/(D$16-E$2))</f>
        <v>1.0968593791408214</v>
      </c>
      <c r="S20" s="37">
        <f t="shared" si="0"/>
        <v>6.8766207470848601E-3</v>
      </c>
      <c r="T20" s="33" t="e">
        <f>P20-LOG((1+((D20-D$16)/(E$2-(I$2*d11B!D20)-J$2))*(((I$2-1)*(E$2-J$2))/d11B!D29-E$2)))</f>
        <v>#DIV/0!</v>
      </c>
      <c r="V20" s="6">
        <f>MROUND(G20,10)</f>
        <v>23440</v>
      </c>
      <c r="W20">
        <f>VLOOKUP(V20,'co2'!A$7:E$9999,4,0)</f>
        <v>494.4</v>
      </c>
      <c r="X20">
        <f>VLOOKUP(V20,'co2'!A$7:E$9999,5,0)</f>
        <v>10.6</v>
      </c>
      <c r="Y20" s="9">
        <f>W20-L20</f>
        <v>188.38128982440151</v>
      </c>
      <c r="Z20" s="5">
        <f>(M20^2+X20^2)^0.5</f>
        <v>16.829276148516296</v>
      </c>
    </row>
    <row r="21" spans="1:36" x14ac:dyDescent="0.2">
      <c r="A21">
        <v>20180711</v>
      </c>
      <c r="B21">
        <v>104</v>
      </c>
      <c r="D21" s="1">
        <v>16.007533120167302</v>
      </c>
      <c r="F21" s="1">
        <v>0.26572879999999999</v>
      </c>
      <c r="G21" s="4">
        <f>VLOOKUP(B21,'14C'!B$3:L$47,4,0)</f>
        <v>24297.8</v>
      </c>
      <c r="H21" s="4">
        <f>VLOOKUP(B21,'14C'!B$3:L$47,5)</f>
        <v>296.37755102040796</v>
      </c>
      <c r="I21">
        <f>VLOOKUP(B21,'14C'!B$3:L$47,7,0)</f>
        <v>21520</v>
      </c>
      <c r="J21">
        <f>VLOOKUP(B21,'14C'!B$3:L$47,8,0)</f>
        <v>80</v>
      </c>
      <c r="K21">
        <f>VLOOKUP(B21,'14C'!B$3:L$47,9,0)</f>
        <v>176294</v>
      </c>
      <c r="L21" s="4">
        <f>VLOOKUP(B21,'14C'!B$3:L$47,10,0)</f>
        <v>297.16634741731565</v>
      </c>
      <c r="M21" s="4">
        <f>VLOOKUP(B21,'14C'!B$3:L$47,11,0)</f>
        <v>12.982915779147675</v>
      </c>
      <c r="N21" s="1">
        <f>VLOOKUP(MROUND(G21,200),MOT!B$3:C$1502,2)*1</f>
        <v>-2.8376000000000001</v>
      </c>
      <c r="O21" s="18">
        <f t="shared" si="1"/>
        <v>8.6321604619418952</v>
      </c>
      <c r="P21" s="15">
        <f>(pKB!G$32-d11B!O21)</f>
        <v>3.5334199047643011E-3</v>
      </c>
      <c r="Q21" s="18">
        <f>((D$16-D21)/(E$2-(I$2*D21)-J$2))</f>
        <v>5.2903209222987684E-2</v>
      </c>
      <c r="R21" s="21">
        <f>(((I$2-1)*E$2-J$2)/(D$16-E$2))</f>
        <v>1.0968593791408214</v>
      </c>
      <c r="S21" s="37">
        <f t="shared" si="0"/>
        <v>-2.0963487265226302E-2</v>
      </c>
      <c r="T21" s="33" t="e">
        <f>P21-LOG((1+((D21-D$16)/(E$2-(I$2*d11B!D21)-J$2))*(((I$2-1)*(E$2-J$2))/d11B!D30-E$2)))</f>
        <v>#DIV/0!</v>
      </c>
      <c r="V21" s="6">
        <f>MROUND(G21,10)</f>
        <v>24300</v>
      </c>
      <c r="W21">
        <f>VLOOKUP(V21,'co2'!A$7:E$9999,4,0)</f>
        <v>509.5</v>
      </c>
      <c r="X21">
        <f>VLOOKUP(V21,'co2'!A$7:E$9999,5,0)</f>
        <v>12.2</v>
      </c>
      <c r="Y21" s="9">
        <f>W21-L21</f>
        <v>212.33365258268435</v>
      </c>
      <c r="Z21" s="5">
        <f>(M21^2+X21^2)^0.5</f>
        <v>17.815613998076003</v>
      </c>
    </row>
    <row r="22" spans="1:36" x14ac:dyDescent="0.2">
      <c r="A22" s="2">
        <v>20221219</v>
      </c>
      <c r="B22" s="2">
        <v>106</v>
      </c>
      <c r="C22" s="2"/>
      <c r="D22" s="31">
        <v>15.72571273145118</v>
      </c>
      <c r="E22" s="2"/>
      <c r="F22" s="30">
        <v>0.14000000000000001</v>
      </c>
      <c r="G22" s="29">
        <v>24880</v>
      </c>
      <c r="H22" s="29">
        <v>363.5</v>
      </c>
      <c r="I22" s="23">
        <v>22570</v>
      </c>
      <c r="J22" s="23">
        <v>80</v>
      </c>
      <c r="K22" s="23">
        <v>208195</v>
      </c>
      <c r="L22" s="29">
        <v>221.27563435449349</v>
      </c>
      <c r="M22" s="29">
        <v>12.223350332452242</v>
      </c>
      <c r="N22" s="30">
        <f>VLOOKUP(MROUND(G22,200),MOT!B$3:C$1502,2)*1</f>
        <v>-2.8376000000000001</v>
      </c>
      <c r="O22" s="27">
        <f t="shared" si="1"/>
        <v>8.6321604619418952</v>
      </c>
      <c r="P22" s="28">
        <f>(pKB!G$32-d11B!O22)</f>
        <v>3.5334199047643011E-3</v>
      </c>
      <c r="Q22" s="27">
        <f>((D$16-D22)/(E$2-(I$2*D22)-J$2))</f>
        <v>-1.828927488650043E-2</v>
      </c>
      <c r="R22" s="24">
        <f>(((I$2-1)*E$2-J$2)/(D$16-E$2))</f>
        <v>1.0968593791408214</v>
      </c>
      <c r="S22" s="37">
        <f t="shared" si="0"/>
        <v>1.2334272500140788E-2</v>
      </c>
      <c r="T22" s="34" t="e">
        <f>P22-LOG((1+((D22-D$16)/(E$2-(I$2*d11B!D22)-J$2))*(((I$2-1)*(E$2-J$2))/d11B!D31-E$2)))</f>
        <v>#DIV/0!</v>
      </c>
      <c r="U22" s="2" t="s">
        <v>35</v>
      </c>
      <c r="V22" s="6">
        <f>MROUND(G22,10)</f>
        <v>24880</v>
      </c>
      <c r="W22">
        <f>VLOOKUP(V22,'co2'!A$7:E$9999,4,0)</f>
        <v>560.6</v>
      </c>
      <c r="X22">
        <f>VLOOKUP(V22,'co2'!A$7:E$9999,5,0)</f>
        <v>8.6</v>
      </c>
      <c r="Y22" s="9">
        <f>W22-L22</f>
        <v>339.32436564550653</v>
      </c>
      <c r="Z22" s="5">
        <f>(M22^2+X22^2)^0.5</f>
        <v>14.94557771883912</v>
      </c>
      <c r="AA22" s="2"/>
    </row>
    <row r="23" spans="1:36" x14ac:dyDescent="0.2">
      <c r="A23">
        <v>20180711</v>
      </c>
      <c r="B23">
        <v>116</v>
      </c>
      <c r="D23" s="1">
        <v>15.907341097984789</v>
      </c>
      <c r="E23" t="s">
        <v>6</v>
      </c>
      <c r="F23" s="1">
        <v>0.65279019999999999</v>
      </c>
      <c r="G23" s="4">
        <f>VLOOKUP(B23,'14C'!B$3:L$47,4,0)</f>
        <v>27914.6</v>
      </c>
      <c r="H23" s="4">
        <f>VLOOKUP(B23,'14C'!B$3:L$47,5)</f>
        <v>650.15306122448942</v>
      </c>
      <c r="I23">
        <f>VLOOKUP(B23,'14C'!B$3:L$47,7,0)</f>
        <v>27020</v>
      </c>
      <c r="J23">
        <f>VLOOKUP(B23,'14C'!B$3:L$47,8,0)</f>
        <v>190</v>
      </c>
      <c r="K23">
        <f>VLOOKUP(B23,'14C'!B$3:L$47,9,0)</f>
        <v>206080</v>
      </c>
      <c r="L23" s="4">
        <f>VLOOKUP(B23,'14C'!B$3:L$47,10,0)</f>
        <v>13.089859768592449</v>
      </c>
      <c r="M23" s="4">
        <f>VLOOKUP(B23,'14C'!B$3:L$47,11,0)</f>
        <v>24.24766852668192</v>
      </c>
      <c r="N23" s="1">
        <f>VLOOKUP(MROUND(G23,200),MOT!B$3:C$1502,2)*1</f>
        <v>-2.8376000000000001</v>
      </c>
      <c r="O23" s="18">
        <f t="shared" si="1"/>
        <v>8.6321604619418952</v>
      </c>
      <c r="P23" s="15">
        <f>(pKB!G$32-d11B!O23)</f>
        <v>3.5334199047643011E-3</v>
      </c>
      <c r="Q23" s="18">
        <f>((D$16-D23)/(E$2-(I$2*D23)-J$2))</f>
        <v>2.8794591220249584E-2</v>
      </c>
      <c r="R23" s="21">
        <f>(((I$2-1)*E$2-J$2)/(D$16-E$2))</f>
        <v>1.0968593791408214</v>
      </c>
      <c r="S23" s="37">
        <f t="shared" si="0"/>
        <v>-9.9710165969732929E-3</v>
      </c>
      <c r="T23" s="33" t="e">
        <f>P23-LOG((1+((D23-D$16)/(E$2-(I$2*d11B!D23)-J$2))*(((I$2-1)*(E$2-J$2))/d11B!D32-E$2)))</f>
        <v>#DIV/0!</v>
      </c>
      <c r="U23" t="s">
        <v>42</v>
      </c>
      <c r="V23" s="6">
        <f>MROUND(G23,20)</f>
        <v>27920</v>
      </c>
      <c r="W23">
        <f>VLOOKUP(V23,'co2'!A$7:E$9999,4,0)</f>
        <v>491.4</v>
      </c>
      <c r="X23">
        <f>VLOOKUP(V23,'co2'!A$7:E$9999,5,0)</f>
        <v>14.4</v>
      </c>
      <c r="Y23" s="9">
        <f>W23-L23</f>
        <v>478.3101402314075</v>
      </c>
      <c r="Z23" s="5">
        <f>(M23^2+X23^2)^0.5</f>
        <v>28.201230983413488</v>
      </c>
    </row>
    <row r="24" spans="1:36" x14ac:dyDescent="0.2">
      <c r="A24">
        <v>20221219</v>
      </c>
      <c r="B24">
        <v>116</v>
      </c>
      <c r="D24" s="1">
        <v>15.824323137398011</v>
      </c>
      <c r="F24" s="1">
        <v>0.14000000000000001</v>
      </c>
      <c r="G24" s="4">
        <f>VLOOKUP(B24,'14C'!B$3:L$47,4,0)</f>
        <v>27914.6</v>
      </c>
      <c r="H24" s="4">
        <f>VLOOKUP(B24,'14C'!B$3:L$47,5)</f>
        <v>650.15306122448942</v>
      </c>
      <c r="I24">
        <f>VLOOKUP(B24,'14C'!B$3:L$47,7,0)</f>
        <v>27020</v>
      </c>
      <c r="J24">
        <f>VLOOKUP(B24,'14C'!B$3:L$47,8,0)</f>
        <v>190</v>
      </c>
      <c r="K24">
        <f>VLOOKUP(B24,'14C'!B$3:L$47,9,0)</f>
        <v>206080</v>
      </c>
      <c r="L24" s="4">
        <f>VLOOKUP(B24,'14C'!B$3:L$47,10,0)</f>
        <v>13.089859768592449</v>
      </c>
      <c r="M24" s="4">
        <f>VLOOKUP(B24,'14C'!B$3:L$47,11,0)</f>
        <v>24.24766852668192</v>
      </c>
      <c r="N24" s="1">
        <f>VLOOKUP(MROUND(G24,200),MOT!B$3:C$1502,2)*1</f>
        <v>-2.8376000000000001</v>
      </c>
      <c r="O24" s="18">
        <f t="shared" si="1"/>
        <v>8.6321604619418952</v>
      </c>
      <c r="P24" s="15">
        <f>(pKB!G$32-d11B!O24)</f>
        <v>3.5334199047643011E-3</v>
      </c>
      <c r="Q24" s="18">
        <f>((D$16-D24)/(E$2-(I$2*D24)-J$2))</f>
        <v>7.8406716917479129E-3</v>
      </c>
      <c r="R24" s="21">
        <f>(((I$2-1)*E$2-J$2)/(D$16-E$2))</f>
        <v>1.0968593791408214</v>
      </c>
      <c r="S24" s="37">
        <f t="shared" si="0"/>
        <v>-1.8559312799332726E-4</v>
      </c>
      <c r="T24" s="33" t="e">
        <f>P24-LOG((1+((D24-D$16)/(E$2-(I$2*d11B!D24)-J$2))*(((I$2-1)*(E$2-J$2))/d11B!E33-E$2)))</f>
        <v>#DIV/0!</v>
      </c>
      <c r="U24" t="s">
        <v>42</v>
      </c>
      <c r="V24" s="6">
        <f>MROUND(G24,20)</f>
        <v>27920</v>
      </c>
      <c r="W24">
        <f>VLOOKUP(V24,'co2'!A$7:E$9999,4,0)</f>
        <v>491.4</v>
      </c>
      <c r="X24">
        <f>VLOOKUP(V24,'co2'!A$7:E$9999,5,0)</f>
        <v>14.4</v>
      </c>
      <c r="Y24" s="9">
        <f>W24-L24</f>
        <v>478.3101402314075</v>
      </c>
      <c r="Z24" s="5">
        <f>(M24^2+X24^2)^0.5</f>
        <v>28.201230983413488</v>
      </c>
    </row>
    <row r="25" spans="1:36" x14ac:dyDescent="0.2">
      <c r="A25">
        <v>20221219</v>
      </c>
      <c r="B25">
        <v>121</v>
      </c>
      <c r="D25" s="1">
        <v>15.946716499519287</v>
      </c>
      <c r="F25" s="1">
        <v>0.14000000000000001</v>
      </c>
      <c r="G25" s="5">
        <v>30568.5</v>
      </c>
      <c r="H25" s="5">
        <v>1067.5</v>
      </c>
      <c r="I25">
        <v>28880</v>
      </c>
      <c r="J25">
        <v>550</v>
      </c>
      <c r="K25">
        <v>233855</v>
      </c>
      <c r="L25" s="4">
        <v>32.790594366822965</v>
      </c>
      <c r="M25" s="4">
        <v>73.189632466756905</v>
      </c>
      <c r="N25" s="1">
        <f>VLOOKUP(MROUND(G25,200),MOT!B$3:C$1502,2)*1</f>
        <v>-2.8376000000000001</v>
      </c>
      <c r="O25" s="18">
        <f t="shared" si="1"/>
        <v>8.6321604619418952</v>
      </c>
      <c r="P25" s="15">
        <f>(pKB!G$32-d11B!O25)</f>
        <v>3.5334199047643011E-3</v>
      </c>
      <c r="Q25" s="18">
        <f>((D$16-D25)/(E$2-(I$2*D25)-J$2))</f>
        <v>3.8418336187600759E-2</v>
      </c>
      <c r="R25" s="21">
        <f>(((I$2-1)*E$2-J$2)/(D$16-E$2))</f>
        <v>1.0968593791408214</v>
      </c>
      <c r="S25" s="37">
        <f t="shared" si="0"/>
        <v>-1.439244243715487E-2</v>
      </c>
      <c r="T25" s="33" t="e">
        <f>P25-LOG((1+((D25-D$16)/(E$2-(I$2*d11B!D25)-J$2))*(((I$2-1)*(E$2-J$2))/d11B!E34-E$2)))</f>
        <v>#DIV/0!</v>
      </c>
      <c r="U25" s="2" t="s">
        <v>35</v>
      </c>
      <c r="V25" s="6">
        <f>MROUND(G25,20)</f>
        <v>30560</v>
      </c>
      <c r="W25">
        <f>VLOOKUP(V25,'co2'!A$7:E$9999,4,0)</f>
        <v>521.70000000000005</v>
      </c>
      <c r="X25">
        <f>VLOOKUP(V25,'co2'!A$7:E$9999,5,0)</f>
        <v>12.8</v>
      </c>
      <c r="Y25" s="9">
        <f>W25-L25</f>
        <v>488.90940563317707</v>
      </c>
      <c r="Z25" s="5">
        <f>(M25^2+X25^2)^0.5</f>
        <v>74.300486543622014</v>
      </c>
      <c r="AA25" s="2"/>
    </row>
    <row r="26" spans="1:36" x14ac:dyDescent="0.2">
      <c r="A26">
        <v>20221219</v>
      </c>
      <c r="B26">
        <v>121</v>
      </c>
      <c r="D26" s="31">
        <v>15.725145976931421</v>
      </c>
      <c r="E26" s="2"/>
      <c r="F26" s="30">
        <v>0.14000000000000001</v>
      </c>
      <c r="G26" s="29">
        <v>30568.5</v>
      </c>
      <c r="H26" s="29">
        <v>1067.5</v>
      </c>
      <c r="I26" s="23">
        <v>28880</v>
      </c>
      <c r="J26" s="23">
        <v>550</v>
      </c>
      <c r="K26" s="23">
        <v>233855</v>
      </c>
      <c r="L26" s="29">
        <v>32.790594366822965</v>
      </c>
      <c r="M26" s="29">
        <v>73.189632466756905</v>
      </c>
      <c r="N26" s="30">
        <f>VLOOKUP(MROUND(G26,200),MOT!B$3:C$1502,2)*1</f>
        <v>-2.8376000000000001</v>
      </c>
      <c r="O26" s="27">
        <f t="shared" si="1"/>
        <v>8.6321604619418952</v>
      </c>
      <c r="P26" s="28">
        <f>(pKB!G$32-d11B!O26)</f>
        <v>3.5334199047643011E-3</v>
      </c>
      <c r="Q26" s="27">
        <f>((D$16-D26)/(E$2-(I$2*D26)-J$2))</f>
        <v>-1.8443542066353704E-2</v>
      </c>
      <c r="R26" s="24">
        <f>(((I$2-1)*E$2-J$2)/(D$16-E$2))</f>
        <v>1.0968593791408214</v>
      </c>
      <c r="S26" s="37">
        <f t="shared" si="0"/>
        <v>1.2409270063857778E-2</v>
      </c>
      <c r="T26" s="34" t="e">
        <f>P26-LOG((1+((D26-D$16)/(E$2-(I$2*d11B!D26)-J$2))*(((I$2-1)*(E$2-J$2))/d11B!E35-E$2)))</f>
        <v>#DIV/0!</v>
      </c>
      <c r="U26" s="2" t="s">
        <v>35</v>
      </c>
      <c r="V26" s="6">
        <f>MROUND(G26,20)</f>
        <v>30560</v>
      </c>
      <c r="W26">
        <f>VLOOKUP(V26,'co2'!A$7:E$9999,4,0)</f>
        <v>521.70000000000005</v>
      </c>
      <c r="X26">
        <f>VLOOKUP(V26,'co2'!A$7:E$9999,5,0)</f>
        <v>12.8</v>
      </c>
      <c r="Y26" s="9">
        <f>W26-L26</f>
        <v>488.90940563317707</v>
      </c>
      <c r="Z26" s="5">
        <f>(M26^2+X26^2)^0.5</f>
        <v>74.300486543622014</v>
      </c>
      <c r="AA26" s="2"/>
    </row>
    <row r="27" spans="1:36" x14ac:dyDescent="0.2">
      <c r="A27">
        <v>20221219</v>
      </c>
      <c r="B27">
        <v>122</v>
      </c>
      <c r="D27" s="1">
        <v>15.621290820994949</v>
      </c>
      <c r="F27" s="1">
        <v>0.14000000000000001</v>
      </c>
      <c r="G27" s="5">
        <v>31426</v>
      </c>
      <c r="H27" s="5">
        <v>1187</v>
      </c>
      <c r="I27">
        <v>28440</v>
      </c>
      <c r="J27">
        <v>420</v>
      </c>
      <c r="K27">
        <v>176317</v>
      </c>
      <c r="L27" s="4">
        <v>298.20573804176553</v>
      </c>
      <c r="M27" s="4">
        <v>69.681567416777909</v>
      </c>
      <c r="N27" s="1">
        <f>VLOOKUP(MROUND(G27,200),MOT!B$3:C$1502,2)*1</f>
        <v>-2.8376000000000001</v>
      </c>
      <c r="O27" s="18">
        <f t="shared" si="1"/>
        <v>8.6321604619418952</v>
      </c>
      <c r="P27" s="15">
        <f>(pKB!G$32-d11B!O27)</f>
        <v>3.5334199047643011E-3</v>
      </c>
      <c r="Q27" s="18">
        <f>((D$16-D27)/(E$2-(I$2*D27)-J$2))</f>
        <v>-4.7546178425037784E-2</v>
      </c>
      <c r="R27" s="21">
        <f>(((I$2-1)*E$2-J$2)/(D$16-E$2))</f>
        <v>1.0968593791408214</v>
      </c>
      <c r="S27" s="37">
        <f t="shared" si="0"/>
        <v>2.679447982433324E-2</v>
      </c>
      <c r="T27" s="33" t="e">
        <f>P27-LOG((1+((D27-D$16)/(E$2-(I$2*d11B!D27)-J$2))*(((I$2-1)*(E$2-J$2))/d11B!E36-E$2)))</f>
        <v>#DIV/0!</v>
      </c>
      <c r="U27" s="2" t="s">
        <v>35</v>
      </c>
      <c r="V27" s="6">
        <f>MROUND(G27,20)</f>
        <v>31420</v>
      </c>
      <c r="W27">
        <f>VLOOKUP(V27,'co2'!A$7:E$9999,4,0)</f>
        <v>456.2</v>
      </c>
      <c r="X27">
        <f>VLOOKUP(V27,'co2'!A$7:E$9999,5,0)</f>
        <v>14.8</v>
      </c>
      <c r="Y27" s="9">
        <f>W27-L27</f>
        <v>157.99426195823446</v>
      </c>
      <c r="Z27" s="5">
        <f>(M27^2+X27^2)^0.5</f>
        <v>71.235951861815991</v>
      </c>
      <c r="AA27" s="2"/>
    </row>
    <row r="28" spans="1:36" x14ac:dyDescent="0.2">
      <c r="A28" s="8">
        <v>20180711</v>
      </c>
      <c r="B28" s="35">
        <v>130</v>
      </c>
      <c r="C28" s="35"/>
      <c r="D28" s="36">
        <v>15.188130083614526</v>
      </c>
      <c r="E28" s="35"/>
      <c r="F28" s="36">
        <v>0.4267899</v>
      </c>
      <c r="G28" s="9">
        <v>34691.5</v>
      </c>
      <c r="H28" s="9">
        <v>458.5</v>
      </c>
      <c r="I28" s="35">
        <v>30670</v>
      </c>
      <c r="J28" s="35">
        <v>760</v>
      </c>
      <c r="K28" s="35">
        <v>177344</v>
      </c>
      <c r="L28" s="9">
        <v>459.9212025906736</v>
      </c>
      <c r="M28" s="9">
        <v>144.86766022214567</v>
      </c>
      <c r="N28" s="31">
        <f>VLOOKUP(MROUND(G28,200),MOT!B$3:C$1502,2)*1</f>
        <v>-2.8376000000000001</v>
      </c>
      <c r="O28" s="17">
        <f t="shared" si="1"/>
        <v>8.6321604619418952</v>
      </c>
      <c r="P28" s="22">
        <f>(pKB!G$32-d11B!O28)</f>
        <v>3.5334199047643011E-3</v>
      </c>
      <c r="Q28" s="17">
        <f>((D$16-D28)/(E$2-(I$2*D28)-J$2))</f>
        <v>-0.18990934594025791</v>
      </c>
      <c r="R28" s="20">
        <f>(((I$2-1)*E$2-J$2)/(D$16-E$2))</f>
        <v>1.0968593791408214</v>
      </c>
      <c r="S28" s="37">
        <f t="shared" si="0"/>
        <v>0.10497488543239984</v>
      </c>
      <c r="T28" s="33" t="e">
        <f>P28-LOG((1+((D28-D$16)/(E$2-(I$2*d11B!D28)-J$2))*(((I$2-1)*(E$2-J$2))/d11B!E37-E$2)))</f>
        <v>#DIV/0!</v>
      </c>
      <c r="U28" s="2" t="s">
        <v>35</v>
      </c>
      <c r="V28" s="6">
        <f>MROUND(G28,20)</f>
        <v>34700</v>
      </c>
      <c r="W28">
        <f>VLOOKUP(V28,'co2'!A$7:E$9999,4,0)</f>
        <v>508.1</v>
      </c>
      <c r="X28">
        <f>VLOOKUP(V28,'co2'!A$7:E$9999,5,0)</f>
        <v>22.6</v>
      </c>
      <c r="Y28" s="9">
        <f>W28-L28</f>
        <v>48.178797409326421</v>
      </c>
      <c r="Z28" s="5">
        <f>(M28^2+X28^2)^0.5</f>
        <v>146.61991330729617</v>
      </c>
      <c r="AA28" s="2"/>
    </row>
    <row r="32" spans="1:36" x14ac:dyDescent="0.2">
      <c r="A32" s="2" t="s">
        <v>9</v>
      </c>
    </row>
    <row r="33" spans="1:26" x14ac:dyDescent="0.2">
      <c r="A33" t="s">
        <v>0</v>
      </c>
      <c r="B33" t="s">
        <v>1</v>
      </c>
      <c r="D33" t="s">
        <v>2</v>
      </c>
      <c r="F33" t="s">
        <v>5</v>
      </c>
    </row>
    <row r="34" spans="1:26" x14ac:dyDescent="0.2">
      <c r="A34">
        <v>20180709</v>
      </c>
      <c r="B34">
        <v>72</v>
      </c>
      <c r="D34" s="1">
        <v>17.787442902035636</v>
      </c>
      <c r="E34" s="1"/>
      <c r="F34" s="1">
        <v>0.29136339999999999</v>
      </c>
      <c r="G34" s="4">
        <f>VLOOKUP(B34,'14C'!B$3:L$47,4,0)</f>
        <v>14108.9</v>
      </c>
      <c r="H34" s="4">
        <f>VLOOKUP(B34,'14C'!B$3:L$47,5)</f>
        <v>350.73979591836724</v>
      </c>
      <c r="I34">
        <f>VLOOKUP(B34,'14C'!B$3:L$47,7,0)</f>
        <v>17080</v>
      </c>
      <c r="J34">
        <f>VLOOKUP(B34,'14C'!B$3:L$47,8,0)</f>
        <v>330</v>
      </c>
      <c r="K34">
        <f>VLOOKUP(B34,'14C'!B$3:L$47,9,0)</f>
        <v>203478</v>
      </c>
      <c r="L34" s="4">
        <f>VLOOKUP(B34,'14C'!B$3:L$47,10,0)</f>
        <v>-342.67476107918293</v>
      </c>
      <c r="M34" s="4">
        <f>VLOOKUP(B34,'14C'!B$3:L$47,11,0)*1</f>
        <v>27.56560605530467</v>
      </c>
      <c r="N34" s="1">
        <f>VLOOKUP(MROUND(G34,200),MOT!B$3:C$1502,2)*1</f>
        <v>-1.2533000000000001</v>
      </c>
      <c r="O34" s="18">
        <f>O11</f>
        <v>8.6144933624180666</v>
      </c>
      <c r="P34" s="15">
        <f>(pKB!G$32-d11B!O34)</f>
        <v>2.1200519428592912E-2</v>
      </c>
      <c r="Q34" s="18">
        <f>((D$42-D34)/(E$2-(I$2*D34)-J$2))</f>
        <v>3.5709367366236137E-2</v>
      </c>
      <c r="R34" s="21">
        <f>(((I$2-1)*E$2-J$2)/(D$16-E$2))</f>
        <v>1.0968593791408214</v>
      </c>
      <c r="S34" s="37">
        <f>P34-LOG(1+(Q34*R34))</f>
        <v>4.5146901864224105E-3</v>
      </c>
      <c r="V34" s="6">
        <f>MROUND(G34,20)</f>
        <v>14100</v>
      </c>
      <c r="W34">
        <f>VLOOKUP(V34,'co2'!A$7:E$9999,4,0)</f>
        <v>201.2</v>
      </c>
      <c r="X34">
        <f>VLOOKUP(V34,'co2'!A$7:E$9999,5,0)</f>
        <v>3.6</v>
      </c>
      <c r="Y34" s="9">
        <f>W34-L34</f>
        <v>543.87476107918292</v>
      </c>
      <c r="Z34" s="5">
        <f>(M34^2+X34^2)^0.5</f>
        <v>27.799687717603042</v>
      </c>
    </row>
    <row r="35" spans="1:26" x14ac:dyDescent="0.2">
      <c r="A35">
        <v>20180709</v>
      </c>
      <c r="B35">
        <v>73</v>
      </c>
      <c r="D35" s="1">
        <v>18.220424467840186</v>
      </c>
      <c r="E35" s="1"/>
      <c r="F35" s="1">
        <v>0.32039020000000001</v>
      </c>
      <c r="G35" s="4">
        <f>VLOOKUP(B35,'14C'!B$3:L$47,4,0)</f>
        <v>14314.9</v>
      </c>
      <c r="H35" s="4">
        <f>VLOOKUP(B35,'14C'!B$3:L$47,5)</f>
        <v>368.41836734693851</v>
      </c>
      <c r="I35">
        <f>VLOOKUP(B35,'14C'!B$3:L$47,7,0)</f>
        <v>16110</v>
      </c>
      <c r="J35">
        <f>VLOOKUP(B35,'14C'!B$3:L$47,8,0)</f>
        <v>70</v>
      </c>
      <c r="K35">
        <f>VLOOKUP(B35,'14C'!B$3:L$47,9,0)</f>
        <v>203480</v>
      </c>
      <c r="L35" s="4">
        <f>VLOOKUP(B35,'14C'!B$3:L$47,10,0)</f>
        <v>-239.59652475498982</v>
      </c>
      <c r="M35" s="4">
        <f>VLOOKUP(B35,'14C'!B$3:L$47,11,0)*1</f>
        <v>6.6551519096020684</v>
      </c>
      <c r="N35" s="1">
        <f>VLOOKUP(MROUND(G35,200),MOT!B$3:C$1502,2)*1</f>
        <v>-1.0909</v>
      </c>
      <c r="O35" s="18">
        <f>O12</f>
        <v>8.6121377491482232</v>
      </c>
      <c r="P35" s="15">
        <f>(pKB!G$32-d11B!O35)</f>
        <v>2.3556132698436372E-2</v>
      </c>
      <c r="Q35" s="18">
        <f>((D$42-D35)/(E$2-(I$2*D35)-J$2))</f>
        <v>0.10185243611393141</v>
      </c>
      <c r="R35" s="21">
        <f>(((I$2-1)*E$2-J$2)/(D$16-E$2))</f>
        <v>1.0968593791408214</v>
      </c>
      <c r="S35" s="37">
        <f t="shared" ref="S35:S44" si="2">P35-LOG(1+(Q35*R35))</f>
        <v>-2.2438426556454019E-2</v>
      </c>
      <c r="V35" s="6">
        <f>MROUND(G35,20)</f>
        <v>14320</v>
      </c>
      <c r="W35">
        <f>VLOOKUP(V35,'co2'!A$7:E$9999,4,0)</f>
        <v>212.8</v>
      </c>
      <c r="X35">
        <f>VLOOKUP(V35,'co2'!A$7:E$9999,5,0)</f>
        <v>6.5</v>
      </c>
      <c r="Y35" s="9">
        <f>W35-L35</f>
        <v>452.39652475498985</v>
      </c>
      <c r="Z35" s="5">
        <f>(M35^2+X35^2)^0.5</f>
        <v>9.3027440543035507</v>
      </c>
    </row>
    <row r="36" spans="1:26" x14ac:dyDescent="0.2">
      <c r="A36">
        <v>20180709</v>
      </c>
      <c r="B36">
        <v>79</v>
      </c>
      <c r="D36" s="1">
        <v>17.89718662591692</v>
      </c>
      <c r="E36" s="1"/>
      <c r="F36" s="1">
        <v>0.41477429999999998</v>
      </c>
      <c r="G36" s="4">
        <f>VLOOKUP(B36,'14C'!B$3:L$47,4,0)</f>
        <v>15687.2</v>
      </c>
      <c r="H36" s="4">
        <f>VLOOKUP(B36,'14C'!B$3:L$47,5)</f>
        <v>433.13775510204073</v>
      </c>
      <c r="I36">
        <f>VLOOKUP(B36,'14C'!B$3:L$47,7,0)</f>
        <v>16550</v>
      </c>
      <c r="J36">
        <f>VLOOKUP(B36,'14C'!B$3:L$47,8,0)</f>
        <v>45</v>
      </c>
      <c r="K36">
        <f>VLOOKUP(B36,'14C'!B$3:L$47,9,0)</f>
        <v>181535</v>
      </c>
      <c r="L36" s="4">
        <f>VLOOKUP(B36,'14C'!B$3:L$47,10,0)</f>
        <v>-150.13929235962598</v>
      </c>
      <c r="M36" s="4">
        <f>VLOOKUP(B36,'14C'!B$3:L$47,11,0)*1</f>
        <v>4.7741878224889547</v>
      </c>
      <c r="N36" s="1">
        <f>VLOOKUP(MROUND(G36,200),MOT!B$3:C$1502,2)*1</f>
        <v>-1.6448</v>
      </c>
      <c r="O36" s="18">
        <f>O15</f>
        <v>8.6180267823228327</v>
      </c>
      <c r="P36" s="15">
        <f>(pKB!G$32-d11B!O36)</f>
        <v>1.7667099523826835E-2</v>
      </c>
      <c r="Q36" s="18">
        <f>((D$42-D36)/(E$2-(I$2*D36)-J$2))</f>
        <v>5.3405789625734799E-2</v>
      </c>
      <c r="R36" s="21">
        <f>(((I$2-1)*E$2-J$2)/(D$16-E$2))</f>
        <v>1.0968593791408214</v>
      </c>
      <c r="S36" s="37">
        <f t="shared" si="2"/>
        <v>-7.0560275390995318E-3</v>
      </c>
      <c r="V36" s="6">
        <f>MROUND(G36,20)</f>
        <v>15680</v>
      </c>
      <c r="W36">
        <f>VLOOKUP(V36,'co2'!A$7:E$9999,4,0)</f>
        <v>307.7</v>
      </c>
      <c r="X36">
        <f>VLOOKUP(V36,'co2'!A$7:E$9999,5,0)</f>
        <v>5.9</v>
      </c>
      <c r="Y36" s="9">
        <f>W36-L36</f>
        <v>457.83929235962597</v>
      </c>
      <c r="Z36" s="5">
        <f>(M36^2+X36^2)^0.5</f>
        <v>7.5896554180280029</v>
      </c>
    </row>
    <row r="37" spans="1:26" x14ac:dyDescent="0.2">
      <c r="A37">
        <v>20221219</v>
      </c>
      <c r="B37">
        <v>87</v>
      </c>
      <c r="D37" s="1">
        <v>17.975220947452186</v>
      </c>
      <c r="E37" s="1"/>
      <c r="F37" s="1">
        <v>0.14000000000000001</v>
      </c>
      <c r="G37" s="4">
        <f>VLOOKUP(B37,'14C'!B$3:L$47,4,0)</f>
        <v>17231.5</v>
      </c>
      <c r="H37" s="4">
        <f>VLOOKUP(B37,'14C'!B$3:L$47,5)</f>
        <v>324.13265306122503</v>
      </c>
      <c r="I37">
        <f>VLOOKUP(B37,'14C'!B$3:L$47,7,0)</f>
        <v>17615</v>
      </c>
      <c r="J37">
        <f>VLOOKUP(B37,'14C'!B$3:L$47,8,0)</f>
        <v>50</v>
      </c>
      <c r="K37">
        <f>VLOOKUP(B37,'14C'!B$3:L$47,9,0)</f>
        <v>181536</v>
      </c>
      <c r="L37" s="4">
        <f>VLOOKUP(B37,'14C'!B$3:L$47,10,0)</f>
        <v>-102.78340499780769</v>
      </c>
      <c r="M37" s="4">
        <f>VLOOKUP(B37,'14C'!B$3:L$47,11,0)*1</f>
        <v>5.6019835744902622</v>
      </c>
      <c r="N37" s="1">
        <f>VLOOKUP(MROUND(G37,200),MOT!B$3:C$1502,2)*1</f>
        <v>-2.8449</v>
      </c>
      <c r="O37" s="18">
        <f>O18</f>
        <v>8.6321604619418952</v>
      </c>
      <c r="P37" s="15">
        <f>(pKB!G$32-d11B!O37)</f>
        <v>3.5334199047643011E-3</v>
      </c>
      <c r="Q37" s="18">
        <f>((D$42-D37)/(E$2-(I$2*D37)-J$2))</f>
        <v>6.5588097375591695E-2</v>
      </c>
      <c r="R37" s="21">
        <f>(((I$2-1)*E$2-J$2)/(D$16-E$2))</f>
        <v>1.0968593791408214</v>
      </c>
      <c r="S37" s="37">
        <f t="shared" si="2"/>
        <v>-2.6637429886222339E-2</v>
      </c>
      <c r="V37" s="6">
        <f>MROUND(G37,20)</f>
        <v>17240</v>
      </c>
      <c r="W37">
        <f>VLOOKUP(V37,'co2'!A$7:E$9999,4,0)</f>
        <v>382.9</v>
      </c>
      <c r="X37">
        <f>VLOOKUP(V37,'co2'!A$7:E$9999,5,0)</f>
        <v>7.9</v>
      </c>
      <c r="Y37" s="9">
        <f>W37-L37</f>
        <v>485.68340499780766</v>
      </c>
      <c r="Z37" s="5">
        <f>(M37^2+X37^2)^0.5</f>
        <v>9.6846383499260682</v>
      </c>
    </row>
    <row r="38" spans="1:26" x14ac:dyDescent="0.2">
      <c r="A38">
        <v>20180709</v>
      </c>
      <c r="B38">
        <v>97</v>
      </c>
      <c r="D38" s="1"/>
      <c r="E38" s="1"/>
      <c r="F38" s="1"/>
      <c r="G38" s="4">
        <f>VLOOKUP(B38,'14C'!B$3:L$47,4,0)</f>
        <v>22709.200000000001</v>
      </c>
      <c r="H38" s="4">
        <f>VLOOKUP(B38,'14C'!B$3:L$47,5)</f>
        <v>319.7704081632653</v>
      </c>
      <c r="I38">
        <f>VLOOKUP(B38,'14C'!B$3:L$47,7,0)</f>
        <v>19580</v>
      </c>
      <c r="J38">
        <f>VLOOKUP(B38,'14C'!B$3:L$47,8,0)</f>
        <v>670</v>
      </c>
      <c r="K38">
        <f>VLOOKUP(B38,'14C'!B$3:L$47,9,0)</f>
        <v>200178</v>
      </c>
      <c r="L38" s="4">
        <f>VLOOKUP(B38,'14C'!B$3:L$47,10,0)</f>
        <v>362.77674576469951</v>
      </c>
      <c r="M38" s="4">
        <f>VLOOKUP(B38,'14C'!B$3:L$47,11,0)*1</f>
        <v>118.53838273472752</v>
      </c>
      <c r="N38" s="1">
        <f>VLOOKUP(MROUND(G38,200),MOT!B$3:C$1502,2)*1</f>
        <v>-2.8376000000000001</v>
      </c>
      <c r="O38" s="18">
        <f t="shared" ref="O38:O44" si="3">O37</f>
        <v>8.6321604619418952</v>
      </c>
      <c r="P38" s="15">
        <f>(pKB!G$32-d11B!O38)</f>
        <v>3.5334199047643011E-3</v>
      </c>
      <c r="Q38" s="18">
        <f>((D$42-D38)/(E$2-(I$2*D38)-J$2))</f>
        <v>1.4164497153340621</v>
      </c>
      <c r="R38" s="21">
        <f>(((I$2-1)*E$2-J$2)/(D$16-E$2))</f>
        <v>1.0968593791408214</v>
      </c>
      <c r="S38" s="37"/>
      <c r="V38" s="6">
        <f>MROUND(G38,20)</f>
        <v>22700</v>
      </c>
      <c r="W38">
        <f>VLOOKUP(V38,'co2'!A$7:E$9999,4,0)</f>
        <v>502.8</v>
      </c>
      <c r="X38">
        <f>VLOOKUP(V38,'co2'!A$7:E$9999,5,0)</f>
        <v>9.1</v>
      </c>
      <c r="Y38" s="9">
        <f>W38-L38</f>
        <v>140.0232542353005</v>
      </c>
      <c r="Z38" s="5">
        <f>(M38^2+X38^2)^0.5</f>
        <v>118.88716575545379</v>
      </c>
    </row>
    <row r="39" spans="1:26" x14ac:dyDescent="0.2">
      <c r="A39">
        <v>20180709</v>
      </c>
      <c r="B39">
        <v>98</v>
      </c>
      <c r="D39" s="1">
        <v>17.964582474295998</v>
      </c>
      <c r="E39" s="1"/>
      <c r="F39" s="1">
        <v>0.32039020000000001</v>
      </c>
      <c r="G39" s="4">
        <f>VLOOKUP(B39,'14C'!B$3:L$47,4,0)</f>
        <v>22898.9</v>
      </c>
      <c r="H39" s="4">
        <f>VLOOKUP(B39,'14C'!B$3:L$47,5)</f>
        <v>302.52551020408106</v>
      </c>
      <c r="I39">
        <f>VLOOKUP(B39,'14C'!B$3:L$47,7,0)</f>
        <v>20240</v>
      </c>
      <c r="J39">
        <f>VLOOKUP(B39,'14C'!B$3:L$47,8,0)</f>
        <v>260</v>
      </c>
      <c r="K39">
        <f>VLOOKUP(B39,'14C'!B$3:L$47,9,0)</f>
        <v>200181</v>
      </c>
      <c r="L39" s="4">
        <f>VLOOKUP(B39,'14C'!B$3:L$47,10,0)</f>
        <v>284.4234144515334</v>
      </c>
      <c r="M39" s="4">
        <f>VLOOKUP(B39,'14C'!B$3:L$47,11,0)*1</f>
        <v>42.2523671759987</v>
      </c>
      <c r="N39" s="1">
        <f>VLOOKUP(MROUND(G39,200),MOT!B$3:C$1502,2)*1</f>
        <v>-2.8376000000000001</v>
      </c>
      <c r="O39" s="18">
        <f t="shared" si="3"/>
        <v>8.6321604619418952</v>
      </c>
      <c r="P39" s="15">
        <f>(pKB!G$32-d11B!O39)</f>
        <v>3.5334199047643011E-3</v>
      </c>
      <c r="Q39" s="18">
        <f>((D$42-D39)/(E$2-(I$2*D39)-J$2))</f>
        <v>6.3946300718276963E-2</v>
      </c>
      <c r="R39" s="21">
        <f>(((I$2-1)*E$2-J$2)/(D$16-E$2))</f>
        <v>1.0968593791408214</v>
      </c>
      <c r="S39" s="37">
        <f t="shared" si="2"/>
        <v>-2.5907218103324466E-2</v>
      </c>
      <c r="V39" s="6">
        <f>MROUND(G39,20)</f>
        <v>22900</v>
      </c>
      <c r="W39">
        <f>VLOOKUP(V39,'co2'!A$7:E$9999,4,0)</f>
        <v>524.70000000000005</v>
      </c>
      <c r="X39">
        <f>VLOOKUP(V39,'co2'!A$7:E$9999,5,0)</f>
        <v>13.5</v>
      </c>
      <c r="Y39" s="9">
        <f>W39-L39</f>
        <v>240.27658554846664</v>
      </c>
      <c r="Z39" s="5">
        <f>(M39^2+X39^2)^0.5</f>
        <v>44.356651496426238</v>
      </c>
    </row>
    <row r="40" spans="1:26" x14ac:dyDescent="0.2">
      <c r="A40">
        <v>20180709</v>
      </c>
      <c r="B40">
        <v>101</v>
      </c>
      <c r="D40" s="1">
        <v>17.957502986577648</v>
      </c>
      <c r="E40" s="1"/>
      <c r="F40" s="1">
        <v>0.38113999999999998</v>
      </c>
      <c r="G40" s="4">
        <f>VLOOKUP(B40,'14C'!B$3:L$47,4,0)</f>
        <v>23438.1</v>
      </c>
      <c r="H40" s="4">
        <f>VLOOKUP(B40,'14C'!B$3:L$47,5)</f>
        <v>255.20408163265344</v>
      </c>
      <c r="I40">
        <f>VLOOKUP(B40,'14C'!B$3:L$47,7,0)</f>
        <v>20630</v>
      </c>
      <c r="J40">
        <f>VLOOKUP(B40,'14C'!B$3:L$47,8,0)</f>
        <v>80</v>
      </c>
      <c r="K40">
        <f>VLOOKUP(B40,'14C'!B$3:L$47,9,0)</f>
        <v>181554</v>
      </c>
      <c r="L40" s="4">
        <f>VLOOKUP(B40,'14C'!B$3:L$47,10,0)</f>
        <v>306.01871017559847</v>
      </c>
      <c r="M40" s="4">
        <f>VLOOKUP(B40,'14C'!B$3:L$47,11,0)*1</f>
        <v>13.071516196792913</v>
      </c>
      <c r="N40" s="1">
        <f>VLOOKUP(MROUND(G40,200),MOT!B$3:C$1502,2)*1</f>
        <v>-2.8376000000000001</v>
      </c>
      <c r="O40" s="18">
        <f t="shared" si="3"/>
        <v>8.6321604619418952</v>
      </c>
      <c r="P40" s="15">
        <f>(pKB!G$32-d11B!O40)</f>
        <v>3.5334199047643011E-3</v>
      </c>
      <c r="Q40" s="18">
        <f>((D$42-D40)/(E$2-(I$2*D40)-J$2))</f>
        <v>6.2850454952617735E-2</v>
      </c>
      <c r="R40" s="21">
        <f>(((I$2-1)*E$2-J$2)/(D$16-E$2))</f>
        <v>1.0968593791408214</v>
      </c>
      <c r="S40" s="37">
        <f t="shared" si="2"/>
        <v>-2.5419141403067141E-2</v>
      </c>
      <c r="V40" s="6">
        <f>MROUND(G40,20)</f>
        <v>23440</v>
      </c>
      <c r="W40">
        <f>VLOOKUP(V40,'co2'!A$7:E$9999,4,0)</f>
        <v>494.4</v>
      </c>
      <c r="X40">
        <f>VLOOKUP(V40,'co2'!A$7:E$9999,5,0)</f>
        <v>10.6</v>
      </c>
      <c r="Y40" s="9">
        <f>W40-L40</f>
        <v>188.38128982440151</v>
      </c>
      <c r="Z40" s="5">
        <f>(M40^2+X40^2)^0.5</f>
        <v>16.829276148516296</v>
      </c>
    </row>
    <row r="41" spans="1:26" x14ac:dyDescent="0.2">
      <c r="A41">
        <v>20180709</v>
      </c>
      <c r="B41">
        <v>104</v>
      </c>
      <c r="D41" s="1">
        <v>17.83871747663849</v>
      </c>
      <c r="E41" s="1"/>
      <c r="F41" s="1">
        <v>0.38113999999999998</v>
      </c>
      <c r="G41" s="4">
        <f>VLOOKUP(B41,'14C'!B$3:L$47,4,0)</f>
        <v>24297.8</v>
      </c>
      <c r="H41" s="4">
        <f>VLOOKUP(B41,'14C'!B$3:L$47,5)</f>
        <v>296.37755102040796</v>
      </c>
      <c r="I41">
        <f>VLOOKUP(B41,'14C'!B$3:L$47,7,0)</f>
        <v>21520</v>
      </c>
      <c r="J41">
        <f>VLOOKUP(B41,'14C'!B$3:L$47,8,0)</f>
        <v>80</v>
      </c>
      <c r="K41">
        <f>VLOOKUP(B41,'14C'!B$3:L$47,9,0)</f>
        <v>176294</v>
      </c>
      <c r="L41" s="4">
        <f>VLOOKUP(B41,'14C'!B$3:L$47,10,0)</f>
        <v>297.16634741731565</v>
      </c>
      <c r="M41" s="4">
        <f>VLOOKUP(B41,'14C'!B$3:L$47,11,0)*1</f>
        <v>12.982915779147675</v>
      </c>
      <c r="N41" s="1">
        <f>VLOOKUP(MROUND(G41,200),MOT!B$3:C$1502,2)*1</f>
        <v>-2.8376000000000001</v>
      </c>
      <c r="O41" s="18">
        <f t="shared" si="3"/>
        <v>8.6321604619418952</v>
      </c>
      <c r="P41" s="15">
        <f>(pKB!G$32-d11B!O41)</f>
        <v>3.5334199047643011E-3</v>
      </c>
      <c r="Q41" s="18">
        <f>((D$42-D41)/(E$2-(I$2*D41)-J$2))</f>
        <v>4.4061475745950936E-2</v>
      </c>
      <c r="R41" s="21">
        <f>(((I$2-1)*E$2-J$2)/(D$16-E$2))</f>
        <v>1.0968593791408214</v>
      </c>
      <c r="S41" s="37">
        <f t="shared" si="2"/>
        <v>-1.6964280616882439E-2</v>
      </c>
      <c r="V41" s="6">
        <f>MROUND(G41,20)</f>
        <v>24300</v>
      </c>
      <c r="W41">
        <f>VLOOKUP(V41,'co2'!A$7:E$9999,4,0)</f>
        <v>509.5</v>
      </c>
      <c r="X41">
        <f>VLOOKUP(V41,'co2'!A$7:E$9999,5,0)</f>
        <v>12.2</v>
      </c>
      <c r="Y41" s="9">
        <f>W41-L41</f>
        <v>212.33365258268435</v>
      </c>
      <c r="Z41" s="5">
        <f>(M41^2+X41^2)^0.5</f>
        <v>17.815613998076003</v>
      </c>
    </row>
    <row r="42" spans="1:26" x14ac:dyDescent="0.2">
      <c r="A42">
        <v>20221219</v>
      </c>
      <c r="B42">
        <v>106</v>
      </c>
      <c r="D42" s="1">
        <v>17.57814096729571</v>
      </c>
      <c r="E42" s="1"/>
      <c r="F42" s="1">
        <v>0.14000000000000001</v>
      </c>
      <c r="G42" s="5">
        <v>24880</v>
      </c>
      <c r="H42" s="4">
        <f>VLOOKUP(B42,'14C'!B$3:L$47,5)</f>
        <v>296.37755102040796</v>
      </c>
      <c r="I42">
        <v>21810</v>
      </c>
      <c r="J42">
        <v>210</v>
      </c>
      <c r="K42">
        <v>176293</v>
      </c>
      <c r="L42" s="4">
        <v>263.36941578883443</v>
      </c>
      <c r="M42" s="4">
        <v>33.462697869815372</v>
      </c>
      <c r="N42" s="1">
        <f>VLOOKUP(MROUND(G42,200),MOT!B$3:C$1502,2)*1</f>
        <v>-2.8376000000000001</v>
      </c>
      <c r="O42" s="18">
        <f t="shared" si="3"/>
        <v>8.6321604619418952</v>
      </c>
      <c r="P42" s="15">
        <f>(pKB!G$32-d11B!O42)</f>
        <v>3.5334199047643011E-3</v>
      </c>
      <c r="Q42" s="18">
        <f>((D$42-D42)/(E$2-(I$2*D42)-J$2))</f>
        <v>0</v>
      </c>
      <c r="R42" s="21">
        <f>(((I$2-1)*E$2-J$2)/(D$16-E$2))</f>
        <v>1.0968593791408214</v>
      </c>
      <c r="S42" s="37">
        <f t="shared" si="2"/>
        <v>3.5334199047643011E-3</v>
      </c>
      <c r="V42" s="6">
        <f>MROUND(G42,20)</f>
        <v>24880</v>
      </c>
      <c r="W42">
        <f>VLOOKUP(V42,'co2'!A$7:E$9999,4,0)</f>
        <v>560.6</v>
      </c>
      <c r="X42">
        <f>VLOOKUP(V42,'co2'!A$7:E$9999,5,0)</f>
        <v>8.6</v>
      </c>
      <c r="Y42" s="9">
        <f>W42-L42</f>
        <v>297.23058421116559</v>
      </c>
      <c r="Z42" s="5">
        <f>(M42^2+X42^2)^0.5</f>
        <v>34.550139633965969</v>
      </c>
    </row>
    <row r="43" spans="1:26" x14ac:dyDescent="0.2">
      <c r="A43">
        <v>20180709</v>
      </c>
      <c r="B43">
        <v>116</v>
      </c>
      <c r="D43" s="1">
        <v>18.160492024389406</v>
      </c>
      <c r="E43" s="1"/>
      <c r="F43" s="1">
        <v>0.2582063</v>
      </c>
      <c r="G43" s="4">
        <f>VLOOKUP(B43,'14C'!B$3:L$47,4,0)</f>
        <v>27914.6</v>
      </c>
      <c r="H43" s="4">
        <f>VLOOKUP(B43,'14C'!B$3:L$47,5)</f>
        <v>650.15306122448942</v>
      </c>
      <c r="I43">
        <f>VLOOKUP(B43,'14C'!B$3:L$47,7,0)</f>
        <v>27020</v>
      </c>
      <c r="J43">
        <f>VLOOKUP(B43,'14C'!B$3:L$47,8,0)</f>
        <v>190</v>
      </c>
      <c r="K43">
        <f>VLOOKUP(B43,'14C'!B$3:L$47,9,0)</f>
        <v>206080</v>
      </c>
      <c r="L43" s="4">
        <f>VLOOKUP(B43,'14C'!B$3:L$47,10,0)</f>
        <v>13.089859768592449</v>
      </c>
      <c r="M43" s="4">
        <f>VLOOKUP(B43,'14C'!B$3:L$47,11,0)*1</f>
        <v>24.24766852668192</v>
      </c>
      <c r="N43" s="1">
        <f>VLOOKUP(MROUND(G43,200),MOT!B$3:C$1502,2)*1</f>
        <v>-2.8376000000000001</v>
      </c>
      <c r="O43" s="18">
        <f t="shared" si="3"/>
        <v>8.6321604619418952</v>
      </c>
      <c r="P43" s="15">
        <f>(pKB!G$32-d11B!O43)</f>
        <v>3.5334199047643011E-3</v>
      </c>
      <c r="Q43" s="18">
        <f>((D$42-D43)/(E$2-(I$2*D43)-J$2))</f>
        <v>9.3258872484045893E-2</v>
      </c>
      <c r="R43" s="21">
        <f>(((I$2-1)*E$2-J$2)/(D$16-E$2))</f>
        <v>1.0968593791408214</v>
      </c>
      <c r="S43" s="37">
        <f t="shared" si="2"/>
        <v>-3.8763183958539373E-2</v>
      </c>
      <c r="V43" s="6">
        <f>MROUND(G43,20)</f>
        <v>27920</v>
      </c>
      <c r="W43">
        <f>VLOOKUP(V43,'co2'!A$7:E$9999,4,0)</f>
        <v>491.4</v>
      </c>
      <c r="X43">
        <f>VLOOKUP(V43,'co2'!A$7:E$9999,5,0)</f>
        <v>14.4</v>
      </c>
      <c r="Y43" s="9">
        <f>W43-L43</f>
        <v>478.3101402314075</v>
      </c>
      <c r="Z43" s="5">
        <f>(M43^2+X43^2)^0.5</f>
        <v>28.201230983413488</v>
      </c>
    </row>
    <row r="44" spans="1:26" x14ac:dyDescent="0.2">
      <c r="A44">
        <v>20221219</v>
      </c>
      <c r="B44">
        <v>116</v>
      </c>
      <c r="D44" s="1">
        <v>17.821481194067125</v>
      </c>
      <c r="E44" s="1"/>
      <c r="F44" s="1">
        <v>0.14000000000000001</v>
      </c>
      <c r="G44" s="4">
        <f>VLOOKUP(B44,'14C'!B$3:L$47,4,0)</f>
        <v>27914.6</v>
      </c>
      <c r="H44" s="4">
        <f>VLOOKUP(B44,'14C'!B$3:L$47,5)</f>
        <v>650.15306122448942</v>
      </c>
      <c r="I44">
        <f>VLOOKUP(B44,'14C'!B$3:L$47,7,0)</f>
        <v>27020</v>
      </c>
      <c r="J44">
        <f>VLOOKUP(B44,'14C'!B$3:L$47,8,0)</f>
        <v>190</v>
      </c>
      <c r="K44">
        <f>VLOOKUP(B44,'14C'!B$3:L$47,9,0)</f>
        <v>206080</v>
      </c>
      <c r="L44" s="4">
        <f>VLOOKUP(B44,'14C'!B$3:L$47,10,0)</f>
        <v>13.089859768592449</v>
      </c>
      <c r="M44" s="4">
        <f>VLOOKUP(B44,'14C'!B$3:L$47,11,0)*1</f>
        <v>24.24766852668192</v>
      </c>
      <c r="N44" s="1">
        <f>VLOOKUP(MROUND(G44,200),MOT!B$3:C$1502,2)*1</f>
        <v>-2.8376000000000001</v>
      </c>
      <c r="O44" s="18">
        <f t="shared" si="3"/>
        <v>8.6321604619418952</v>
      </c>
      <c r="P44" s="15">
        <f>(pKB!G$32-d11B!O44)</f>
        <v>3.5334199047643011E-3</v>
      </c>
      <c r="Q44" s="18">
        <f>((D$42-D44)/(E$2-(I$2*D44)-J$2))</f>
        <v>4.127050898778576E-2</v>
      </c>
      <c r="R44" s="21">
        <f>(((I$2-1)*E$2-J$2)/(D$16-E$2))</f>
        <v>1.0968593791408214</v>
      </c>
      <c r="S44" s="37">
        <f t="shared" si="2"/>
        <v>-1.5694212226823285E-2</v>
      </c>
      <c r="V44" s="6">
        <f>MROUND(G44,20)</f>
        <v>27920</v>
      </c>
      <c r="W44">
        <f>VLOOKUP(V44,'co2'!A$7:E$9999,4,0)</f>
        <v>491.4</v>
      </c>
      <c r="X44">
        <f>VLOOKUP(V44,'co2'!A$7:E$9999,5,0)</f>
        <v>14.4</v>
      </c>
      <c r="Y44" s="9">
        <f>W44-L44</f>
        <v>478.3101402314075</v>
      </c>
      <c r="Z44" s="5">
        <f>(M44^2+X44^2)^0.5</f>
        <v>28.201230983413488</v>
      </c>
    </row>
  </sheetData>
  <sortState xmlns:xlrd2="http://schemas.microsoft.com/office/spreadsheetml/2017/richdata2" ref="AD7:AJ17">
    <sortCondition ref="AE7:AE17"/>
  </sortState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6C6D-5E98-CA4D-8635-736B5AD31289}">
  <dimension ref="A1:E1502"/>
  <sheetViews>
    <sheetView workbookViewId="0">
      <pane xSplit="1" ySplit="2" topLeftCell="B1020" activePane="bottomRight" state="frozen"/>
      <selection pane="topRight" activeCell="B1" sqref="B1"/>
      <selection pane="bottomLeft" activeCell="A3" sqref="A3"/>
      <selection pane="bottomRight" activeCell="F53" sqref="F53"/>
    </sheetView>
  </sheetViews>
  <sheetFormatPr baseColWidth="10" defaultRowHeight="16" x14ac:dyDescent="0.2"/>
  <cols>
    <col min="2" max="2" width="14.1640625" customWidth="1"/>
  </cols>
  <sheetData>
    <row r="1" spans="1:5" x14ac:dyDescent="0.2">
      <c r="A1" s="10" t="s">
        <v>67</v>
      </c>
      <c r="B1" s="14"/>
      <c r="C1" t="s">
        <v>68</v>
      </c>
      <c r="D1" t="s">
        <v>69</v>
      </c>
      <c r="E1" t="s">
        <v>70</v>
      </c>
    </row>
    <row r="2" spans="1:5" x14ac:dyDescent="0.2">
      <c r="A2" s="11" t="s">
        <v>71</v>
      </c>
      <c r="B2" s="11" t="s">
        <v>73</v>
      </c>
      <c r="C2" s="12" t="s">
        <v>72</v>
      </c>
      <c r="D2" s="12" t="s">
        <v>72</v>
      </c>
      <c r="E2" s="12" t="s">
        <v>72</v>
      </c>
    </row>
    <row r="3" spans="1:5" x14ac:dyDescent="0.2">
      <c r="A3">
        <v>6700</v>
      </c>
      <c r="B3">
        <f>MROUND(A3,100)</f>
        <v>6700</v>
      </c>
      <c r="C3" s="13">
        <v>-1.5468</v>
      </c>
      <c r="D3" s="13">
        <v>-1.216</v>
      </c>
      <c r="E3" s="13">
        <v>-1.8776999999999999</v>
      </c>
    </row>
    <row r="4" spans="1:5" x14ac:dyDescent="0.2">
      <c r="A4">
        <v>6710.1</v>
      </c>
      <c r="B4">
        <f t="shared" ref="B4:B67" si="0">MROUND(A4,100)</f>
        <v>6700</v>
      </c>
      <c r="C4" s="13">
        <v>-1.5434000000000001</v>
      </c>
      <c r="D4" s="13">
        <v>-1.2158</v>
      </c>
      <c r="E4" s="13">
        <v>-1.871</v>
      </c>
    </row>
    <row r="5" spans="1:5" x14ac:dyDescent="0.2">
      <c r="A5">
        <v>6720.1</v>
      </c>
      <c r="B5">
        <f t="shared" si="0"/>
        <v>6700</v>
      </c>
      <c r="C5" s="13">
        <v>-1.5399</v>
      </c>
      <c r="D5" s="13">
        <v>-1.2154</v>
      </c>
      <c r="E5" s="13">
        <v>-1.8645</v>
      </c>
    </row>
    <row r="6" spans="1:5" x14ac:dyDescent="0.2">
      <c r="A6">
        <v>6730.2</v>
      </c>
      <c r="B6">
        <f t="shared" si="0"/>
        <v>6700</v>
      </c>
      <c r="C6" s="13">
        <v>-1.5365</v>
      </c>
      <c r="D6" s="13">
        <v>-1.2148000000000001</v>
      </c>
      <c r="E6" s="13">
        <v>-1.8582000000000001</v>
      </c>
    </row>
    <row r="7" spans="1:5" x14ac:dyDescent="0.2">
      <c r="A7">
        <v>6740.3</v>
      </c>
      <c r="B7">
        <f t="shared" si="0"/>
        <v>6700</v>
      </c>
      <c r="C7" s="13">
        <v>-1.5330999999999999</v>
      </c>
      <c r="D7" s="13">
        <v>-1.2141</v>
      </c>
      <c r="E7" s="13">
        <v>-1.8520000000000001</v>
      </c>
    </row>
    <row r="8" spans="1:5" x14ac:dyDescent="0.2">
      <c r="A8">
        <v>6750.4</v>
      </c>
      <c r="B8">
        <f t="shared" si="0"/>
        <v>6800</v>
      </c>
      <c r="C8" s="13">
        <v>-1.5296000000000001</v>
      </c>
      <c r="D8" s="13">
        <v>-1.2132000000000001</v>
      </c>
      <c r="E8" s="13">
        <v>-1.8461000000000001</v>
      </c>
    </row>
    <row r="9" spans="1:5" x14ac:dyDescent="0.2">
      <c r="A9">
        <v>6760.4</v>
      </c>
      <c r="B9">
        <f t="shared" si="0"/>
        <v>6800</v>
      </c>
      <c r="C9" s="13">
        <v>-1.5262</v>
      </c>
      <c r="D9" s="13">
        <v>-1.2121</v>
      </c>
      <c r="E9" s="13">
        <v>-1.8403</v>
      </c>
    </row>
    <row r="10" spans="1:5" x14ac:dyDescent="0.2">
      <c r="A10">
        <v>6770.5</v>
      </c>
      <c r="B10">
        <f t="shared" si="0"/>
        <v>6800</v>
      </c>
      <c r="C10" s="13">
        <v>-1.5226999999999999</v>
      </c>
      <c r="D10" s="13">
        <v>-1.2108000000000001</v>
      </c>
      <c r="E10" s="13">
        <v>-1.8347</v>
      </c>
    </row>
    <row r="11" spans="1:5" x14ac:dyDescent="0.2">
      <c r="A11">
        <v>6780.6</v>
      </c>
      <c r="B11">
        <f t="shared" si="0"/>
        <v>6800</v>
      </c>
      <c r="C11" s="13">
        <v>-1.5193000000000001</v>
      </c>
      <c r="D11" s="13">
        <v>-1.2094</v>
      </c>
      <c r="E11" s="13">
        <v>-1.8291999999999999</v>
      </c>
    </row>
    <row r="12" spans="1:5" x14ac:dyDescent="0.2">
      <c r="A12">
        <v>6790.7</v>
      </c>
      <c r="B12">
        <f t="shared" si="0"/>
        <v>6800</v>
      </c>
      <c r="C12" s="13">
        <v>-1.5158</v>
      </c>
      <c r="D12" s="13">
        <v>-1.2077</v>
      </c>
      <c r="E12" s="13">
        <v>-1.8240000000000001</v>
      </c>
    </row>
    <row r="13" spans="1:5" x14ac:dyDescent="0.2">
      <c r="A13">
        <v>6800.7</v>
      </c>
      <c r="B13">
        <f t="shared" si="0"/>
        <v>6800</v>
      </c>
      <c r="C13" s="13">
        <v>-1.5123</v>
      </c>
      <c r="D13" s="13">
        <v>-1.2058</v>
      </c>
      <c r="E13" s="13">
        <v>-1.8189</v>
      </c>
    </row>
    <row r="14" spans="1:5" x14ac:dyDescent="0.2">
      <c r="A14">
        <v>6810.8</v>
      </c>
      <c r="B14">
        <f t="shared" si="0"/>
        <v>6800</v>
      </c>
      <c r="C14" s="13">
        <v>-1.5087999999999999</v>
      </c>
      <c r="D14" s="13">
        <v>-1.2037</v>
      </c>
      <c r="E14" s="13">
        <v>-1.8140000000000001</v>
      </c>
    </row>
    <row r="15" spans="1:5" x14ac:dyDescent="0.2">
      <c r="A15">
        <v>6820.9</v>
      </c>
      <c r="B15">
        <f t="shared" si="0"/>
        <v>6800</v>
      </c>
      <c r="C15" s="13">
        <v>-1.5053000000000001</v>
      </c>
      <c r="D15" s="13">
        <v>-1.2013</v>
      </c>
      <c r="E15" s="13">
        <v>-1.8092999999999999</v>
      </c>
    </row>
    <row r="16" spans="1:5" x14ac:dyDescent="0.2">
      <c r="A16">
        <v>6831</v>
      </c>
      <c r="B16">
        <f t="shared" si="0"/>
        <v>6800</v>
      </c>
      <c r="C16" s="13">
        <v>-1.5018</v>
      </c>
      <c r="D16" s="13">
        <v>-1.1988000000000001</v>
      </c>
      <c r="E16" s="13">
        <v>-1.8047</v>
      </c>
    </row>
    <row r="17" spans="1:5" x14ac:dyDescent="0.2">
      <c r="A17">
        <v>6841</v>
      </c>
      <c r="B17">
        <f t="shared" si="0"/>
        <v>6800</v>
      </c>
      <c r="C17" s="13">
        <v>-1.4982</v>
      </c>
      <c r="D17" s="13">
        <v>-1.1960999999999999</v>
      </c>
      <c r="E17" s="13">
        <v>-1.8003</v>
      </c>
    </row>
    <row r="18" spans="1:5" x14ac:dyDescent="0.2">
      <c r="A18">
        <v>6851.1</v>
      </c>
      <c r="B18">
        <f t="shared" si="0"/>
        <v>6900</v>
      </c>
      <c r="C18" s="13">
        <v>-1.4945999999999999</v>
      </c>
      <c r="D18" s="13">
        <v>-1.1931</v>
      </c>
      <c r="E18" s="13">
        <v>-1.796</v>
      </c>
    </row>
    <row r="19" spans="1:5" x14ac:dyDescent="0.2">
      <c r="A19">
        <v>6861.2</v>
      </c>
      <c r="B19">
        <f t="shared" si="0"/>
        <v>6900</v>
      </c>
      <c r="C19" s="13">
        <v>-1.4908999999999999</v>
      </c>
      <c r="D19" s="13">
        <v>-1.1899</v>
      </c>
      <c r="E19" s="13">
        <v>-1.7919</v>
      </c>
    </row>
    <row r="20" spans="1:5" x14ac:dyDescent="0.2">
      <c r="A20">
        <v>6871.2</v>
      </c>
      <c r="B20">
        <f t="shared" si="0"/>
        <v>6900</v>
      </c>
      <c r="C20" s="13">
        <v>-1.4872000000000001</v>
      </c>
      <c r="D20" s="13">
        <v>-1.1866000000000001</v>
      </c>
      <c r="E20" s="13">
        <v>-1.7879</v>
      </c>
    </row>
    <row r="21" spans="1:5" x14ac:dyDescent="0.2">
      <c r="A21">
        <v>6881.3</v>
      </c>
      <c r="B21">
        <f t="shared" si="0"/>
        <v>6900</v>
      </c>
      <c r="C21" s="13">
        <v>-1.4835</v>
      </c>
      <c r="D21" s="13">
        <v>-1.1830000000000001</v>
      </c>
      <c r="E21" s="13">
        <v>-1.784</v>
      </c>
    </row>
    <row r="22" spans="1:5" x14ac:dyDescent="0.2">
      <c r="A22">
        <v>6891.4</v>
      </c>
      <c r="B22">
        <f t="shared" si="0"/>
        <v>6900</v>
      </c>
      <c r="C22" s="13">
        <v>-1.4798</v>
      </c>
      <c r="D22" s="13">
        <v>-1.1793</v>
      </c>
      <c r="E22" s="13">
        <v>-1.7803</v>
      </c>
    </row>
    <row r="23" spans="1:5" x14ac:dyDescent="0.2">
      <c r="A23">
        <v>6901.5</v>
      </c>
      <c r="B23">
        <f t="shared" si="0"/>
        <v>6900</v>
      </c>
      <c r="C23" s="13">
        <v>-1.476</v>
      </c>
      <c r="D23" s="13">
        <v>-1.1753</v>
      </c>
      <c r="E23" s="13">
        <v>-1.7766</v>
      </c>
    </row>
    <row r="24" spans="1:5" x14ac:dyDescent="0.2">
      <c r="A24">
        <v>6911.5</v>
      </c>
      <c r="B24">
        <f t="shared" si="0"/>
        <v>6900</v>
      </c>
      <c r="C24" s="13">
        <v>-1.4721</v>
      </c>
      <c r="D24" s="13">
        <v>-1.1712</v>
      </c>
      <c r="E24" s="13">
        <v>-1.7729999999999999</v>
      </c>
    </row>
    <row r="25" spans="1:5" x14ac:dyDescent="0.2">
      <c r="A25">
        <v>6921.6</v>
      </c>
      <c r="B25">
        <f t="shared" si="0"/>
        <v>6900</v>
      </c>
      <c r="C25" s="13">
        <v>-1.4681999999999999</v>
      </c>
      <c r="D25" s="13">
        <v>-1.1669</v>
      </c>
      <c r="E25" s="13">
        <v>-1.7694000000000001</v>
      </c>
    </row>
    <row r="26" spans="1:5" x14ac:dyDescent="0.2">
      <c r="A26">
        <v>6931.7</v>
      </c>
      <c r="B26">
        <f t="shared" si="0"/>
        <v>6900</v>
      </c>
      <c r="C26" s="13">
        <v>-1.4641999999999999</v>
      </c>
      <c r="D26" s="13">
        <v>-1.1625000000000001</v>
      </c>
      <c r="E26" s="13">
        <v>-1.766</v>
      </c>
    </row>
    <row r="27" spans="1:5" x14ac:dyDescent="0.2">
      <c r="A27">
        <v>6941.8</v>
      </c>
      <c r="B27">
        <f t="shared" si="0"/>
        <v>6900</v>
      </c>
      <c r="C27" s="13">
        <v>-1.4601999999999999</v>
      </c>
      <c r="D27" s="13">
        <v>-1.1578999999999999</v>
      </c>
      <c r="E27" s="13">
        <v>-1.7625</v>
      </c>
    </row>
    <row r="28" spans="1:5" x14ac:dyDescent="0.2">
      <c r="A28">
        <v>6951.8</v>
      </c>
      <c r="B28">
        <f t="shared" si="0"/>
        <v>7000</v>
      </c>
      <c r="C28" s="13">
        <v>-1.4560999999999999</v>
      </c>
      <c r="D28" s="13">
        <v>-1.1532</v>
      </c>
      <c r="E28" s="13">
        <v>-1.7591000000000001</v>
      </c>
    </row>
    <row r="29" spans="1:5" x14ac:dyDescent="0.2">
      <c r="A29">
        <v>6961.9</v>
      </c>
      <c r="B29">
        <f t="shared" si="0"/>
        <v>7000</v>
      </c>
      <c r="C29" s="13">
        <v>-1.452</v>
      </c>
      <c r="D29" s="13">
        <v>-1.1483000000000001</v>
      </c>
      <c r="E29" s="13">
        <v>-1.7557</v>
      </c>
    </row>
    <row r="30" spans="1:5" x14ac:dyDescent="0.2">
      <c r="A30">
        <v>6972</v>
      </c>
      <c r="B30">
        <f t="shared" si="0"/>
        <v>7000</v>
      </c>
      <c r="C30" s="13">
        <v>-1.4478</v>
      </c>
      <c r="D30" s="13">
        <v>-1.1433</v>
      </c>
      <c r="E30" s="13">
        <v>-1.7523</v>
      </c>
    </row>
    <row r="31" spans="1:5" x14ac:dyDescent="0.2">
      <c r="A31">
        <v>6982.1</v>
      </c>
      <c r="B31">
        <f t="shared" si="0"/>
        <v>7000</v>
      </c>
      <c r="C31" s="13">
        <v>-1.4435</v>
      </c>
      <c r="D31" s="13">
        <v>-1.1382000000000001</v>
      </c>
      <c r="E31" s="13">
        <v>-1.7487999999999999</v>
      </c>
    </row>
    <row r="32" spans="1:5" x14ac:dyDescent="0.2">
      <c r="A32">
        <v>6992.1</v>
      </c>
      <c r="B32">
        <f t="shared" si="0"/>
        <v>7000</v>
      </c>
      <c r="C32" s="13">
        <v>-1.4392</v>
      </c>
      <c r="D32" s="13">
        <v>-1.133</v>
      </c>
      <c r="E32" s="13">
        <v>-1.7453000000000001</v>
      </c>
    </row>
    <row r="33" spans="1:5" x14ac:dyDescent="0.2">
      <c r="A33">
        <v>7002.2</v>
      </c>
      <c r="B33">
        <f t="shared" si="0"/>
        <v>7000</v>
      </c>
      <c r="C33" s="13">
        <v>-1.4347000000000001</v>
      </c>
      <c r="D33" s="13">
        <v>-1.1276999999999999</v>
      </c>
      <c r="E33" s="13">
        <v>-1.7418</v>
      </c>
    </row>
    <row r="34" spans="1:5" x14ac:dyDescent="0.2">
      <c r="A34">
        <v>7012.3</v>
      </c>
      <c r="B34">
        <f t="shared" si="0"/>
        <v>7000</v>
      </c>
      <c r="C34" s="13">
        <v>-1.4301999999999999</v>
      </c>
      <c r="D34" s="13">
        <v>-1.1224000000000001</v>
      </c>
      <c r="E34" s="13">
        <v>-1.7381</v>
      </c>
    </row>
    <row r="35" spans="1:5" x14ac:dyDescent="0.2">
      <c r="A35">
        <v>7022.3</v>
      </c>
      <c r="B35">
        <f t="shared" si="0"/>
        <v>7000</v>
      </c>
      <c r="C35" s="13">
        <v>-1.4257</v>
      </c>
      <c r="D35" s="13">
        <v>-1.1169</v>
      </c>
      <c r="E35" s="13">
        <v>-1.7343999999999999</v>
      </c>
    </row>
    <row r="36" spans="1:5" x14ac:dyDescent="0.2">
      <c r="A36">
        <v>7032.4</v>
      </c>
      <c r="B36">
        <f t="shared" si="0"/>
        <v>7000</v>
      </c>
      <c r="C36" s="13">
        <v>-1.421</v>
      </c>
      <c r="D36" s="13">
        <v>-1.1113999999999999</v>
      </c>
      <c r="E36" s="13">
        <v>-1.7305999999999999</v>
      </c>
    </row>
    <row r="37" spans="1:5" x14ac:dyDescent="0.2">
      <c r="A37">
        <v>7042.5</v>
      </c>
      <c r="B37">
        <f t="shared" si="0"/>
        <v>7000</v>
      </c>
      <c r="C37" s="13">
        <v>-1.4162999999999999</v>
      </c>
      <c r="D37" s="13">
        <v>-1.1059000000000001</v>
      </c>
      <c r="E37" s="13">
        <v>-1.7265999999999999</v>
      </c>
    </row>
    <row r="38" spans="1:5" x14ac:dyDescent="0.2">
      <c r="A38">
        <v>7052.6</v>
      </c>
      <c r="B38">
        <f t="shared" si="0"/>
        <v>7100</v>
      </c>
      <c r="C38" s="13">
        <v>-1.4114</v>
      </c>
      <c r="D38" s="13">
        <v>-1.1003000000000001</v>
      </c>
      <c r="E38" s="13">
        <v>-1.7225999999999999</v>
      </c>
    </row>
    <row r="39" spans="1:5" x14ac:dyDescent="0.2">
      <c r="A39">
        <v>7062.6</v>
      </c>
      <c r="B39">
        <f t="shared" si="0"/>
        <v>7100</v>
      </c>
      <c r="C39" s="13">
        <v>-1.4065000000000001</v>
      </c>
      <c r="D39" s="13">
        <v>-1.0946</v>
      </c>
      <c r="E39" s="13">
        <v>-1.7182999999999999</v>
      </c>
    </row>
    <row r="40" spans="1:5" x14ac:dyDescent="0.2">
      <c r="A40">
        <v>7072.7</v>
      </c>
      <c r="B40">
        <f t="shared" si="0"/>
        <v>7100</v>
      </c>
      <c r="C40" s="13">
        <v>-1.4015</v>
      </c>
      <c r="D40" s="13">
        <v>-1.089</v>
      </c>
      <c r="E40" s="13">
        <v>-1.7139</v>
      </c>
    </row>
    <row r="41" spans="1:5" x14ac:dyDescent="0.2">
      <c r="A41">
        <v>7082.8</v>
      </c>
      <c r="B41">
        <f t="shared" si="0"/>
        <v>7100</v>
      </c>
      <c r="C41" s="13">
        <v>-1.3963000000000001</v>
      </c>
      <c r="D41" s="13">
        <v>-1.0832999999999999</v>
      </c>
      <c r="E41" s="13">
        <v>-1.7094</v>
      </c>
    </row>
    <row r="42" spans="1:5" x14ac:dyDescent="0.2">
      <c r="A42">
        <v>7092.9</v>
      </c>
      <c r="B42">
        <f t="shared" si="0"/>
        <v>7100</v>
      </c>
      <c r="C42" s="13">
        <v>-1.3911</v>
      </c>
      <c r="D42" s="13">
        <v>-1.0775999999999999</v>
      </c>
      <c r="E42" s="13">
        <v>-1.7045999999999999</v>
      </c>
    </row>
    <row r="43" spans="1:5" x14ac:dyDescent="0.2">
      <c r="A43">
        <v>7102.9</v>
      </c>
      <c r="B43">
        <f t="shared" si="0"/>
        <v>7100</v>
      </c>
      <c r="C43" s="13">
        <v>-1.3857999999999999</v>
      </c>
      <c r="D43" s="13">
        <v>-1.0719000000000001</v>
      </c>
      <c r="E43" s="13">
        <v>-1.6996</v>
      </c>
    </row>
    <row r="44" spans="1:5" x14ac:dyDescent="0.2">
      <c r="A44">
        <v>7113</v>
      </c>
      <c r="B44">
        <f t="shared" si="0"/>
        <v>7100</v>
      </c>
      <c r="C44" s="13">
        <v>-1.3803000000000001</v>
      </c>
      <c r="D44" s="13">
        <v>-1.0662</v>
      </c>
      <c r="E44" s="13">
        <v>-1.6943999999999999</v>
      </c>
    </row>
    <row r="45" spans="1:5" x14ac:dyDescent="0.2">
      <c r="A45">
        <v>7123.1</v>
      </c>
      <c r="B45">
        <f t="shared" si="0"/>
        <v>7100</v>
      </c>
      <c r="C45" s="13">
        <v>-1.3748</v>
      </c>
      <c r="D45" s="13">
        <v>-1.0605</v>
      </c>
      <c r="E45" s="13">
        <v>-1.6890000000000001</v>
      </c>
    </row>
    <row r="46" spans="1:5" x14ac:dyDescent="0.2">
      <c r="A46">
        <v>7133.2</v>
      </c>
      <c r="B46">
        <f t="shared" si="0"/>
        <v>7100</v>
      </c>
      <c r="C46" s="13">
        <v>-1.3691</v>
      </c>
      <c r="D46" s="13">
        <v>-1.0548999999999999</v>
      </c>
      <c r="E46" s="13">
        <v>-1.6834</v>
      </c>
    </row>
    <row r="47" spans="1:5" x14ac:dyDescent="0.2">
      <c r="A47">
        <v>7143.2</v>
      </c>
      <c r="B47">
        <f t="shared" si="0"/>
        <v>7100</v>
      </c>
      <c r="C47" s="13">
        <v>-1.3633</v>
      </c>
      <c r="D47" s="13">
        <v>-1.0491999999999999</v>
      </c>
      <c r="E47" s="13">
        <v>-1.6775</v>
      </c>
    </row>
    <row r="48" spans="1:5" x14ac:dyDescent="0.2">
      <c r="A48">
        <v>7153.3</v>
      </c>
      <c r="B48">
        <f t="shared" si="0"/>
        <v>7200</v>
      </c>
      <c r="C48" s="13">
        <v>-1.3574999999999999</v>
      </c>
      <c r="D48" s="13">
        <v>-1.0436000000000001</v>
      </c>
      <c r="E48" s="13">
        <v>-1.6713</v>
      </c>
    </row>
    <row r="49" spans="1:5" x14ac:dyDescent="0.2">
      <c r="A49">
        <v>7163.4</v>
      </c>
      <c r="B49">
        <f t="shared" si="0"/>
        <v>7200</v>
      </c>
      <c r="C49" s="13">
        <v>-1.3513999999999999</v>
      </c>
      <c r="D49" s="13">
        <v>-1.0379</v>
      </c>
      <c r="E49" s="13">
        <v>-1.6649</v>
      </c>
    </row>
    <row r="50" spans="1:5" x14ac:dyDescent="0.2">
      <c r="A50">
        <v>7173.4</v>
      </c>
      <c r="B50">
        <f t="shared" si="0"/>
        <v>7200</v>
      </c>
      <c r="C50" s="13">
        <v>-1.3452999999999999</v>
      </c>
      <c r="D50" s="13">
        <v>-1.0323</v>
      </c>
      <c r="E50" s="13">
        <v>-1.6583000000000001</v>
      </c>
    </row>
    <row r="51" spans="1:5" x14ac:dyDescent="0.2">
      <c r="A51">
        <v>7183.5</v>
      </c>
      <c r="B51">
        <f t="shared" si="0"/>
        <v>7200</v>
      </c>
      <c r="C51" s="13">
        <v>-1.339</v>
      </c>
      <c r="D51" s="13">
        <v>-1.0266999999999999</v>
      </c>
      <c r="E51" s="13">
        <v>-1.6513</v>
      </c>
    </row>
    <row r="52" spans="1:5" x14ac:dyDescent="0.2">
      <c r="A52">
        <v>7193.6</v>
      </c>
      <c r="B52">
        <f t="shared" si="0"/>
        <v>7200</v>
      </c>
      <c r="C52" s="13">
        <v>-1.3326</v>
      </c>
      <c r="D52" s="13">
        <v>-1.0212000000000001</v>
      </c>
      <c r="E52" s="13">
        <v>-1.6440999999999999</v>
      </c>
    </row>
    <row r="53" spans="1:5" x14ac:dyDescent="0.2">
      <c r="A53">
        <v>7203.7</v>
      </c>
      <c r="B53">
        <f t="shared" si="0"/>
        <v>7200</v>
      </c>
      <c r="C53" s="13">
        <v>-1.3261000000000001</v>
      </c>
      <c r="D53" s="13">
        <v>-1.0156000000000001</v>
      </c>
      <c r="E53" s="13">
        <v>-1.6366000000000001</v>
      </c>
    </row>
    <row r="54" spans="1:5" x14ac:dyDescent="0.2">
      <c r="A54">
        <v>7213.7</v>
      </c>
      <c r="B54">
        <f t="shared" si="0"/>
        <v>7200</v>
      </c>
      <c r="C54" s="13">
        <v>-1.3193999999999999</v>
      </c>
      <c r="D54" s="13">
        <v>-1.0101</v>
      </c>
      <c r="E54" s="13">
        <v>-1.6288</v>
      </c>
    </row>
    <row r="55" spans="1:5" x14ac:dyDescent="0.2">
      <c r="A55">
        <v>7223.8</v>
      </c>
      <c r="B55">
        <f t="shared" si="0"/>
        <v>7200</v>
      </c>
      <c r="C55" s="13">
        <v>-1.3126</v>
      </c>
      <c r="D55" s="13">
        <v>-1.0044999999999999</v>
      </c>
      <c r="E55" s="13">
        <v>-1.6207</v>
      </c>
    </row>
    <row r="56" spans="1:5" x14ac:dyDescent="0.2">
      <c r="A56">
        <v>7233.9</v>
      </c>
      <c r="B56">
        <f t="shared" si="0"/>
        <v>7200</v>
      </c>
      <c r="C56" s="13">
        <v>-1.3056000000000001</v>
      </c>
      <c r="D56" s="13">
        <v>-0.99899000000000004</v>
      </c>
      <c r="E56" s="13">
        <v>-1.6123000000000001</v>
      </c>
    </row>
    <row r="57" spans="1:5" x14ac:dyDescent="0.2">
      <c r="A57">
        <v>7244</v>
      </c>
      <c r="B57">
        <f t="shared" si="0"/>
        <v>7200</v>
      </c>
      <c r="C57" s="13">
        <v>-1.2985</v>
      </c>
      <c r="D57" s="13">
        <v>-0.99343000000000004</v>
      </c>
      <c r="E57" s="13">
        <v>-1.6036999999999999</v>
      </c>
    </row>
    <row r="58" spans="1:5" x14ac:dyDescent="0.2">
      <c r="A58">
        <v>7254</v>
      </c>
      <c r="B58">
        <f t="shared" si="0"/>
        <v>7300</v>
      </c>
      <c r="C58" s="13">
        <v>-1.2912999999999999</v>
      </c>
      <c r="D58" s="13">
        <v>-0.98785000000000001</v>
      </c>
      <c r="E58" s="13">
        <v>-1.5947</v>
      </c>
    </row>
    <row r="59" spans="1:5" x14ac:dyDescent="0.2">
      <c r="A59">
        <v>7264.1</v>
      </c>
      <c r="B59">
        <f t="shared" si="0"/>
        <v>7300</v>
      </c>
      <c r="C59" s="13">
        <v>-1.2839</v>
      </c>
      <c r="D59" s="13">
        <v>-0.98223000000000005</v>
      </c>
      <c r="E59" s="13">
        <v>-1.5855999999999999</v>
      </c>
    </row>
    <row r="60" spans="1:5" x14ac:dyDescent="0.2">
      <c r="A60">
        <v>7274.2</v>
      </c>
      <c r="B60">
        <f t="shared" si="0"/>
        <v>7300</v>
      </c>
      <c r="C60" s="13">
        <v>-1.2764</v>
      </c>
      <c r="D60" s="13">
        <v>-0.97655000000000003</v>
      </c>
      <c r="E60" s="13">
        <v>-1.5762</v>
      </c>
    </row>
    <row r="61" spans="1:5" x14ac:dyDescent="0.2">
      <c r="A61">
        <v>7284.3</v>
      </c>
      <c r="B61">
        <f t="shared" si="0"/>
        <v>7300</v>
      </c>
      <c r="C61" s="13">
        <v>-1.2686999999999999</v>
      </c>
      <c r="D61" s="13">
        <v>-0.97077999999999998</v>
      </c>
      <c r="E61" s="13">
        <v>-1.5665</v>
      </c>
    </row>
    <row r="62" spans="1:5" x14ac:dyDescent="0.2">
      <c r="A62">
        <v>7294.3</v>
      </c>
      <c r="B62">
        <f t="shared" si="0"/>
        <v>7300</v>
      </c>
      <c r="C62" s="13">
        <v>-1.2607999999999999</v>
      </c>
      <c r="D62" s="13">
        <v>-0.96492</v>
      </c>
      <c r="E62" s="13">
        <v>-1.5567</v>
      </c>
    </row>
    <row r="63" spans="1:5" x14ac:dyDescent="0.2">
      <c r="A63">
        <v>7304.4</v>
      </c>
      <c r="B63">
        <f t="shared" si="0"/>
        <v>7300</v>
      </c>
      <c r="C63" s="13">
        <v>-1.2527999999999999</v>
      </c>
      <c r="D63" s="13">
        <v>-0.95894000000000001</v>
      </c>
      <c r="E63" s="13">
        <v>-1.5467</v>
      </c>
    </row>
    <row r="64" spans="1:5" x14ac:dyDescent="0.2">
      <c r="A64">
        <v>7314.5</v>
      </c>
      <c r="B64">
        <f t="shared" si="0"/>
        <v>7300</v>
      </c>
      <c r="C64" s="13">
        <v>-1.2446999999999999</v>
      </c>
      <c r="D64" s="13">
        <v>-0.95281000000000005</v>
      </c>
      <c r="E64" s="13">
        <v>-1.5365</v>
      </c>
    </row>
    <row r="65" spans="1:5" x14ac:dyDescent="0.2">
      <c r="A65">
        <v>7324.5</v>
      </c>
      <c r="B65">
        <f t="shared" si="0"/>
        <v>7300</v>
      </c>
      <c r="C65" s="13">
        <v>-1.2363999999999999</v>
      </c>
      <c r="D65" s="13">
        <v>-0.94652999999999998</v>
      </c>
      <c r="E65" s="13">
        <v>-1.5262</v>
      </c>
    </row>
    <row r="66" spans="1:5" x14ac:dyDescent="0.2">
      <c r="A66">
        <v>7334.6</v>
      </c>
      <c r="B66">
        <f t="shared" si="0"/>
        <v>7300</v>
      </c>
      <c r="C66" s="13">
        <v>-1.2279</v>
      </c>
      <c r="D66" s="13">
        <v>-0.94006000000000001</v>
      </c>
      <c r="E66" s="13">
        <v>-1.5157</v>
      </c>
    </row>
    <row r="67" spans="1:5" x14ac:dyDescent="0.2">
      <c r="A67">
        <v>7344.7</v>
      </c>
      <c r="B67">
        <f t="shared" si="0"/>
        <v>7300</v>
      </c>
      <c r="C67" s="13">
        <v>-1.2193000000000001</v>
      </c>
      <c r="D67" s="13">
        <v>-0.93340000000000001</v>
      </c>
      <c r="E67" s="13">
        <v>-1.5052000000000001</v>
      </c>
    </row>
    <row r="68" spans="1:5" x14ac:dyDescent="0.2">
      <c r="A68">
        <v>7354.8</v>
      </c>
      <c r="B68">
        <f t="shared" ref="B68:B131" si="1">MROUND(A68,100)</f>
        <v>7400</v>
      </c>
      <c r="C68" s="13">
        <v>-1.2104999999999999</v>
      </c>
      <c r="D68" s="13">
        <v>-0.92650999999999994</v>
      </c>
      <c r="E68" s="13">
        <v>-1.4944999999999999</v>
      </c>
    </row>
    <row r="69" spans="1:5" x14ac:dyDescent="0.2">
      <c r="A69">
        <v>7364.8</v>
      </c>
      <c r="B69">
        <f t="shared" si="1"/>
        <v>7400</v>
      </c>
      <c r="C69" s="13">
        <v>-1.2016</v>
      </c>
      <c r="D69" s="13">
        <v>-0.91939000000000004</v>
      </c>
      <c r="E69" s="13">
        <v>-1.4838</v>
      </c>
    </row>
    <row r="70" spans="1:5" x14ac:dyDescent="0.2">
      <c r="A70">
        <v>7374.9</v>
      </c>
      <c r="B70">
        <f t="shared" si="1"/>
        <v>7400</v>
      </c>
      <c r="C70" s="13">
        <v>-1.1924999999999999</v>
      </c>
      <c r="D70" s="13">
        <v>-0.91200999999999999</v>
      </c>
      <c r="E70" s="13">
        <v>-1.4730000000000001</v>
      </c>
    </row>
    <row r="71" spans="1:5" x14ac:dyDescent="0.2">
      <c r="A71">
        <v>7385</v>
      </c>
      <c r="B71">
        <f t="shared" si="1"/>
        <v>7400</v>
      </c>
      <c r="C71" s="13">
        <v>-1.1833</v>
      </c>
      <c r="D71" s="13">
        <v>-0.90436000000000005</v>
      </c>
      <c r="E71" s="13">
        <v>-1.4621999999999999</v>
      </c>
    </row>
    <row r="72" spans="1:5" x14ac:dyDescent="0.2">
      <c r="A72">
        <v>7395.1</v>
      </c>
      <c r="B72">
        <f t="shared" si="1"/>
        <v>7400</v>
      </c>
      <c r="C72" s="13">
        <v>-1.1738999999999999</v>
      </c>
      <c r="D72" s="13">
        <v>-0.89641999999999999</v>
      </c>
      <c r="E72" s="13">
        <v>-1.4513</v>
      </c>
    </row>
    <row r="73" spans="1:5" x14ac:dyDescent="0.2">
      <c r="A73">
        <v>7405.1</v>
      </c>
      <c r="B73">
        <f t="shared" si="1"/>
        <v>7400</v>
      </c>
      <c r="C73" s="13">
        <v>-1.1642999999999999</v>
      </c>
      <c r="D73" s="13">
        <v>-0.88819000000000004</v>
      </c>
      <c r="E73" s="13">
        <v>-1.4403999999999999</v>
      </c>
    </row>
    <row r="74" spans="1:5" x14ac:dyDescent="0.2">
      <c r="A74">
        <v>7415.2</v>
      </c>
      <c r="B74">
        <f t="shared" si="1"/>
        <v>7400</v>
      </c>
      <c r="C74" s="13">
        <v>-1.1546000000000001</v>
      </c>
      <c r="D74" s="13">
        <v>-0.87963999999999998</v>
      </c>
      <c r="E74" s="13">
        <v>-1.4295</v>
      </c>
    </row>
    <row r="75" spans="1:5" x14ac:dyDescent="0.2">
      <c r="A75">
        <v>7425.3</v>
      </c>
      <c r="B75">
        <f t="shared" si="1"/>
        <v>7400</v>
      </c>
      <c r="C75" s="13">
        <v>-1.1447000000000001</v>
      </c>
      <c r="D75" s="13">
        <v>-0.87078</v>
      </c>
      <c r="E75" s="13">
        <v>-1.4186000000000001</v>
      </c>
    </row>
    <row r="76" spans="1:5" x14ac:dyDescent="0.2">
      <c r="A76">
        <v>7435.4</v>
      </c>
      <c r="B76">
        <f t="shared" si="1"/>
        <v>7400</v>
      </c>
      <c r="C76" s="13">
        <v>-1.1347</v>
      </c>
      <c r="D76" s="13">
        <v>-0.86158999999999997</v>
      </c>
      <c r="E76" s="13">
        <v>-1.4077</v>
      </c>
    </row>
    <row r="77" spans="1:5" x14ac:dyDescent="0.2">
      <c r="A77">
        <v>7445.4</v>
      </c>
      <c r="B77">
        <f t="shared" si="1"/>
        <v>7400</v>
      </c>
      <c r="C77" s="13">
        <v>-1.1244000000000001</v>
      </c>
      <c r="D77" s="13">
        <v>-0.85206000000000004</v>
      </c>
      <c r="E77" s="13">
        <v>-1.3968</v>
      </c>
    </row>
    <row r="78" spans="1:5" x14ac:dyDescent="0.2">
      <c r="A78">
        <v>7455.5</v>
      </c>
      <c r="B78">
        <f t="shared" si="1"/>
        <v>7500</v>
      </c>
      <c r="C78" s="13">
        <v>-1.1141000000000001</v>
      </c>
      <c r="D78" s="13">
        <v>-0.84219999999999995</v>
      </c>
      <c r="E78" s="13">
        <v>-1.3859999999999999</v>
      </c>
    </row>
    <row r="79" spans="1:5" x14ac:dyDescent="0.2">
      <c r="A79">
        <v>7465.6</v>
      </c>
      <c r="B79">
        <f t="shared" si="1"/>
        <v>7500</v>
      </c>
      <c r="C79" s="13">
        <v>-1.1034999999999999</v>
      </c>
      <c r="D79" s="13">
        <v>-0.83201000000000003</v>
      </c>
      <c r="E79" s="13">
        <v>-1.3751</v>
      </c>
    </row>
    <row r="80" spans="1:5" x14ac:dyDescent="0.2">
      <c r="A80">
        <v>7475.7</v>
      </c>
      <c r="B80">
        <f t="shared" si="1"/>
        <v>7500</v>
      </c>
      <c r="C80" s="13">
        <v>-1.0928</v>
      </c>
      <c r="D80" s="13">
        <v>-0.82147999999999999</v>
      </c>
      <c r="E80" s="13">
        <v>-1.3642000000000001</v>
      </c>
    </row>
    <row r="81" spans="1:5" x14ac:dyDescent="0.2">
      <c r="A81">
        <v>7485.7</v>
      </c>
      <c r="B81">
        <f t="shared" si="1"/>
        <v>7500</v>
      </c>
      <c r="C81" s="13">
        <v>-1.0820000000000001</v>
      </c>
      <c r="D81" s="13">
        <v>-0.81062000000000001</v>
      </c>
      <c r="E81" s="13">
        <v>-1.3532999999999999</v>
      </c>
    </row>
    <row r="82" spans="1:5" x14ac:dyDescent="0.2">
      <c r="A82">
        <v>7495.8</v>
      </c>
      <c r="B82">
        <f t="shared" si="1"/>
        <v>7500</v>
      </c>
      <c r="C82" s="13">
        <v>-1.0709</v>
      </c>
      <c r="D82" s="13">
        <v>-0.79944000000000004</v>
      </c>
      <c r="E82" s="13">
        <v>-1.3424</v>
      </c>
    </row>
    <row r="83" spans="1:5" x14ac:dyDescent="0.2">
      <c r="A83">
        <v>7505.9</v>
      </c>
      <c r="B83">
        <f t="shared" si="1"/>
        <v>7500</v>
      </c>
      <c r="C83" s="13">
        <v>-1.0597000000000001</v>
      </c>
      <c r="D83" s="13">
        <v>-0.78795000000000004</v>
      </c>
      <c r="E83" s="13">
        <v>-1.3314999999999999</v>
      </c>
    </row>
    <row r="84" spans="1:5" x14ac:dyDescent="0.2">
      <c r="A84">
        <v>7515.9</v>
      </c>
      <c r="B84">
        <f t="shared" si="1"/>
        <v>7500</v>
      </c>
      <c r="C84" s="13">
        <v>-1.0484</v>
      </c>
      <c r="D84" s="13">
        <v>-0.77615000000000001</v>
      </c>
      <c r="E84" s="13">
        <v>-1.3206</v>
      </c>
    </row>
    <row r="85" spans="1:5" x14ac:dyDescent="0.2">
      <c r="A85">
        <v>7526</v>
      </c>
      <c r="B85">
        <f t="shared" si="1"/>
        <v>7500</v>
      </c>
      <c r="C85" s="13">
        <v>-1.0367999999999999</v>
      </c>
      <c r="D85" s="13">
        <v>-0.76405999999999996</v>
      </c>
      <c r="E85" s="13">
        <v>-1.3096000000000001</v>
      </c>
    </row>
    <row r="86" spans="1:5" x14ac:dyDescent="0.2">
      <c r="A86">
        <v>7536.1</v>
      </c>
      <c r="B86">
        <f t="shared" si="1"/>
        <v>7500</v>
      </c>
      <c r="C86" s="13">
        <v>-1.0250999999999999</v>
      </c>
      <c r="D86" s="13">
        <v>-0.75170000000000003</v>
      </c>
      <c r="E86" s="13">
        <v>-1.2985</v>
      </c>
    </row>
    <row r="87" spans="1:5" x14ac:dyDescent="0.2">
      <c r="A87">
        <v>7546.2</v>
      </c>
      <c r="B87">
        <f t="shared" si="1"/>
        <v>7500</v>
      </c>
      <c r="C87" s="13">
        <v>-1.0132000000000001</v>
      </c>
      <c r="D87" s="13">
        <v>-0.73907999999999996</v>
      </c>
      <c r="E87" s="13">
        <v>-1.2874000000000001</v>
      </c>
    </row>
    <row r="88" spans="1:5" x14ac:dyDescent="0.2">
      <c r="A88">
        <v>7556.2</v>
      </c>
      <c r="B88">
        <f t="shared" si="1"/>
        <v>7600</v>
      </c>
      <c r="C88" s="13">
        <v>-1.0012000000000001</v>
      </c>
      <c r="D88" s="13">
        <v>-0.72621000000000002</v>
      </c>
      <c r="E88" s="13">
        <v>-1.2762</v>
      </c>
    </row>
    <row r="89" spans="1:5" x14ac:dyDescent="0.2">
      <c r="A89">
        <v>7566.3</v>
      </c>
      <c r="B89">
        <f t="shared" si="1"/>
        <v>7600</v>
      </c>
      <c r="C89" s="13">
        <v>-0.98897000000000002</v>
      </c>
      <c r="D89" s="13">
        <v>-0.71311999999999998</v>
      </c>
      <c r="E89" s="13">
        <v>-1.2647999999999999</v>
      </c>
    </row>
    <row r="90" spans="1:5" x14ac:dyDescent="0.2">
      <c r="A90">
        <v>7576.4</v>
      </c>
      <c r="B90">
        <f t="shared" si="1"/>
        <v>7600</v>
      </c>
      <c r="C90" s="13">
        <v>-0.97658</v>
      </c>
      <c r="D90" s="13">
        <v>-0.69982999999999995</v>
      </c>
      <c r="E90" s="13">
        <v>-1.2533000000000001</v>
      </c>
    </row>
    <row r="91" spans="1:5" x14ac:dyDescent="0.2">
      <c r="A91">
        <v>7586.5</v>
      </c>
      <c r="B91">
        <f t="shared" si="1"/>
        <v>7600</v>
      </c>
      <c r="C91" s="13">
        <v>-0.96401000000000003</v>
      </c>
      <c r="D91" s="13">
        <v>-0.68635999999999997</v>
      </c>
      <c r="E91" s="13">
        <v>-1.2417</v>
      </c>
    </row>
    <row r="92" spans="1:5" x14ac:dyDescent="0.2">
      <c r="A92">
        <v>7596.5</v>
      </c>
      <c r="B92">
        <f t="shared" si="1"/>
        <v>7600</v>
      </c>
      <c r="C92" s="13">
        <v>-0.95125999999999999</v>
      </c>
      <c r="D92" s="13">
        <v>-0.67271999999999998</v>
      </c>
      <c r="E92" s="13">
        <v>-1.2298</v>
      </c>
    </row>
    <row r="93" spans="1:5" x14ac:dyDescent="0.2">
      <c r="A93">
        <v>7606.6</v>
      </c>
      <c r="B93">
        <f t="shared" si="1"/>
        <v>7600</v>
      </c>
      <c r="C93" s="13">
        <v>-0.93833999999999995</v>
      </c>
      <c r="D93" s="13">
        <v>-0.65893999999999997</v>
      </c>
      <c r="E93" s="13">
        <v>-1.2177</v>
      </c>
    </row>
    <row r="94" spans="1:5" x14ac:dyDescent="0.2">
      <c r="A94">
        <v>7616.7</v>
      </c>
      <c r="B94">
        <f t="shared" si="1"/>
        <v>7600</v>
      </c>
      <c r="C94" s="13">
        <v>-0.92523999999999995</v>
      </c>
      <c r="D94" s="13">
        <v>-0.64505000000000001</v>
      </c>
      <c r="E94" s="13">
        <v>-1.2054</v>
      </c>
    </row>
    <row r="95" spans="1:5" x14ac:dyDescent="0.2">
      <c r="A95">
        <v>7626.8</v>
      </c>
      <c r="B95">
        <f t="shared" si="1"/>
        <v>7600</v>
      </c>
      <c r="C95" s="13">
        <v>-0.91196999999999995</v>
      </c>
      <c r="D95" s="13">
        <v>-0.63105999999999995</v>
      </c>
      <c r="E95" s="13">
        <v>-1.1929000000000001</v>
      </c>
    </row>
    <row r="96" spans="1:5" x14ac:dyDescent="0.2">
      <c r="A96">
        <v>7636.8</v>
      </c>
      <c r="B96">
        <f t="shared" si="1"/>
        <v>7600</v>
      </c>
      <c r="C96" s="13">
        <v>-0.89851999999999999</v>
      </c>
      <c r="D96" s="13">
        <v>-0.61699000000000004</v>
      </c>
      <c r="E96" s="13">
        <v>-1.18</v>
      </c>
    </row>
    <row r="97" spans="1:5" x14ac:dyDescent="0.2">
      <c r="A97">
        <v>7646.9</v>
      </c>
      <c r="B97">
        <f t="shared" si="1"/>
        <v>7600</v>
      </c>
      <c r="C97" s="13">
        <v>-0.88488999999999995</v>
      </c>
      <c r="D97" s="13">
        <v>-0.60287000000000002</v>
      </c>
      <c r="E97" s="13">
        <v>-1.1669</v>
      </c>
    </row>
    <row r="98" spans="1:5" x14ac:dyDescent="0.2">
      <c r="A98">
        <v>7657</v>
      </c>
      <c r="B98">
        <f t="shared" si="1"/>
        <v>7700</v>
      </c>
      <c r="C98" s="13">
        <v>-0.87107999999999997</v>
      </c>
      <c r="D98" s="13">
        <v>-0.58870999999999996</v>
      </c>
      <c r="E98" s="13">
        <v>-1.1534</v>
      </c>
    </row>
    <row r="99" spans="1:5" x14ac:dyDescent="0.2">
      <c r="A99">
        <v>7667</v>
      </c>
      <c r="B99">
        <f t="shared" si="1"/>
        <v>7700</v>
      </c>
      <c r="C99" s="13">
        <v>-0.85709000000000002</v>
      </c>
      <c r="D99" s="13">
        <v>-0.57455000000000001</v>
      </c>
      <c r="E99" s="13">
        <v>-1.1395999999999999</v>
      </c>
    </row>
    <row r="100" spans="1:5" x14ac:dyDescent="0.2">
      <c r="A100">
        <v>7677.1</v>
      </c>
      <c r="B100">
        <f t="shared" si="1"/>
        <v>7700</v>
      </c>
      <c r="C100" s="13">
        <v>-0.84292</v>
      </c>
      <c r="D100" s="13">
        <v>-0.56039000000000005</v>
      </c>
      <c r="E100" s="13">
        <v>-1.1254</v>
      </c>
    </row>
    <row r="101" spans="1:5" x14ac:dyDescent="0.2">
      <c r="A101">
        <v>7687.2</v>
      </c>
      <c r="B101">
        <f t="shared" si="1"/>
        <v>7700</v>
      </c>
      <c r="C101" s="13">
        <v>-0.82857000000000003</v>
      </c>
      <c r="D101" s="13">
        <v>-0.54625999999999997</v>
      </c>
      <c r="E101" s="13">
        <v>-1.1109</v>
      </c>
    </row>
    <row r="102" spans="1:5" x14ac:dyDescent="0.2">
      <c r="A102">
        <v>7697.3</v>
      </c>
      <c r="B102">
        <f t="shared" si="1"/>
        <v>7700</v>
      </c>
      <c r="C102" s="13">
        <v>-0.81403000000000003</v>
      </c>
      <c r="D102" s="13">
        <v>-0.53217000000000003</v>
      </c>
      <c r="E102" s="13">
        <v>-1.0959000000000001</v>
      </c>
    </row>
    <row r="103" spans="1:5" x14ac:dyDescent="0.2">
      <c r="A103">
        <v>7707.3</v>
      </c>
      <c r="B103">
        <f t="shared" si="1"/>
        <v>7700</v>
      </c>
      <c r="C103" s="13">
        <v>-0.79930999999999996</v>
      </c>
      <c r="D103" s="13">
        <v>-0.51814000000000004</v>
      </c>
      <c r="E103" s="13">
        <v>-1.0805</v>
      </c>
    </row>
    <row r="104" spans="1:5" x14ac:dyDescent="0.2">
      <c r="A104">
        <v>7717.4</v>
      </c>
      <c r="B104">
        <f t="shared" si="1"/>
        <v>7700</v>
      </c>
      <c r="C104" s="13">
        <v>-0.78441000000000005</v>
      </c>
      <c r="D104" s="13">
        <v>-0.50417999999999996</v>
      </c>
      <c r="E104" s="13">
        <v>-1.0646</v>
      </c>
    </row>
    <row r="105" spans="1:5" x14ac:dyDescent="0.2">
      <c r="A105">
        <v>7727.5</v>
      </c>
      <c r="B105">
        <f t="shared" si="1"/>
        <v>7700</v>
      </c>
      <c r="C105" s="13">
        <v>-0.76932</v>
      </c>
      <c r="D105" s="13">
        <v>-0.49031000000000002</v>
      </c>
      <c r="E105" s="13">
        <v>-1.0483</v>
      </c>
    </row>
    <row r="106" spans="1:5" x14ac:dyDescent="0.2">
      <c r="A106">
        <v>7737.6</v>
      </c>
      <c r="B106">
        <f t="shared" si="1"/>
        <v>7700</v>
      </c>
      <c r="C106" s="13">
        <v>-0.75405</v>
      </c>
      <c r="D106" s="13">
        <v>-0.47654000000000002</v>
      </c>
      <c r="E106" s="13">
        <v>-1.0316000000000001</v>
      </c>
    </row>
    <row r="107" spans="1:5" x14ac:dyDescent="0.2">
      <c r="A107">
        <v>7747.6</v>
      </c>
      <c r="B107">
        <f t="shared" si="1"/>
        <v>7700</v>
      </c>
      <c r="C107" s="13">
        <v>-0.73860000000000003</v>
      </c>
      <c r="D107" s="13">
        <v>-0.46287</v>
      </c>
      <c r="E107" s="13">
        <v>-1.0143</v>
      </c>
    </row>
    <row r="108" spans="1:5" x14ac:dyDescent="0.2">
      <c r="A108">
        <v>7757.7</v>
      </c>
      <c r="B108">
        <f t="shared" si="1"/>
        <v>7800</v>
      </c>
      <c r="C108" s="13">
        <v>-0.72299999999999998</v>
      </c>
      <c r="D108" s="13">
        <v>-0.44929999999999998</v>
      </c>
      <c r="E108" s="13">
        <v>-0.99668999999999996</v>
      </c>
    </row>
    <row r="109" spans="1:5" x14ac:dyDescent="0.2">
      <c r="A109">
        <v>7767.8</v>
      </c>
      <c r="B109">
        <f t="shared" si="1"/>
        <v>7800</v>
      </c>
      <c r="C109" s="13">
        <v>-0.70725000000000005</v>
      </c>
      <c r="D109" s="13">
        <v>-0.43580999999999998</v>
      </c>
      <c r="E109" s="13">
        <v>-0.97870000000000001</v>
      </c>
    </row>
    <row r="110" spans="1:5" x14ac:dyDescent="0.2">
      <c r="A110">
        <v>7777.9</v>
      </c>
      <c r="B110">
        <f t="shared" si="1"/>
        <v>7800</v>
      </c>
      <c r="C110" s="13">
        <v>-0.69138999999999995</v>
      </c>
      <c r="D110" s="13">
        <v>-0.42238999999999999</v>
      </c>
      <c r="E110" s="13">
        <v>-0.96038999999999997</v>
      </c>
    </row>
    <row r="111" spans="1:5" x14ac:dyDescent="0.2">
      <c r="A111">
        <v>7787.9</v>
      </c>
      <c r="B111">
        <f t="shared" si="1"/>
        <v>7800</v>
      </c>
      <c r="C111" s="13">
        <v>-0.67544000000000004</v>
      </c>
      <c r="D111" s="13">
        <v>-0.40904000000000001</v>
      </c>
      <c r="E111" s="13">
        <v>-0.94182999999999995</v>
      </c>
    </row>
    <row r="112" spans="1:5" x14ac:dyDescent="0.2">
      <c r="A112">
        <v>7798</v>
      </c>
      <c r="B112">
        <f t="shared" si="1"/>
        <v>7800</v>
      </c>
      <c r="C112" s="13">
        <v>-0.65939999999999999</v>
      </c>
      <c r="D112" s="13">
        <v>-0.39573999999999998</v>
      </c>
      <c r="E112" s="13">
        <v>-0.92306999999999995</v>
      </c>
    </row>
    <row r="113" spans="1:5" x14ac:dyDescent="0.2">
      <c r="A113">
        <v>7808.1</v>
      </c>
      <c r="B113">
        <f t="shared" si="1"/>
        <v>7800</v>
      </c>
      <c r="C113" s="13">
        <v>-0.64331000000000005</v>
      </c>
      <c r="D113" s="13">
        <v>-0.38246999999999998</v>
      </c>
      <c r="E113" s="13">
        <v>-0.90415000000000001</v>
      </c>
    </row>
    <row r="114" spans="1:5" x14ac:dyDescent="0.2">
      <c r="A114">
        <v>7818.1</v>
      </c>
      <c r="B114">
        <f t="shared" si="1"/>
        <v>7800</v>
      </c>
      <c r="C114" s="13">
        <v>-0.62717999999999996</v>
      </c>
      <c r="D114" s="13">
        <v>-0.36921999999999999</v>
      </c>
      <c r="E114" s="13">
        <v>-0.88514999999999999</v>
      </c>
    </row>
    <row r="115" spans="1:5" x14ac:dyDescent="0.2">
      <c r="A115">
        <v>7828.2</v>
      </c>
      <c r="B115">
        <f t="shared" si="1"/>
        <v>7800</v>
      </c>
      <c r="C115" s="13">
        <v>-0.61104000000000003</v>
      </c>
      <c r="D115" s="13">
        <v>-0.35598000000000002</v>
      </c>
      <c r="E115" s="13">
        <v>-0.86609999999999998</v>
      </c>
    </row>
    <row r="116" spans="1:5" x14ac:dyDescent="0.2">
      <c r="A116">
        <v>7838.3</v>
      </c>
      <c r="B116">
        <f t="shared" si="1"/>
        <v>7800</v>
      </c>
      <c r="C116" s="13">
        <v>-0.59489999999999998</v>
      </c>
      <c r="D116" s="13">
        <v>-0.34272999999999998</v>
      </c>
      <c r="E116" s="13">
        <v>-0.84706999999999999</v>
      </c>
    </row>
    <row r="117" spans="1:5" x14ac:dyDescent="0.2">
      <c r="A117">
        <v>7848.4</v>
      </c>
      <c r="B117">
        <f t="shared" si="1"/>
        <v>7800</v>
      </c>
      <c r="C117" s="13">
        <v>-0.57877999999999996</v>
      </c>
      <c r="D117" s="13">
        <v>-0.32945000000000002</v>
      </c>
      <c r="E117" s="13">
        <v>-0.82811999999999997</v>
      </c>
    </row>
    <row r="118" spans="1:5" x14ac:dyDescent="0.2">
      <c r="A118">
        <v>7858.4</v>
      </c>
      <c r="B118">
        <f t="shared" si="1"/>
        <v>7900</v>
      </c>
      <c r="C118" s="13">
        <v>-0.56271000000000004</v>
      </c>
      <c r="D118" s="13">
        <v>-0.31612000000000001</v>
      </c>
      <c r="E118" s="13">
        <v>-0.80930000000000002</v>
      </c>
    </row>
    <row r="119" spans="1:5" x14ac:dyDescent="0.2">
      <c r="A119">
        <v>7868.5</v>
      </c>
      <c r="B119">
        <f t="shared" si="1"/>
        <v>7900</v>
      </c>
      <c r="C119" s="13">
        <v>-0.54669999999999996</v>
      </c>
      <c r="D119" s="13">
        <v>-0.30274000000000001</v>
      </c>
      <c r="E119" s="13">
        <v>-0.79066000000000003</v>
      </c>
    </row>
    <row r="120" spans="1:5" x14ac:dyDescent="0.2">
      <c r="A120">
        <v>7878.6</v>
      </c>
      <c r="B120">
        <f t="shared" si="1"/>
        <v>7900</v>
      </c>
      <c r="C120" s="13">
        <v>-0.53076999999999996</v>
      </c>
      <c r="D120" s="13">
        <v>-0.28927999999999998</v>
      </c>
      <c r="E120" s="13">
        <v>-0.77227000000000001</v>
      </c>
    </row>
    <row r="121" spans="1:5" x14ac:dyDescent="0.2">
      <c r="A121">
        <v>7888.7</v>
      </c>
      <c r="B121">
        <f t="shared" si="1"/>
        <v>7900</v>
      </c>
      <c r="C121" s="13">
        <v>-0.51495000000000002</v>
      </c>
      <c r="D121" s="13">
        <v>-0.27572999999999998</v>
      </c>
      <c r="E121" s="13">
        <v>-0.75417000000000001</v>
      </c>
    </row>
    <row r="122" spans="1:5" x14ac:dyDescent="0.2">
      <c r="A122">
        <v>7898.7</v>
      </c>
      <c r="B122">
        <f t="shared" si="1"/>
        <v>7900</v>
      </c>
      <c r="C122" s="13">
        <v>-0.49925000000000003</v>
      </c>
      <c r="D122" s="13">
        <v>-0.26208999999999999</v>
      </c>
      <c r="E122" s="13">
        <v>-0.73641000000000001</v>
      </c>
    </row>
    <row r="123" spans="1:5" x14ac:dyDescent="0.2">
      <c r="A123">
        <v>7908.8</v>
      </c>
      <c r="B123">
        <f t="shared" si="1"/>
        <v>7900</v>
      </c>
      <c r="C123" s="13">
        <v>-0.48370000000000002</v>
      </c>
      <c r="D123" s="13">
        <v>-0.24834000000000001</v>
      </c>
      <c r="E123" s="13">
        <v>-0.71904999999999997</v>
      </c>
    </row>
    <row r="124" spans="1:5" x14ac:dyDescent="0.2">
      <c r="A124">
        <v>7918.9</v>
      </c>
      <c r="B124">
        <f t="shared" si="1"/>
        <v>7900</v>
      </c>
      <c r="C124" s="13">
        <v>-0.46831</v>
      </c>
      <c r="D124" s="13">
        <v>-0.23447000000000001</v>
      </c>
      <c r="E124" s="13">
        <v>-0.70213999999999999</v>
      </c>
    </row>
    <row r="125" spans="1:5" x14ac:dyDescent="0.2">
      <c r="A125">
        <v>7929</v>
      </c>
      <c r="B125">
        <f t="shared" si="1"/>
        <v>7900</v>
      </c>
      <c r="C125" s="13">
        <v>-0.4531</v>
      </c>
      <c r="D125" s="13">
        <v>-0.22048999999999999</v>
      </c>
      <c r="E125" s="13">
        <v>-0.68571000000000004</v>
      </c>
    </row>
    <row r="126" spans="1:5" x14ac:dyDescent="0.2">
      <c r="A126">
        <v>7939</v>
      </c>
      <c r="B126">
        <f t="shared" si="1"/>
        <v>7900</v>
      </c>
      <c r="C126" s="13">
        <v>-0.43809999999999999</v>
      </c>
      <c r="D126" s="13">
        <v>-0.2064</v>
      </c>
      <c r="E126" s="13">
        <v>-0.66979</v>
      </c>
    </row>
    <row r="127" spans="1:5" x14ac:dyDescent="0.2">
      <c r="A127">
        <v>7949.1</v>
      </c>
      <c r="B127">
        <f t="shared" si="1"/>
        <v>7900</v>
      </c>
      <c r="C127" s="13">
        <v>-0.42331999999999997</v>
      </c>
      <c r="D127" s="13">
        <v>-0.19220000000000001</v>
      </c>
      <c r="E127" s="13">
        <v>-0.65444000000000002</v>
      </c>
    </row>
    <row r="128" spans="1:5" x14ac:dyDescent="0.2">
      <c r="A128">
        <v>7959.2</v>
      </c>
      <c r="B128">
        <f t="shared" si="1"/>
        <v>8000</v>
      </c>
      <c r="C128" s="13">
        <v>-0.40877999999999998</v>
      </c>
      <c r="D128" s="13">
        <v>-0.1779</v>
      </c>
      <c r="E128" s="13">
        <v>-0.63966000000000001</v>
      </c>
    </row>
    <row r="129" spans="1:5" x14ac:dyDescent="0.2">
      <c r="A129">
        <v>7969.2</v>
      </c>
      <c r="B129">
        <f t="shared" si="1"/>
        <v>8000</v>
      </c>
      <c r="C129" s="13">
        <v>-0.39451000000000003</v>
      </c>
      <c r="D129" s="13">
        <v>-0.16353000000000001</v>
      </c>
      <c r="E129" s="13">
        <v>-0.62549999999999994</v>
      </c>
    </row>
    <row r="130" spans="1:5" x14ac:dyDescent="0.2">
      <c r="A130">
        <v>7979.3</v>
      </c>
      <c r="B130">
        <f t="shared" si="1"/>
        <v>8000</v>
      </c>
      <c r="C130" s="13">
        <v>-0.38052999999999998</v>
      </c>
      <c r="D130" s="13">
        <v>-0.14910000000000001</v>
      </c>
      <c r="E130" s="13">
        <v>-0.61195999999999995</v>
      </c>
    </row>
    <row r="131" spans="1:5" x14ac:dyDescent="0.2">
      <c r="A131">
        <v>7989.4</v>
      </c>
      <c r="B131">
        <f t="shared" si="1"/>
        <v>8000</v>
      </c>
      <c r="C131" s="13">
        <v>-0.36684</v>
      </c>
      <c r="D131" s="13">
        <v>-0.13464000000000001</v>
      </c>
      <c r="E131" s="13">
        <v>-0.59904999999999997</v>
      </c>
    </row>
    <row r="132" spans="1:5" x14ac:dyDescent="0.2">
      <c r="A132">
        <v>7999.5</v>
      </c>
      <c r="B132">
        <f t="shared" ref="B132:B195" si="2">MROUND(A132,100)</f>
        <v>8000</v>
      </c>
      <c r="C132" s="13">
        <v>-0.35349000000000003</v>
      </c>
      <c r="D132" s="13">
        <v>-0.12018</v>
      </c>
      <c r="E132" s="13">
        <v>-0.58679999999999999</v>
      </c>
    </row>
    <row r="133" spans="1:5" x14ac:dyDescent="0.2">
      <c r="A133">
        <v>8009.5</v>
      </c>
      <c r="B133">
        <f t="shared" si="2"/>
        <v>8000</v>
      </c>
      <c r="C133" s="13">
        <v>-0.34046999999999999</v>
      </c>
      <c r="D133" s="13">
        <v>-0.10576000000000001</v>
      </c>
      <c r="E133" s="13">
        <v>-0.57518999999999998</v>
      </c>
    </row>
    <row r="134" spans="1:5" x14ac:dyDescent="0.2">
      <c r="A134">
        <v>8019.6</v>
      </c>
      <c r="B134">
        <f t="shared" si="2"/>
        <v>8000</v>
      </c>
      <c r="C134" s="13">
        <v>-0.32783000000000001</v>
      </c>
      <c r="D134" s="13">
        <v>-9.1425999999999993E-2</v>
      </c>
      <c r="E134" s="13">
        <v>-0.56423000000000001</v>
      </c>
    </row>
    <row r="135" spans="1:5" x14ac:dyDescent="0.2">
      <c r="A135">
        <v>8029.7</v>
      </c>
      <c r="B135">
        <f t="shared" si="2"/>
        <v>8000</v>
      </c>
      <c r="C135" s="13">
        <v>-0.31556000000000001</v>
      </c>
      <c r="D135" s="13">
        <v>-7.7216000000000007E-2</v>
      </c>
      <c r="E135" s="13">
        <v>-0.55391000000000001</v>
      </c>
    </row>
    <row r="136" spans="1:5" x14ac:dyDescent="0.2">
      <c r="A136">
        <v>8039.8</v>
      </c>
      <c r="B136">
        <f t="shared" si="2"/>
        <v>8000</v>
      </c>
      <c r="C136" s="13">
        <v>-0.30370000000000003</v>
      </c>
      <c r="D136" s="13">
        <v>-6.3181000000000001E-2</v>
      </c>
      <c r="E136" s="13">
        <v>-0.54422999999999999</v>
      </c>
    </row>
    <row r="137" spans="1:5" x14ac:dyDescent="0.2">
      <c r="A137">
        <v>8049.8</v>
      </c>
      <c r="B137">
        <f t="shared" si="2"/>
        <v>8000</v>
      </c>
      <c r="C137" s="13">
        <v>-0.29226999999999997</v>
      </c>
      <c r="D137" s="13">
        <v>-4.9370999999999998E-2</v>
      </c>
      <c r="E137" s="13">
        <v>-0.53517000000000003</v>
      </c>
    </row>
    <row r="138" spans="1:5" x14ac:dyDescent="0.2">
      <c r="A138">
        <v>8059.9</v>
      </c>
      <c r="B138">
        <f t="shared" si="2"/>
        <v>8100</v>
      </c>
      <c r="C138" s="13">
        <v>-0.28127999999999997</v>
      </c>
      <c r="D138" s="13">
        <v>-3.5839000000000003E-2</v>
      </c>
      <c r="E138" s="13">
        <v>-0.52671999999999997</v>
      </c>
    </row>
    <row r="139" spans="1:5" x14ac:dyDescent="0.2">
      <c r="A139">
        <v>8070</v>
      </c>
      <c r="B139">
        <f t="shared" si="2"/>
        <v>8100</v>
      </c>
      <c r="C139" s="13">
        <v>-0.27074999999999999</v>
      </c>
      <c r="D139" s="13">
        <v>-2.2641000000000001E-2</v>
      </c>
      <c r="E139" s="13">
        <v>-0.51887000000000005</v>
      </c>
    </row>
    <row r="140" spans="1:5" x14ac:dyDescent="0.2">
      <c r="A140">
        <v>8080.1</v>
      </c>
      <c r="B140">
        <f t="shared" si="2"/>
        <v>8100</v>
      </c>
      <c r="C140" s="13">
        <v>-0.26071</v>
      </c>
      <c r="D140" s="13">
        <v>-9.8323999999999998E-3</v>
      </c>
      <c r="E140" s="13">
        <v>-0.51160000000000005</v>
      </c>
    </row>
    <row r="141" spans="1:5" x14ac:dyDescent="0.2">
      <c r="A141">
        <v>8090.1</v>
      </c>
      <c r="B141">
        <f t="shared" si="2"/>
        <v>8100</v>
      </c>
      <c r="C141" s="13">
        <v>-0.25118000000000001</v>
      </c>
      <c r="D141" s="13">
        <v>2.5303000000000001E-3</v>
      </c>
      <c r="E141" s="13">
        <v>-0.50488999999999995</v>
      </c>
    </row>
    <row r="142" spans="1:5" x14ac:dyDescent="0.2">
      <c r="A142">
        <v>8100.2</v>
      </c>
      <c r="B142">
        <f t="shared" si="2"/>
        <v>8100</v>
      </c>
      <c r="C142" s="13">
        <v>-0.24217</v>
      </c>
      <c r="D142" s="13">
        <v>1.439E-2</v>
      </c>
      <c r="E142" s="13">
        <v>-0.49873000000000001</v>
      </c>
    </row>
    <row r="143" spans="1:5" x14ac:dyDescent="0.2">
      <c r="A143">
        <v>8110.3</v>
      </c>
      <c r="B143">
        <f t="shared" si="2"/>
        <v>8100</v>
      </c>
      <c r="C143" s="13">
        <v>-0.23369999999999999</v>
      </c>
      <c r="D143" s="13">
        <v>2.5690999999999999E-2</v>
      </c>
      <c r="E143" s="13">
        <v>-0.49309999999999998</v>
      </c>
    </row>
    <row r="144" spans="1:5" x14ac:dyDescent="0.2">
      <c r="A144">
        <v>8120.3</v>
      </c>
      <c r="B144">
        <f t="shared" si="2"/>
        <v>8100</v>
      </c>
      <c r="C144" s="13">
        <v>-0.2258</v>
      </c>
      <c r="D144" s="13">
        <v>3.6374999999999998E-2</v>
      </c>
      <c r="E144" s="13">
        <v>-0.48798000000000002</v>
      </c>
    </row>
    <row r="145" spans="1:5" x14ac:dyDescent="0.2">
      <c r="A145">
        <v>8130.4</v>
      </c>
      <c r="B145">
        <f t="shared" si="2"/>
        <v>8100</v>
      </c>
      <c r="C145" s="13">
        <v>-0.21848999999999999</v>
      </c>
      <c r="D145" s="13">
        <v>4.6386999999999998E-2</v>
      </c>
      <c r="E145" s="13">
        <v>-0.48337000000000002</v>
      </c>
    </row>
    <row r="146" spans="1:5" x14ac:dyDescent="0.2">
      <c r="A146">
        <v>8140.5</v>
      </c>
      <c r="B146">
        <f t="shared" si="2"/>
        <v>8100</v>
      </c>
      <c r="C146" s="13">
        <v>-0.21178</v>
      </c>
      <c r="D146" s="13">
        <v>5.5673E-2</v>
      </c>
      <c r="E146" s="13">
        <v>-0.47922999999999999</v>
      </c>
    </row>
    <row r="147" spans="1:5" x14ac:dyDescent="0.2">
      <c r="A147">
        <v>8150.6</v>
      </c>
      <c r="B147">
        <f t="shared" si="2"/>
        <v>8200</v>
      </c>
      <c r="C147" s="13">
        <v>-0.20569999999999999</v>
      </c>
      <c r="D147" s="13">
        <v>6.4176999999999998E-2</v>
      </c>
      <c r="E147" s="13">
        <v>-0.47556999999999999</v>
      </c>
    </row>
    <row r="148" spans="1:5" x14ac:dyDescent="0.2">
      <c r="A148">
        <v>8160.6</v>
      </c>
      <c r="B148">
        <f t="shared" si="2"/>
        <v>8200</v>
      </c>
      <c r="C148" s="13">
        <v>-0.20025999999999999</v>
      </c>
      <c r="D148" s="13">
        <v>7.1847999999999995E-2</v>
      </c>
      <c r="E148" s="13">
        <v>-0.47236</v>
      </c>
    </row>
    <row r="149" spans="1:5" x14ac:dyDescent="0.2">
      <c r="A149">
        <v>8170.7</v>
      </c>
      <c r="B149">
        <f t="shared" si="2"/>
        <v>8200</v>
      </c>
      <c r="C149" s="13">
        <v>-0.19547999999999999</v>
      </c>
      <c r="D149" s="13">
        <v>7.8631999999999994E-2</v>
      </c>
      <c r="E149" s="13">
        <v>-0.46960000000000002</v>
      </c>
    </row>
    <row r="150" spans="1:5" x14ac:dyDescent="0.2">
      <c r="A150">
        <v>8180.8</v>
      </c>
      <c r="B150">
        <f t="shared" si="2"/>
        <v>8200</v>
      </c>
      <c r="C150" s="13">
        <v>-0.19139999999999999</v>
      </c>
      <c r="D150" s="13">
        <v>8.4481000000000001E-2</v>
      </c>
      <c r="E150" s="13">
        <v>-0.46727000000000002</v>
      </c>
    </row>
    <row r="151" spans="1:5" x14ac:dyDescent="0.2">
      <c r="A151">
        <v>8190.9</v>
      </c>
      <c r="B151">
        <f t="shared" si="2"/>
        <v>8200</v>
      </c>
      <c r="C151" s="13">
        <v>-0.18801000000000001</v>
      </c>
      <c r="D151" s="13">
        <v>8.9344999999999994E-2</v>
      </c>
      <c r="E151" s="13">
        <v>-0.46537000000000001</v>
      </c>
    </row>
    <row r="152" spans="1:5" x14ac:dyDescent="0.2">
      <c r="A152">
        <v>8200.9</v>
      </c>
      <c r="B152">
        <f t="shared" si="2"/>
        <v>8200</v>
      </c>
      <c r="C152" s="13">
        <v>-0.18536</v>
      </c>
      <c r="D152" s="13">
        <v>9.3175999999999995E-2</v>
      </c>
      <c r="E152" s="13">
        <v>-0.46389000000000002</v>
      </c>
    </row>
    <row r="153" spans="1:5" x14ac:dyDescent="0.2">
      <c r="A153">
        <v>8211</v>
      </c>
      <c r="B153">
        <f t="shared" si="2"/>
        <v>8200</v>
      </c>
      <c r="C153" s="13">
        <v>-0.18343999999999999</v>
      </c>
      <c r="D153" s="13">
        <v>9.5930000000000001E-2</v>
      </c>
      <c r="E153" s="13">
        <v>-0.46282000000000001</v>
      </c>
    </row>
    <row r="154" spans="1:5" x14ac:dyDescent="0.2">
      <c r="A154">
        <v>8221.1</v>
      </c>
      <c r="B154">
        <f t="shared" si="2"/>
        <v>8200</v>
      </c>
      <c r="C154" s="13">
        <v>-0.18229999999999999</v>
      </c>
      <c r="D154" s="13">
        <v>9.7560999999999995E-2</v>
      </c>
      <c r="E154" s="13">
        <v>-0.46216000000000002</v>
      </c>
    </row>
    <row r="155" spans="1:5" x14ac:dyDescent="0.2">
      <c r="A155">
        <v>8231.2000000000007</v>
      </c>
      <c r="B155">
        <f t="shared" si="2"/>
        <v>8200</v>
      </c>
      <c r="C155" s="13">
        <v>-0.18193999999999999</v>
      </c>
      <c r="D155" s="13">
        <v>9.8029000000000005E-2</v>
      </c>
      <c r="E155" s="13">
        <v>-0.46190999999999999</v>
      </c>
    </row>
    <row r="156" spans="1:5" x14ac:dyDescent="0.2">
      <c r="A156">
        <v>8241.2000000000007</v>
      </c>
      <c r="B156">
        <f t="shared" si="2"/>
        <v>8200</v>
      </c>
      <c r="C156" s="13">
        <v>-0.18239</v>
      </c>
      <c r="D156" s="13">
        <v>9.7295000000000006E-2</v>
      </c>
      <c r="E156" s="13">
        <v>-0.46206999999999998</v>
      </c>
    </row>
    <row r="157" spans="1:5" x14ac:dyDescent="0.2">
      <c r="A157">
        <v>8251.2999999999993</v>
      </c>
      <c r="B157">
        <f t="shared" si="2"/>
        <v>8300</v>
      </c>
      <c r="C157" s="13">
        <v>-0.18365999999999999</v>
      </c>
      <c r="D157" s="13">
        <v>9.5320000000000002E-2</v>
      </c>
      <c r="E157" s="13">
        <v>-0.46262999999999999</v>
      </c>
    </row>
    <row r="158" spans="1:5" x14ac:dyDescent="0.2">
      <c r="A158">
        <v>8261.4</v>
      </c>
      <c r="B158">
        <f t="shared" si="2"/>
        <v>8300</v>
      </c>
      <c r="C158" s="13">
        <v>-0.18578</v>
      </c>
      <c r="D158" s="13">
        <v>9.2069999999999999E-2</v>
      </c>
      <c r="E158" s="13">
        <v>-0.46361999999999998</v>
      </c>
    </row>
    <row r="159" spans="1:5" x14ac:dyDescent="0.2">
      <c r="A159">
        <v>8271.4</v>
      </c>
      <c r="B159">
        <f t="shared" si="2"/>
        <v>8300</v>
      </c>
      <c r="C159" s="13">
        <v>-0.18876000000000001</v>
      </c>
      <c r="D159" s="13">
        <v>8.7519E-2</v>
      </c>
      <c r="E159" s="13">
        <v>-0.46503</v>
      </c>
    </row>
    <row r="160" spans="1:5" x14ac:dyDescent="0.2">
      <c r="A160">
        <v>8281.5</v>
      </c>
      <c r="B160">
        <f t="shared" si="2"/>
        <v>8300</v>
      </c>
      <c r="C160" s="13">
        <v>-0.19259000000000001</v>
      </c>
      <c r="D160" s="13">
        <v>8.1691E-2</v>
      </c>
      <c r="E160" s="13">
        <v>-0.46687000000000001</v>
      </c>
    </row>
    <row r="161" spans="1:5" x14ac:dyDescent="0.2">
      <c r="A161">
        <v>8291.6</v>
      </c>
      <c r="B161">
        <f t="shared" si="2"/>
        <v>8300</v>
      </c>
      <c r="C161" s="13">
        <v>-0.19724</v>
      </c>
      <c r="D161" s="13">
        <v>7.4649999999999994E-2</v>
      </c>
      <c r="E161" s="13">
        <v>-0.46911999999999998</v>
      </c>
    </row>
    <row r="162" spans="1:5" x14ac:dyDescent="0.2">
      <c r="A162">
        <v>8301.7000000000007</v>
      </c>
      <c r="B162">
        <f t="shared" si="2"/>
        <v>8300</v>
      </c>
      <c r="C162" s="13">
        <v>-0.20266000000000001</v>
      </c>
      <c r="D162" s="13">
        <v>6.6463999999999995E-2</v>
      </c>
      <c r="E162" s="13">
        <v>-0.47177999999999998</v>
      </c>
    </row>
    <row r="163" spans="1:5" x14ac:dyDescent="0.2">
      <c r="A163">
        <v>8311.7000000000007</v>
      </c>
      <c r="B163">
        <f t="shared" si="2"/>
        <v>8300</v>
      </c>
      <c r="C163" s="13">
        <v>-0.20882000000000001</v>
      </c>
      <c r="D163" s="13">
        <v>5.7200000000000001E-2</v>
      </c>
      <c r="E163" s="13">
        <v>-0.47482999999999997</v>
      </c>
    </row>
    <row r="164" spans="1:5" x14ac:dyDescent="0.2">
      <c r="A164">
        <v>8321.7999999999993</v>
      </c>
      <c r="B164">
        <f t="shared" si="2"/>
        <v>8300</v>
      </c>
      <c r="C164" s="13">
        <v>-0.21568000000000001</v>
      </c>
      <c r="D164" s="13">
        <v>4.6926000000000002E-2</v>
      </c>
      <c r="E164" s="13">
        <v>-0.47827999999999998</v>
      </c>
    </row>
    <row r="165" spans="1:5" x14ac:dyDescent="0.2">
      <c r="A165">
        <v>8331.9</v>
      </c>
      <c r="B165">
        <f t="shared" si="2"/>
        <v>8300</v>
      </c>
      <c r="C165" s="13">
        <v>-0.22320000000000001</v>
      </c>
      <c r="D165" s="13">
        <v>3.5708999999999998E-2</v>
      </c>
      <c r="E165" s="13">
        <v>-0.48209999999999997</v>
      </c>
    </row>
    <row r="166" spans="1:5" x14ac:dyDescent="0.2">
      <c r="A166">
        <v>8342</v>
      </c>
      <c r="B166">
        <f t="shared" si="2"/>
        <v>8300</v>
      </c>
      <c r="C166" s="13">
        <v>-0.23133999999999999</v>
      </c>
      <c r="D166" s="13">
        <v>2.3615000000000001E-2</v>
      </c>
      <c r="E166" s="13">
        <v>-0.48629</v>
      </c>
    </row>
    <row r="167" spans="1:5" x14ac:dyDescent="0.2">
      <c r="A167">
        <v>8352</v>
      </c>
      <c r="B167">
        <f t="shared" si="2"/>
        <v>8400</v>
      </c>
      <c r="C167" s="13">
        <v>-0.24007000000000001</v>
      </c>
      <c r="D167" s="13">
        <v>1.0710000000000001E-2</v>
      </c>
      <c r="E167" s="13">
        <v>-0.49085000000000001</v>
      </c>
    </row>
    <row r="168" spans="1:5" x14ac:dyDescent="0.2">
      <c r="A168">
        <v>8362.1</v>
      </c>
      <c r="B168">
        <f t="shared" si="2"/>
        <v>8400</v>
      </c>
      <c r="C168" s="13">
        <v>-0.24934999999999999</v>
      </c>
      <c r="D168" s="13">
        <v>-2.9445000000000001E-3</v>
      </c>
      <c r="E168" s="13">
        <v>-0.49575000000000002</v>
      </c>
    </row>
    <row r="169" spans="1:5" x14ac:dyDescent="0.2">
      <c r="A169">
        <v>8372.2000000000007</v>
      </c>
      <c r="B169">
        <f t="shared" si="2"/>
        <v>8400</v>
      </c>
      <c r="C169" s="13">
        <v>-0.25913000000000003</v>
      </c>
      <c r="D169" s="13">
        <v>-1.7284999999999998E-2</v>
      </c>
      <c r="E169" s="13">
        <v>-0.50097999999999998</v>
      </c>
    </row>
    <row r="170" spans="1:5" x14ac:dyDescent="0.2">
      <c r="A170">
        <v>8382.2999999999993</v>
      </c>
      <c r="B170">
        <f t="shared" si="2"/>
        <v>8400</v>
      </c>
      <c r="C170" s="13">
        <v>-0.26939000000000002</v>
      </c>
      <c r="D170" s="13">
        <v>-3.2252999999999997E-2</v>
      </c>
      <c r="E170" s="13">
        <v>-0.50651999999999997</v>
      </c>
    </row>
    <row r="171" spans="1:5" x14ac:dyDescent="0.2">
      <c r="A171">
        <v>8392.2999999999993</v>
      </c>
      <c r="B171">
        <f t="shared" si="2"/>
        <v>8400</v>
      </c>
      <c r="C171" s="13">
        <v>-0.28008</v>
      </c>
      <c r="D171" s="13">
        <v>-4.7789999999999999E-2</v>
      </c>
      <c r="E171" s="13">
        <v>-0.51236999999999999</v>
      </c>
    </row>
    <row r="172" spans="1:5" x14ac:dyDescent="0.2">
      <c r="A172">
        <v>8402.4</v>
      </c>
      <c r="B172">
        <f t="shared" si="2"/>
        <v>8400</v>
      </c>
      <c r="C172" s="13">
        <v>-0.29116999999999998</v>
      </c>
      <c r="D172" s="13">
        <v>-6.3842999999999997E-2</v>
      </c>
      <c r="E172" s="13">
        <v>-0.51849000000000001</v>
      </c>
    </row>
    <row r="173" spans="1:5" x14ac:dyDescent="0.2">
      <c r="A173">
        <v>8412.5</v>
      </c>
      <c r="B173">
        <f t="shared" si="2"/>
        <v>8400</v>
      </c>
      <c r="C173" s="13">
        <v>-0.30260999999999999</v>
      </c>
      <c r="D173" s="13">
        <v>-8.0357999999999999E-2</v>
      </c>
      <c r="E173" s="13">
        <v>-0.52485999999999999</v>
      </c>
    </row>
    <row r="174" spans="1:5" x14ac:dyDescent="0.2">
      <c r="A174">
        <v>8422.5</v>
      </c>
      <c r="B174">
        <f t="shared" si="2"/>
        <v>8400</v>
      </c>
      <c r="C174" s="13">
        <v>-0.31436999999999998</v>
      </c>
      <c r="D174" s="13">
        <v>-9.7286999999999998E-2</v>
      </c>
      <c r="E174" s="13">
        <v>-0.53146000000000004</v>
      </c>
    </row>
    <row r="175" spans="1:5" x14ac:dyDescent="0.2">
      <c r="A175">
        <v>8432.6</v>
      </c>
      <c r="B175">
        <f t="shared" si="2"/>
        <v>8400</v>
      </c>
      <c r="C175" s="13">
        <v>-0.32641999999999999</v>
      </c>
      <c r="D175" s="13">
        <v>-0.11458</v>
      </c>
      <c r="E175" s="13">
        <v>-0.53825000000000001</v>
      </c>
    </row>
    <row r="176" spans="1:5" x14ac:dyDescent="0.2">
      <c r="A176">
        <v>8442.7000000000007</v>
      </c>
      <c r="B176">
        <f t="shared" si="2"/>
        <v>8400</v>
      </c>
      <c r="C176" s="13">
        <v>-0.33871000000000001</v>
      </c>
      <c r="D176" s="13">
        <v>-0.13220000000000001</v>
      </c>
      <c r="E176" s="13">
        <v>-0.54520999999999997</v>
      </c>
    </row>
    <row r="177" spans="1:5" x14ac:dyDescent="0.2">
      <c r="A177">
        <v>8452.7999999999993</v>
      </c>
      <c r="B177">
        <f t="shared" si="2"/>
        <v>8500</v>
      </c>
      <c r="C177" s="13">
        <v>-0.35120000000000001</v>
      </c>
      <c r="D177" s="13">
        <v>-0.15009</v>
      </c>
      <c r="E177" s="13">
        <v>-0.55230999999999997</v>
      </c>
    </row>
    <row r="178" spans="1:5" x14ac:dyDescent="0.2">
      <c r="A178">
        <v>8462.7999999999993</v>
      </c>
      <c r="B178">
        <f t="shared" si="2"/>
        <v>8500</v>
      </c>
      <c r="C178" s="13">
        <v>-0.36386000000000002</v>
      </c>
      <c r="D178" s="13">
        <v>-0.16822000000000001</v>
      </c>
      <c r="E178" s="13">
        <v>-0.5595</v>
      </c>
    </row>
    <row r="179" spans="1:5" x14ac:dyDescent="0.2">
      <c r="A179">
        <v>8472.9</v>
      </c>
      <c r="B179">
        <f t="shared" si="2"/>
        <v>8500</v>
      </c>
      <c r="C179" s="13">
        <v>-0.37664999999999998</v>
      </c>
      <c r="D179" s="13">
        <v>-0.18654999999999999</v>
      </c>
      <c r="E179" s="13">
        <v>-0.56674999999999998</v>
      </c>
    </row>
    <row r="180" spans="1:5" x14ac:dyDescent="0.2">
      <c r="A180">
        <v>8483</v>
      </c>
      <c r="B180">
        <f t="shared" si="2"/>
        <v>8500</v>
      </c>
      <c r="C180" s="13">
        <v>-0.38952999999999999</v>
      </c>
      <c r="D180" s="13">
        <v>-0.20502999999999999</v>
      </c>
      <c r="E180" s="13">
        <v>-0.57403999999999999</v>
      </c>
    </row>
    <row r="181" spans="1:5" x14ac:dyDescent="0.2">
      <c r="A181">
        <v>8493.1</v>
      </c>
      <c r="B181">
        <f t="shared" si="2"/>
        <v>8500</v>
      </c>
      <c r="C181" s="13">
        <v>-0.40246999999999999</v>
      </c>
      <c r="D181" s="13">
        <v>-0.22361</v>
      </c>
      <c r="E181" s="13">
        <v>-0.58131999999999995</v>
      </c>
    </row>
    <row r="182" spans="1:5" x14ac:dyDescent="0.2">
      <c r="A182">
        <v>8503.1</v>
      </c>
      <c r="B182">
        <f t="shared" si="2"/>
        <v>8500</v>
      </c>
      <c r="C182" s="13">
        <v>-0.41542000000000001</v>
      </c>
      <c r="D182" s="13">
        <v>-0.24227000000000001</v>
      </c>
      <c r="E182" s="13">
        <v>-0.58857000000000004</v>
      </c>
    </row>
    <row r="183" spans="1:5" x14ac:dyDescent="0.2">
      <c r="A183">
        <v>8513.2000000000007</v>
      </c>
      <c r="B183">
        <f t="shared" si="2"/>
        <v>8500</v>
      </c>
      <c r="C183" s="13">
        <v>-0.42834</v>
      </c>
      <c r="D183" s="13">
        <v>-0.26091999999999999</v>
      </c>
      <c r="E183" s="13">
        <v>-0.59577000000000002</v>
      </c>
    </row>
    <row r="184" spans="1:5" x14ac:dyDescent="0.2">
      <c r="A184">
        <v>8523.2999999999993</v>
      </c>
      <c r="B184">
        <f t="shared" si="2"/>
        <v>8500</v>
      </c>
      <c r="C184" s="13">
        <v>-0.44120999999999999</v>
      </c>
      <c r="D184" s="13">
        <v>-0.27951999999999999</v>
      </c>
      <c r="E184" s="13">
        <v>-0.60290999999999995</v>
      </c>
    </row>
    <row r="185" spans="1:5" x14ac:dyDescent="0.2">
      <c r="A185">
        <v>8533.4</v>
      </c>
      <c r="B185">
        <f t="shared" si="2"/>
        <v>8500</v>
      </c>
      <c r="C185" s="13">
        <v>-0.45399</v>
      </c>
      <c r="D185" s="13">
        <v>-0.29794999999999999</v>
      </c>
      <c r="E185" s="13">
        <v>-0.61002999999999996</v>
      </c>
    </row>
    <row r="186" spans="1:5" x14ac:dyDescent="0.2">
      <c r="A186">
        <v>8543.4</v>
      </c>
      <c r="B186">
        <f t="shared" si="2"/>
        <v>8500</v>
      </c>
      <c r="C186" s="13">
        <v>-0.46666000000000002</v>
      </c>
      <c r="D186" s="13">
        <v>-0.31609999999999999</v>
      </c>
      <c r="E186" s="13">
        <v>-0.61721999999999999</v>
      </c>
    </row>
    <row r="187" spans="1:5" x14ac:dyDescent="0.2">
      <c r="A187">
        <v>8553.5</v>
      </c>
      <c r="B187">
        <f t="shared" si="2"/>
        <v>8600</v>
      </c>
      <c r="C187" s="13">
        <v>-0.47919</v>
      </c>
      <c r="D187" s="13">
        <v>-0.33382000000000001</v>
      </c>
      <c r="E187" s="13">
        <v>-0.62456999999999996</v>
      </c>
    </row>
    <row r="188" spans="1:5" x14ac:dyDescent="0.2">
      <c r="A188">
        <v>8563.6</v>
      </c>
      <c r="B188">
        <f t="shared" si="2"/>
        <v>8600</v>
      </c>
      <c r="C188" s="13">
        <v>-0.49156</v>
      </c>
      <c r="D188" s="13">
        <v>-0.35095999999999999</v>
      </c>
      <c r="E188" s="13">
        <v>-0.63217000000000001</v>
      </c>
    </row>
    <row r="189" spans="1:5" x14ac:dyDescent="0.2">
      <c r="A189">
        <v>8573.6</v>
      </c>
      <c r="B189">
        <f t="shared" si="2"/>
        <v>8600</v>
      </c>
      <c r="C189" s="13">
        <v>-0.50375000000000003</v>
      </c>
      <c r="D189" s="13">
        <v>-0.36736000000000002</v>
      </c>
      <c r="E189" s="13">
        <v>-0.64012999999999998</v>
      </c>
    </row>
    <row r="190" spans="1:5" x14ac:dyDescent="0.2">
      <c r="A190">
        <v>8583.7000000000007</v>
      </c>
      <c r="B190">
        <f t="shared" si="2"/>
        <v>8600</v>
      </c>
      <c r="C190" s="13">
        <v>-0.51571999999999996</v>
      </c>
      <c r="D190" s="13">
        <v>-0.38288</v>
      </c>
      <c r="E190" s="13">
        <v>-0.64856000000000003</v>
      </c>
    </row>
    <row r="191" spans="1:5" x14ac:dyDescent="0.2">
      <c r="A191">
        <v>8593.7999999999993</v>
      </c>
      <c r="B191">
        <f t="shared" si="2"/>
        <v>8600</v>
      </c>
      <c r="C191" s="13">
        <v>-0.52746000000000004</v>
      </c>
      <c r="D191" s="13">
        <v>-0.39737</v>
      </c>
      <c r="E191" s="13">
        <v>-0.65754999999999997</v>
      </c>
    </row>
    <row r="192" spans="1:5" x14ac:dyDescent="0.2">
      <c r="A192">
        <v>8603.9</v>
      </c>
      <c r="B192">
        <f t="shared" si="2"/>
        <v>8600</v>
      </c>
      <c r="C192" s="13">
        <v>-0.53893999999999997</v>
      </c>
      <c r="D192" s="13">
        <v>-0.41070000000000001</v>
      </c>
      <c r="E192" s="13">
        <v>-0.66718999999999995</v>
      </c>
    </row>
    <row r="193" spans="1:5" x14ac:dyDescent="0.2">
      <c r="A193">
        <v>8613.9</v>
      </c>
      <c r="B193">
        <f t="shared" si="2"/>
        <v>8600</v>
      </c>
      <c r="C193" s="13">
        <v>-0.55013999999999996</v>
      </c>
      <c r="D193" s="13">
        <v>-0.42276000000000002</v>
      </c>
      <c r="E193" s="13">
        <v>-0.67752000000000001</v>
      </c>
    </row>
    <row r="194" spans="1:5" x14ac:dyDescent="0.2">
      <c r="A194">
        <v>8624</v>
      </c>
      <c r="B194">
        <f t="shared" si="2"/>
        <v>8600</v>
      </c>
      <c r="C194" s="13">
        <v>-0.56103000000000003</v>
      </c>
      <c r="D194" s="13">
        <v>-0.4335</v>
      </c>
      <c r="E194" s="13">
        <v>-0.68855</v>
      </c>
    </row>
    <row r="195" spans="1:5" x14ac:dyDescent="0.2">
      <c r="A195">
        <v>8634.1</v>
      </c>
      <c r="B195">
        <f t="shared" si="2"/>
        <v>8600</v>
      </c>
      <c r="C195" s="13">
        <v>-0.57157999999999998</v>
      </c>
      <c r="D195" s="13">
        <v>-0.44289000000000001</v>
      </c>
      <c r="E195" s="13">
        <v>-0.70026999999999995</v>
      </c>
    </row>
    <row r="196" spans="1:5" x14ac:dyDescent="0.2">
      <c r="A196">
        <v>8644.2000000000007</v>
      </c>
      <c r="B196">
        <f t="shared" ref="B196:B259" si="3">MROUND(A196,100)</f>
        <v>8600</v>
      </c>
      <c r="C196" s="13">
        <v>-0.58177999999999996</v>
      </c>
      <c r="D196" s="13">
        <v>-0.45096000000000003</v>
      </c>
      <c r="E196" s="13">
        <v>-0.71260999999999997</v>
      </c>
    </row>
    <row r="197" spans="1:5" x14ac:dyDescent="0.2">
      <c r="A197">
        <v>8654.2000000000007</v>
      </c>
      <c r="B197">
        <f t="shared" si="3"/>
        <v>8700</v>
      </c>
      <c r="C197" s="13">
        <v>-0.59160000000000001</v>
      </c>
      <c r="D197" s="13">
        <v>-0.45776</v>
      </c>
      <c r="E197" s="13">
        <v>-0.72543999999999997</v>
      </c>
    </row>
    <row r="198" spans="1:5" x14ac:dyDescent="0.2">
      <c r="A198">
        <v>8664.2999999999993</v>
      </c>
      <c r="B198">
        <f t="shared" si="3"/>
        <v>8700</v>
      </c>
      <c r="C198" s="13">
        <v>-0.60101000000000004</v>
      </c>
      <c r="D198" s="13">
        <v>-0.46337</v>
      </c>
      <c r="E198" s="13">
        <v>-0.73865000000000003</v>
      </c>
    </row>
    <row r="199" spans="1:5" x14ac:dyDescent="0.2">
      <c r="A199">
        <v>8674.4</v>
      </c>
      <c r="B199">
        <f t="shared" si="3"/>
        <v>8700</v>
      </c>
      <c r="C199" s="13">
        <v>-0.60999000000000003</v>
      </c>
      <c r="D199" s="13">
        <v>-0.46790999999999999</v>
      </c>
      <c r="E199" s="13">
        <v>-0.75207999999999997</v>
      </c>
    </row>
    <row r="200" spans="1:5" x14ac:dyDescent="0.2">
      <c r="A200">
        <v>8684.5</v>
      </c>
      <c r="B200">
        <f t="shared" si="3"/>
        <v>8700</v>
      </c>
      <c r="C200" s="13">
        <v>-0.61851999999999996</v>
      </c>
      <c r="D200" s="13">
        <v>-0.47148000000000001</v>
      </c>
      <c r="E200" s="13">
        <v>-0.76556000000000002</v>
      </c>
    </row>
    <row r="201" spans="1:5" x14ac:dyDescent="0.2">
      <c r="A201">
        <v>8694.5</v>
      </c>
      <c r="B201">
        <f t="shared" si="3"/>
        <v>8700</v>
      </c>
      <c r="C201" s="13">
        <v>-0.62656999999999996</v>
      </c>
      <c r="D201" s="13">
        <v>-0.47420000000000001</v>
      </c>
      <c r="E201" s="13">
        <v>-0.77893999999999997</v>
      </c>
    </row>
    <row r="202" spans="1:5" x14ac:dyDescent="0.2">
      <c r="A202">
        <v>8704.6</v>
      </c>
      <c r="B202">
        <f t="shared" si="3"/>
        <v>8700</v>
      </c>
      <c r="C202" s="13">
        <v>-0.63410999999999995</v>
      </c>
      <c r="D202" s="13">
        <v>-0.47619</v>
      </c>
      <c r="E202" s="13">
        <v>-0.79203999999999997</v>
      </c>
    </row>
    <row r="203" spans="1:5" x14ac:dyDescent="0.2">
      <c r="A203">
        <v>8714.7000000000007</v>
      </c>
      <c r="B203">
        <f t="shared" si="3"/>
        <v>8700</v>
      </c>
      <c r="C203" s="13">
        <v>-0.64112999999999998</v>
      </c>
      <c r="D203" s="13">
        <v>-0.47754000000000002</v>
      </c>
      <c r="E203" s="13">
        <v>-0.80471000000000004</v>
      </c>
    </row>
    <row r="204" spans="1:5" x14ac:dyDescent="0.2">
      <c r="A204">
        <v>8724.7000000000007</v>
      </c>
      <c r="B204">
        <f t="shared" si="3"/>
        <v>8700</v>
      </c>
      <c r="C204" s="13">
        <v>-0.64759</v>
      </c>
      <c r="D204" s="13">
        <v>-0.47836000000000001</v>
      </c>
      <c r="E204" s="13">
        <v>-0.81681999999999999</v>
      </c>
    </row>
    <row r="205" spans="1:5" x14ac:dyDescent="0.2">
      <c r="A205">
        <v>8734.7999999999993</v>
      </c>
      <c r="B205">
        <f t="shared" si="3"/>
        <v>8700</v>
      </c>
      <c r="C205" s="13">
        <v>-0.65347999999999995</v>
      </c>
      <c r="D205" s="13">
        <v>-0.47874</v>
      </c>
      <c r="E205" s="13">
        <v>-0.82821</v>
      </c>
    </row>
    <row r="206" spans="1:5" x14ac:dyDescent="0.2">
      <c r="A206">
        <v>8744.9</v>
      </c>
      <c r="B206">
        <f t="shared" si="3"/>
        <v>8700</v>
      </c>
      <c r="C206" s="13">
        <v>-0.65876000000000001</v>
      </c>
      <c r="D206" s="13">
        <v>-0.47875000000000001</v>
      </c>
      <c r="E206" s="13">
        <v>-0.83877000000000002</v>
      </c>
    </row>
    <row r="207" spans="1:5" x14ac:dyDescent="0.2">
      <c r="A207">
        <v>8755</v>
      </c>
      <c r="B207">
        <f t="shared" si="3"/>
        <v>8800</v>
      </c>
      <c r="C207" s="13">
        <v>-0.66342000000000001</v>
      </c>
      <c r="D207" s="13">
        <v>-0.47847000000000001</v>
      </c>
      <c r="E207" s="13">
        <v>-0.84836999999999996</v>
      </c>
    </row>
    <row r="208" spans="1:5" x14ac:dyDescent="0.2">
      <c r="A208">
        <v>8765</v>
      </c>
      <c r="B208">
        <f t="shared" si="3"/>
        <v>8800</v>
      </c>
      <c r="C208" s="13">
        <v>-0.66742999999999997</v>
      </c>
      <c r="D208" s="13">
        <v>-0.47793999999999998</v>
      </c>
      <c r="E208" s="13">
        <v>-0.85690999999999995</v>
      </c>
    </row>
    <row r="209" spans="1:5" x14ac:dyDescent="0.2">
      <c r="A209">
        <v>8775.1</v>
      </c>
      <c r="B209">
        <f t="shared" si="3"/>
        <v>8800</v>
      </c>
      <c r="C209" s="13">
        <v>-0.67076000000000002</v>
      </c>
      <c r="D209" s="13">
        <v>-0.47724</v>
      </c>
      <c r="E209" s="13">
        <v>-0.86426999999999998</v>
      </c>
    </row>
    <row r="210" spans="1:5" x14ac:dyDescent="0.2">
      <c r="A210">
        <v>8785.2000000000007</v>
      </c>
      <c r="B210">
        <f t="shared" si="3"/>
        <v>8800</v>
      </c>
      <c r="C210" s="13">
        <v>-0.67339000000000004</v>
      </c>
      <c r="D210" s="13">
        <v>-0.47641</v>
      </c>
      <c r="E210" s="13">
        <v>-0.87036999999999998</v>
      </c>
    </row>
    <row r="211" spans="1:5" x14ac:dyDescent="0.2">
      <c r="A211">
        <v>8795.2999999999993</v>
      </c>
      <c r="B211">
        <f t="shared" si="3"/>
        <v>8800</v>
      </c>
      <c r="C211" s="13">
        <v>-0.67530000000000001</v>
      </c>
      <c r="D211" s="13">
        <v>-0.47547</v>
      </c>
      <c r="E211" s="13">
        <v>-0.87512999999999996</v>
      </c>
    </row>
    <row r="212" spans="1:5" x14ac:dyDescent="0.2">
      <c r="A212">
        <v>8805.2999999999993</v>
      </c>
      <c r="B212">
        <f t="shared" si="3"/>
        <v>8800</v>
      </c>
      <c r="C212" s="13">
        <v>-0.67649999999999999</v>
      </c>
      <c r="D212" s="13">
        <v>-0.47445999999999999</v>
      </c>
      <c r="E212" s="13">
        <v>-0.87853999999999999</v>
      </c>
    </row>
    <row r="213" spans="1:5" x14ac:dyDescent="0.2">
      <c r="A213">
        <v>8815.4</v>
      </c>
      <c r="B213">
        <f t="shared" si="3"/>
        <v>8800</v>
      </c>
      <c r="C213" s="13">
        <v>-0.67701999999999996</v>
      </c>
      <c r="D213" s="13">
        <v>-0.47337000000000001</v>
      </c>
      <c r="E213" s="13">
        <v>-0.88066999999999995</v>
      </c>
    </row>
    <row r="214" spans="1:5" x14ac:dyDescent="0.2">
      <c r="A214">
        <v>8825.5</v>
      </c>
      <c r="B214">
        <f t="shared" si="3"/>
        <v>8800</v>
      </c>
      <c r="C214" s="13">
        <v>-0.67688999999999999</v>
      </c>
      <c r="D214" s="13">
        <v>-0.47219</v>
      </c>
      <c r="E214" s="13">
        <v>-0.88158000000000003</v>
      </c>
    </row>
    <row r="215" spans="1:5" x14ac:dyDescent="0.2">
      <c r="A215">
        <v>8835.6</v>
      </c>
      <c r="B215">
        <f t="shared" si="3"/>
        <v>8800</v>
      </c>
      <c r="C215" s="13">
        <v>-0.67613000000000001</v>
      </c>
      <c r="D215" s="13">
        <v>-0.47092000000000001</v>
      </c>
      <c r="E215" s="13">
        <v>-0.88134000000000001</v>
      </c>
    </row>
    <row r="216" spans="1:5" x14ac:dyDescent="0.2">
      <c r="A216">
        <v>8845.6</v>
      </c>
      <c r="B216">
        <f t="shared" si="3"/>
        <v>8800</v>
      </c>
      <c r="C216" s="13">
        <v>-0.67479</v>
      </c>
      <c r="D216" s="13">
        <v>-0.46954000000000001</v>
      </c>
      <c r="E216" s="13">
        <v>-0.88004000000000004</v>
      </c>
    </row>
    <row r="217" spans="1:5" x14ac:dyDescent="0.2">
      <c r="A217">
        <v>8855.7000000000007</v>
      </c>
      <c r="B217">
        <f t="shared" si="3"/>
        <v>8900</v>
      </c>
      <c r="C217" s="13">
        <v>-0.67288999999999999</v>
      </c>
      <c r="D217" s="13">
        <v>-0.46803</v>
      </c>
      <c r="E217" s="13">
        <v>-0.87775000000000003</v>
      </c>
    </row>
    <row r="218" spans="1:5" x14ac:dyDescent="0.2">
      <c r="A218">
        <v>8865.7999999999993</v>
      </c>
      <c r="B218">
        <f t="shared" si="3"/>
        <v>8900</v>
      </c>
      <c r="C218" s="13">
        <v>-0.67045999999999994</v>
      </c>
      <c r="D218" s="13">
        <v>-0.46634999999999999</v>
      </c>
      <c r="E218" s="13">
        <v>-0.87456</v>
      </c>
    </row>
    <row r="219" spans="1:5" x14ac:dyDescent="0.2">
      <c r="A219">
        <v>8875.9</v>
      </c>
      <c r="B219">
        <f t="shared" si="3"/>
        <v>8900</v>
      </c>
      <c r="C219" s="13">
        <v>-0.66752999999999996</v>
      </c>
      <c r="D219" s="13">
        <v>-0.46449000000000001</v>
      </c>
      <c r="E219" s="13">
        <v>-0.87056999999999995</v>
      </c>
    </row>
    <row r="220" spans="1:5" x14ac:dyDescent="0.2">
      <c r="A220">
        <v>8885.9</v>
      </c>
      <c r="B220">
        <f t="shared" si="3"/>
        <v>8900</v>
      </c>
      <c r="C220" s="13">
        <v>-0.66413</v>
      </c>
      <c r="D220" s="13">
        <v>-0.46239999999999998</v>
      </c>
      <c r="E220" s="13">
        <v>-0.86585999999999996</v>
      </c>
    </row>
    <row r="221" spans="1:5" x14ac:dyDescent="0.2">
      <c r="A221">
        <v>8896</v>
      </c>
      <c r="B221">
        <f t="shared" si="3"/>
        <v>8900</v>
      </c>
      <c r="C221" s="13">
        <v>-0.6603</v>
      </c>
      <c r="D221" s="13">
        <v>-0.46006000000000002</v>
      </c>
      <c r="E221" s="13">
        <v>-0.86055000000000004</v>
      </c>
    </row>
    <row r="222" spans="1:5" x14ac:dyDescent="0.2">
      <c r="A222">
        <v>8906.1</v>
      </c>
      <c r="B222">
        <f t="shared" si="3"/>
        <v>8900</v>
      </c>
      <c r="C222" s="13">
        <v>-0.65605999999999998</v>
      </c>
      <c r="D222" s="13">
        <v>-0.45740999999999998</v>
      </c>
      <c r="E222" s="13">
        <v>-0.85470999999999997</v>
      </c>
    </row>
    <row r="223" spans="1:5" x14ac:dyDescent="0.2">
      <c r="A223">
        <v>8916.1</v>
      </c>
      <c r="B223">
        <f t="shared" si="3"/>
        <v>8900</v>
      </c>
      <c r="C223" s="13">
        <v>-0.65144999999999997</v>
      </c>
      <c r="D223" s="13">
        <v>-0.45443</v>
      </c>
      <c r="E223" s="13">
        <v>-0.84846999999999995</v>
      </c>
    </row>
    <row r="224" spans="1:5" x14ac:dyDescent="0.2">
      <c r="A224">
        <v>8926.2000000000007</v>
      </c>
      <c r="B224">
        <f t="shared" si="3"/>
        <v>8900</v>
      </c>
      <c r="C224" s="13">
        <v>-0.64649000000000001</v>
      </c>
      <c r="D224" s="13">
        <v>-0.45106000000000002</v>
      </c>
      <c r="E224" s="13">
        <v>-0.84192</v>
      </c>
    </row>
    <row r="225" spans="1:5" x14ac:dyDescent="0.2">
      <c r="A225">
        <v>8936.2999999999993</v>
      </c>
      <c r="B225">
        <f t="shared" si="3"/>
        <v>8900</v>
      </c>
      <c r="C225" s="13">
        <v>-0.64122000000000001</v>
      </c>
      <c r="D225" s="13">
        <v>-0.44725999999999999</v>
      </c>
      <c r="E225" s="13">
        <v>-0.83516999999999997</v>
      </c>
    </row>
    <row r="226" spans="1:5" x14ac:dyDescent="0.2">
      <c r="A226">
        <v>8946.4</v>
      </c>
      <c r="B226">
        <f t="shared" si="3"/>
        <v>8900</v>
      </c>
      <c r="C226" s="13">
        <v>-0.63566</v>
      </c>
      <c r="D226" s="13">
        <v>-0.443</v>
      </c>
      <c r="E226" s="13">
        <v>-0.82831999999999995</v>
      </c>
    </row>
    <row r="227" spans="1:5" x14ac:dyDescent="0.2">
      <c r="A227">
        <v>8956.4</v>
      </c>
      <c r="B227">
        <f t="shared" si="3"/>
        <v>9000</v>
      </c>
      <c r="C227" s="13">
        <v>-0.62985000000000002</v>
      </c>
      <c r="D227" s="13">
        <v>-0.43823000000000001</v>
      </c>
      <c r="E227" s="13">
        <v>-0.82147999999999999</v>
      </c>
    </row>
    <row r="228" spans="1:5" x14ac:dyDescent="0.2">
      <c r="A228">
        <v>8966.5</v>
      </c>
      <c r="B228">
        <f t="shared" si="3"/>
        <v>9000</v>
      </c>
      <c r="C228" s="13">
        <v>-0.62382000000000004</v>
      </c>
      <c r="D228" s="13">
        <v>-0.43292000000000003</v>
      </c>
      <c r="E228" s="13">
        <v>-0.81472999999999995</v>
      </c>
    </row>
    <row r="229" spans="1:5" x14ac:dyDescent="0.2">
      <c r="A229">
        <v>8976.6</v>
      </c>
      <c r="B229">
        <f t="shared" si="3"/>
        <v>9000</v>
      </c>
      <c r="C229" s="13">
        <v>-0.61760000000000004</v>
      </c>
      <c r="D229" s="13">
        <v>-0.42703000000000002</v>
      </c>
      <c r="E229" s="13">
        <v>-0.80817000000000005</v>
      </c>
    </row>
    <row r="230" spans="1:5" x14ac:dyDescent="0.2">
      <c r="A230">
        <v>8986.7000000000007</v>
      </c>
      <c r="B230">
        <f t="shared" si="3"/>
        <v>9000</v>
      </c>
      <c r="C230" s="13">
        <v>-0.61121999999999999</v>
      </c>
      <c r="D230" s="13">
        <v>-0.42054999999999998</v>
      </c>
      <c r="E230" s="13">
        <v>-0.80188999999999999</v>
      </c>
    </row>
    <row r="231" spans="1:5" x14ac:dyDescent="0.2">
      <c r="A231">
        <v>8996.7000000000007</v>
      </c>
      <c r="B231">
        <f t="shared" si="3"/>
        <v>9000</v>
      </c>
      <c r="C231" s="13">
        <v>-0.60470999999999997</v>
      </c>
      <c r="D231" s="13">
        <v>-0.41347</v>
      </c>
      <c r="E231" s="13">
        <v>-0.79593999999999998</v>
      </c>
    </row>
    <row r="232" spans="1:5" x14ac:dyDescent="0.2">
      <c r="A232">
        <v>9006.7999999999993</v>
      </c>
      <c r="B232">
        <f t="shared" si="3"/>
        <v>9000</v>
      </c>
      <c r="C232" s="13">
        <v>-0.59809000000000001</v>
      </c>
      <c r="D232" s="13">
        <v>-0.40578999999999998</v>
      </c>
      <c r="E232" s="13">
        <v>-0.79039999999999999</v>
      </c>
    </row>
    <row r="233" spans="1:5" x14ac:dyDescent="0.2">
      <c r="A233">
        <v>9016.9</v>
      </c>
      <c r="B233">
        <f t="shared" si="3"/>
        <v>9000</v>
      </c>
      <c r="C233" s="13">
        <v>-0.59140999999999999</v>
      </c>
      <c r="D233" s="13">
        <v>-0.39750999999999997</v>
      </c>
      <c r="E233" s="13">
        <v>-0.78532000000000002</v>
      </c>
    </row>
    <row r="234" spans="1:5" x14ac:dyDescent="0.2">
      <c r="A234">
        <v>9027</v>
      </c>
      <c r="B234">
        <f t="shared" si="3"/>
        <v>9000</v>
      </c>
      <c r="C234" s="13">
        <v>-0.58469000000000004</v>
      </c>
      <c r="D234" s="13">
        <v>-0.38866000000000001</v>
      </c>
      <c r="E234" s="13">
        <v>-0.78073000000000004</v>
      </c>
    </row>
    <row r="235" spans="1:5" x14ac:dyDescent="0.2">
      <c r="A235">
        <v>9037</v>
      </c>
      <c r="B235">
        <f t="shared" si="3"/>
        <v>9000</v>
      </c>
      <c r="C235" s="13">
        <v>-0.57796999999999998</v>
      </c>
      <c r="D235" s="13">
        <v>-0.37929000000000002</v>
      </c>
      <c r="E235" s="13">
        <v>-0.77664999999999995</v>
      </c>
    </row>
    <row r="236" spans="1:5" x14ac:dyDescent="0.2">
      <c r="A236">
        <v>9047.1</v>
      </c>
      <c r="B236">
        <f t="shared" si="3"/>
        <v>9000</v>
      </c>
      <c r="C236" s="13">
        <v>-0.57125999999999999</v>
      </c>
      <c r="D236" s="13">
        <v>-0.36942999999999998</v>
      </c>
      <c r="E236" s="13">
        <v>-0.77309000000000005</v>
      </c>
    </row>
    <row r="237" spans="1:5" x14ac:dyDescent="0.2">
      <c r="A237">
        <v>9057.2000000000007</v>
      </c>
      <c r="B237">
        <f t="shared" si="3"/>
        <v>9100</v>
      </c>
      <c r="C237" s="13">
        <v>-0.56460999999999995</v>
      </c>
      <c r="D237" s="13">
        <v>-0.35915999999999998</v>
      </c>
      <c r="E237" s="13">
        <v>-0.77007000000000003</v>
      </c>
    </row>
    <row r="238" spans="1:5" x14ac:dyDescent="0.2">
      <c r="A238">
        <v>9067.2000000000007</v>
      </c>
      <c r="B238">
        <f t="shared" si="3"/>
        <v>9100</v>
      </c>
      <c r="C238" s="13">
        <v>-0.55805000000000005</v>
      </c>
      <c r="D238" s="13">
        <v>-0.34853000000000001</v>
      </c>
      <c r="E238" s="13">
        <v>-0.76756000000000002</v>
      </c>
    </row>
    <row r="239" spans="1:5" x14ac:dyDescent="0.2">
      <c r="A239">
        <v>9077.2999999999993</v>
      </c>
      <c r="B239">
        <f t="shared" si="3"/>
        <v>9100</v>
      </c>
      <c r="C239" s="13">
        <v>-0.55159000000000002</v>
      </c>
      <c r="D239" s="13">
        <v>-0.33762999999999999</v>
      </c>
      <c r="E239" s="13">
        <v>-0.76554999999999995</v>
      </c>
    </row>
    <row r="240" spans="1:5" x14ac:dyDescent="0.2">
      <c r="A240">
        <v>9087.4</v>
      </c>
      <c r="B240">
        <f t="shared" si="3"/>
        <v>9100</v>
      </c>
      <c r="C240" s="13">
        <v>-0.54529000000000005</v>
      </c>
      <c r="D240" s="13">
        <v>-0.32655000000000001</v>
      </c>
      <c r="E240" s="13">
        <v>-0.76402999999999999</v>
      </c>
    </row>
    <row r="241" spans="1:5" x14ac:dyDescent="0.2">
      <c r="A241">
        <v>9097.5</v>
      </c>
      <c r="B241">
        <f t="shared" si="3"/>
        <v>9100</v>
      </c>
      <c r="C241" s="13">
        <v>-0.53915999999999997</v>
      </c>
      <c r="D241" s="13">
        <v>-0.31535000000000002</v>
      </c>
      <c r="E241" s="13">
        <v>-0.76295999999999997</v>
      </c>
    </row>
    <row r="242" spans="1:5" x14ac:dyDescent="0.2">
      <c r="A242">
        <v>9107.5</v>
      </c>
      <c r="B242">
        <f t="shared" si="3"/>
        <v>9100</v>
      </c>
      <c r="C242" s="13">
        <v>-0.53322999999999998</v>
      </c>
      <c r="D242" s="13">
        <v>-0.30414999999999998</v>
      </c>
      <c r="E242" s="13">
        <v>-0.76232</v>
      </c>
    </row>
    <row r="243" spans="1:5" x14ac:dyDescent="0.2">
      <c r="A243">
        <v>9117.6</v>
      </c>
      <c r="B243">
        <f t="shared" si="3"/>
        <v>9100</v>
      </c>
      <c r="C243" s="13">
        <v>-0.52754999999999996</v>
      </c>
      <c r="D243" s="13">
        <v>-0.29302</v>
      </c>
      <c r="E243" s="13">
        <v>-0.76207999999999998</v>
      </c>
    </row>
    <row r="244" spans="1:5" x14ac:dyDescent="0.2">
      <c r="A244">
        <v>9127.7000000000007</v>
      </c>
      <c r="B244">
        <f t="shared" si="3"/>
        <v>9100</v>
      </c>
      <c r="C244" s="13">
        <v>-0.52212999999999998</v>
      </c>
      <c r="D244" s="13">
        <v>-0.28205999999999998</v>
      </c>
      <c r="E244" s="13">
        <v>-0.76219999999999999</v>
      </c>
    </row>
    <row r="245" spans="1:5" x14ac:dyDescent="0.2">
      <c r="A245">
        <v>9137.7999999999993</v>
      </c>
      <c r="B245">
        <f t="shared" si="3"/>
        <v>9100</v>
      </c>
      <c r="C245" s="13">
        <v>-0.51700999999999997</v>
      </c>
      <c r="D245" s="13">
        <v>-0.27137</v>
      </c>
      <c r="E245" s="13">
        <v>-0.76266</v>
      </c>
    </row>
    <row r="246" spans="1:5" x14ac:dyDescent="0.2">
      <c r="A246">
        <v>9147.7999999999993</v>
      </c>
      <c r="B246">
        <f t="shared" si="3"/>
        <v>9100</v>
      </c>
      <c r="C246" s="13">
        <v>-0.51222000000000001</v>
      </c>
      <c r="D246" s="13">
        <v>-0.26101999999999997</v>
      </c>
      <c r="E246" s="13">
        <v>-0.76341999999999999</v>
      </c>
    </row>
    <row r="247" spans="1:5" x14ac:dyDescent="0.2">
      <c r="A247">
        <v>9157.9</v>
      </c>
      <c r="B247">
        <f t="shared" si="3"/>
        <v>9200</v>
      </c>
      <c r="C247" s="13">
        <v>-0.50778999999999996</v>
      </c>
      <c r="D247" s="13">
        <v>-0.25112000000000001</v>
      </c>
      <c r="E247" s="13">
        <v>-0.76446999999999998</v>
      </c>
    </row>
    <row r="248" spans="1:5" x14ac:dyDescent="0.2">
      <c r="A248">
        <v>9168</v>
      </c>
      <c r="B248">
        <f t="shared" si="3"/>
        <v>9200</v>
      </c>
      <c r="C248" s="13">
        <v>-0.50375000000000003</v>
      </c>
      <c r="D248" s="13">
        <v>-0.24174000000000001</v>
      </c>
      <c r="E248" s="13">
        <v>-0.76576</v>
      </c>
    </row>
    <row r="249" spans="1:5" x14ac:dyDescent="0.2">
      <c r="A249">
        <v>9178.1</v>
      </c>
      <c r="B249">
        <f t="shared" si="3"/>
        <v>9200</v>
      </c>
      <c r="C249" s="13">
        <v>-0.50014000000000003</v>
      </c>
      <c r="D249" s="13">
        <v>-0.23297999999999999</v>
      </c>
      <c r="E249" s="13">
        <v>-0.76729000000000003</v>
      </c>
    </row>
    <row r="250" spans="1:5" x14ac:dyDescent="0.2">
      <c r="A250">
        <v>9188.1</v>
      </c>
      <c r="B250">
        <f t="shared" si="3"/>
        <v>9200</v>
      </c>
      <c r="C250" s="13">
        <v>-0.49697000000000002</v>
      </c>
      <c r="D250" s="13">
        <v>-0.22491</v>
      </c>
      <c r="E250" s="13">
        <v>-0.76902999999999999</v>
      </c>
    </row>
    <row r="251" spans="1:5" x14ac:dyDescent="0.2">
      <c r="A251">
        <v>9198.2000000000007</v>
      </c>
      <c r="B251">
        <f t="shared" si="3"/>
        <v>9200</v>
      </c>
      <c r="C251" s="13">
        <v>-0.49429000000000001</v>
      </c>
      <c r="D251" s="13">
        <v>-0.21761</v>
      </c>
      <c r="E251" s="13">
        <v>-0.77095999999999998</v>
      </c>
    </row>
    <row r="252" spans="1:5" x14ac:dyDescent="0.2">
      <c r="A252">
        <v>9208.2999999999993</v>
      </c>
      <c r="B252">
        <f t="shared" si="3"/>
        <v>9200</v>
      </c>
      <c r="C252" s="13">
        <v>-0.49212</v>
      </c>
      <c r="D252" s="13">
        <v>-0.21117</v>
      </c>
      <c r="E252" s="13">
        <v>-0.77305999999999997</v>
      </c>
    </row>
    <row r="253" spans="1:5" x14ac:dyDescent="0.2">
      <c r="A253">
        <v>9218.2999999999993</v>
      </c>
      <c r="B253">
        <f t="shared" si="3"/>
        <v>9200</v>
      </c>
      <c r="C253" s="13">
        <v>-0.49048999999999998</v>
      </c>
      <c r="D253" s="13">
        <v>-0.20566000000000001</v>
      </c>
      <c r="E253" s="13">
        <v>-0.77532000000000001</v>
      </c>
    </row>
    <row r="254" spans="1:5" x14ac:dyDescent="0.2">
      <c r="A254">
        <v>9228.4</v>
      </c>
      <c r="B254">
        <f t="shared" si="3"/>
        <v>9200</v>
      </c>
      <c r="C254" s="13">
        <v>-0.48943999999999999</v>
      </c>
      <c r="D254" s="13">
        <v>-0.20115</v>
      </c>
      <c r="E254" s="13">
        <v>-0.77773000000000003</v>
      </c>
    </row>
    <row r="255" spans="1:5" x14ac:dyDescent="0.2">
      <c r="A255">
        <v>9238.5</v>
      </c>
      <c r="B255">
        <f t="shared" si="3"/>
        <v>9200</v>
      </c>
      <c r="C255" s="13">
        <v>-0.48898999999999998</v>
      </c>
      <c r="D255" s="13">
        <v>-0.19769999999999999</v>
      </c>
      <c r="E255" s="13">
        <v>-0.78027999999999997</v>
      </c>
    </row>
    <row r="256" spans="1:5" x14ac:dyDescent="0.2">
      <c r="A256">
        <v>9248.6</v>
      </c>
      <c r="B256">
        <f t="shared" si="3"/>
        <v>9200</v>
      </c>
      <c r="C256" s="13">
        <v>-0.48918</v>
      </c>
      <c r="D256" s="13">
        <v>-0.19539000000000001</v>
      </c>
      <c r="E256" s="13">
        <v>-0.78297000000000005</v>
      </c>
    </row>
    <row r="257" spans="1:5" x14ac:dyDescent="0.2">
      <c r="A257">
        <v>9258.6</v>
      </c>
      <c r="B257">
        <f t="shared" si="3"/>
        <v>9300</v>
      </c>
      <c r="C257" s="13">
        <v>-0.49003000000000002</v>
      </c>
      <c r="D257" s="13">
        <v>-0.19428000000000001</v>
      </c>
      <c r="E257" s="13">
        <v>-0.78578999999999999</v>
      </c>
    </row>
    <row r="258" spans="1:5" x14ac:dyDescent="0.2">
      <c r="A258">
        <v>9268.7000000000007</v>
      </c>
      <c r="B258">
        <f t="shared" si="3"/>
        <v>9300</v>
      </c>
      <c r="C258" s="13">
        <v>-0.49158000000000002</v>
      </c>
      <c r="D258" s="13">
        <v>-0.19442000000000001</v>
      </c>
      <c r="E258" s="13">
        <v>-0.78874999999999995</v>
      </c>
    </row>
    <row r="259" spans="1:5" x14ac:dyDescent="0.2">
      <c r="A259">
        <v>9278.7999999999993</v>
      </c>
      <c r="B259">
        <f t="shared" si="3"/>
        <v>9300</v>
      </c>
      <c r="C259" s="13">
        <v>-0.49386000000000002</v>
      </c>
      <c r="D259" s="13">
        <v>-0.19586999999999999</v>
      </c>
      <c r="E259" s="13">
        <v>-0.79186000000000001</v>
      </c>
    </row>
    <row r="260" spans="1:5" x14ac:dyDescent="0.2">
      <c r="A260">
        <v>9288.9</v>
      </c>
      <c r="B260">
        <f t="shared" ref="B260:B323" si="4">MROUND(A260,100)</f>
        <v>9300</v>
      </c>
      <c r="C260" s="13">
        <v>-0.49690000000000001</v>
      </c>
      <c r="D260" s="13">
        <v>-0.19868</v>
      </c>
      <c r="E260" s="13">
        <v>-0.79513</v>
      </c>
    </row>
    <row r="261" spans="1:5" x14ac:dyDescent="0.2">
      <c r="A261">
        <v>9298.9</v>
      </c>
      <c r="B261">
        <f t="shared" si="4"/>
        <v>9300</v>
      </c>
      <c r="C261" s="13">
        <v>-0.50073000000000001</v>
      </c>
      <c r="D261" s="13">
        <v>-0.20288999999999999</v>
      </c>
      <c r="E261" s="13">
        <v>-0.79857</v>
      </c>
    </row>
    <row r="262" spans="1:5" x14ac:dyDescent="0.2">
      <c r="A262">
        <v>9309</v>
      </c>
      <c r="B262">
        <f t="shared" si="4"/>
        <v>9300</v>
      </c>
      <c r="C262" s="13">
        <v>-0.50536999999999999</v>
      </c>
      <c r="D262" s="13">
        <v>-0.20852999999999999</v>
      </c>
      <c r="E262" s="13">
        <v>-0.80222000000000004</v>
      </c>
    </row>
    <row r="263" spans="1:5" x14ac:dyDescent="0.2">
      <c r="A263">
        <v>9319.1</v>
      </c>
      <c r="B263">
        <f t="shared" si="4"/>
        <v>9300</v>
      </c>
      <c r="C263" s="13">
        <v>-0.51087000000000005</v>
      </c>
      <c r="D263" s="13">
        <v>-0.21564</v>
      </c>
      <c r="E263" s="13">
        <v>-0.80610000000000004</v>
      </c>
    </row>
    <row r="264" spans="1:5" x14ac:dyDescent="0.2">
      <c r="A264">
        <v>9329.2000000000007</v>
      </c>
      <c r="B264">
        <f t="shared" si="4"/>
        <v>9300</v>
      </c>
      <c r="C264" s="13">
        <v>-0.51724999999999999</v>
      </c>
      <c r="D264" s="13">
        <v>-0.22423999999999999</v>
      </c>
      <c r="E264" s="13">
        <v>-0.81025999999999998</v>
      </c>
    </row>
    <row r="265" spans="1:5" x14ac:dyDescent="0.2">
      <c r="A265">
        <v>9339.2000000000007</v>
      </c>
      <c r="B265">
        <f t="shared" si="4"/>
        <v>9300</v>
      </c>
      <c r="C265" s="13">
        <v>-0.52454000000000001</v>
      </c>
      <c r="D265" s="13">
        <v>-0.23432</v>
      </c>
      <c r="E265" s="13">
        <v>-0.81474999999999997</v>
      </c>
    </row>
    <row r="266" spans="1:5" x14ac:dyDescent="0.2">
      <c r="A266">
        <v>9349.2999999999993</v>
      </c>
      <c r="B266">
        <f t="shared" si="4"/>
        <v>9300</v>
      </c>
      <c r="C266" s="13">
        <v>-0.53276000000000001</v>
      </c>
      <c r="D266" s="13">
        <v>-0.24587999999999999</v>
      </c>
      <c r="E266" s="13">
        <v>-0.81964999999999999</v>
      </c>
    </row>
    <row r="267" spans="1:5" x14ac:dyDescent="0.2">
      <c r="A267">
        <v>9359.4</v>
      </c>
      <c r="B267">
        <f t="shared" si="4"/>
        <v>9400</v>
      </c>
      <c r="C267" s="13">
        <v>-0.54191</v>
      </c>
      <c r="D267" s="13">
        <v>-0.25879999999999997</v>
      </c>
      <c r="E267" s="13">
        <v>-0.82501999999999998</v>
      </c>
    </row>
    <row r="268" spans="1:5" x14ac:dyDescent="0.2">
      <c r="A268">
        <v>9369.4</v>
      </c>
      <c r="B268">
        <f t="shared" si="4"/>
        <v>9400</v>
      </c>
      <c r="C268" s="13">
        <v>-0.55188000000000004</v>
      </c>
      <c r="D268" s="13">
        <v>-0.27284999999999998</v>
      </c>
      <c r="E268" s="13">
        <v>-0.83091000000000004</v>
      </c>
    </row>
    <row r="269" spans="1:5" x14ac:dyDescent="0.2">
      <c r="A269">
        <v>9379.5</v>
      </c>
      <c r="B269">
        <f t="shared" si="4"/>
        <v>9400</v>
      </c>
      <c r="C269" s="13">
        <v>-0.56255999999999995</v>
      </c>
      <c r="D269" s="13">
        <v>-0.28777000000000003</v>
      </c>
      <c r="E269" s="13">
        <v>-0.83735999999999999</v>
      </c>
    </row>
    <row r="270" spans="1:5" x14ac:dyDescent="0.2">
      <c r="A270">
        <v>9389.6</v>
      </c>
      <c r="B270">
        <f t="shared" si="4"/>
        <v>9400</v>
      </c>
      <c r="C270" s="13">
        <v>-0.57384999999999997</v>
      </c>
      <c r="D270" s="13">
        <v>-0.30327999999999999</v>
      </c>
      <c r="E270" s="13">
        <v>-0.84440999999999999</v>
      </c>
    </row>
    <row r="271" spans="1:5" x14ac:dyDescent="0.2">
      <c r="A271">
        <v>9399.7000000000007</v>
      </c>
      <c r="B271">
        <f t="shared" si="4"/>
        <v>9400</v>
      </c>
      <c r="C271" s="13">
        <v>-0.58562999999999998</v>
      </c>
      <c r="D271" s="13">
        <v>-0.31914999999999999</v>
      </c>
      <c r="E271" s="13">
        <v>-0.85211000000000003</v>
      </c>
    </row>
    <row r="272" spans="1:5" x14ac:dyDescent="0.2">
      <c r="A272">
        <v>9409.7000000000007</v>
      </c>
      <c r="B272">
        <f t="shared" si="4"/>
        <v>9400</v>
      </c>
      <c r="C272" s="13">
        <v>-0.5978</v>
      </c>
      <c r="D272" s="13">
        <v>-0.33512999999999998</v>
      </c>
      <c r="E272" s="13">
        <v>-0.86048000000000002</v>
      </c>
    </row>
    <row r="273" spans="1:5" x14ac:dyDescent="0.2">
      <c r="A273">
        <v>9419.7999999999993</v>
      </c>
      <c r="B273">
        <f t="shared" si="4"/>
        <v>9400</v>
      </c>
      <c r="C273" s="13">
        <v>-0.61026000000000002</v>
      </c>
      <c r="D273" s="13">
        <v>-0.35099000000000002</v>
      </c>
      <c r="E273" s="13">
        <v>-0.86953000000000003</v>
      </c>
    </row>
    <row r="274" spans="1:5" x14ac:dyDescent="0.2">
      <c r="A274">
        <v>9429.9</v>
      </c>
      <c r="B274">
        <f t="shared" si="4"/>
        <v>9400</v>
      </c>
      <c r="C274" s="13">
        <v>-0.62289000000000005</v>
      </c>
      <c r="D274" s="13">
        <v>-0.36651</v>
      </c>
      <c r="E274" s="13">
        <v>-0.87926000000000004</v>
      </c>
    </row>
    <row r="275" spans="1:5" x14ac:dyDescent="0.2">
      <c r="A275">
        <v>9440</v>
      </c>
      <c r="B275">
        <f t="shared" si="4"/>
        <v>9400</v>
      </c>
      <c r="C275" s="13">
        <v>-0.63558000000000003</v>
      </c>
      <c r="D275" s="13">
        <v>-0.38152000000000003</v>
      </c>
      <c r="E275" s="13">
        <v>-0.88965000000000005</v>
      </c>
    </row>
    <row r="276" spans="1:5" x14ac:dyDescent="0.2">
      <c r="A276">
        <v>9450</v>
      </c>
      <c r="B276">
        <f t="shared" si="4"/>
        <v>9500</v>
      </c>
      <c r="C276" s="13">
        <v>-0.64824000000000004</v>
      </c>
      <c r="D276" s="13">
        <v>-0.39584999999999998</v>
      </c>
      <c r="E276" s="13">
        <v>-0.90063000000000004</v>
      </c>
    </row>
    <row r="277" spans="1:5" x14ac:dyDescent="0.2">
      <c r="A277">
        <v>9460.1</v>
      </c>
      <c r="B277">
        <f t="shared" si="4"/>
        <v>9500</v>
      </c>
      <c r="C277" s="13">
        <v>-0.66074999999999995</v>
      </c>
      <c r="D277" s="13">
        <v>-0.40937000000000001</v>
      </c>
      <c r="E277" s="13">
        <v>-0.91212000000000004</v>
      </c>
    </row>
    <row r="278" spans="1:5" x14ac:dyDescent="0.2">
      <c r="A278">
        <v>9470.2000000000007</v>
      </c>
      <c r="B278">
        <f t="shared" si="4"/>
        <v>9500</v>
      </c>
      <c r="C278" s="13">
        <v>-0.67300000000000004</v>
      </c>
      <c r="D278" s="13">
        <v>-0.42198999999999998</v>
      </c>
      <c r="E278" s="13">
        <v>-0.92401</v>
      </c>
    </row>
    <row r="279" spans="1:5" x14ac:dyDescent="0.2">
      <c r="A279">
        <v>9480.2999999999993</v>
      </c>
      <c r="B279">
        <f t="shared" si="4"/>
        <v>9500</v>
      </c>
      <c r="C279" s="13">
        <v>-0.68489</v>
      </c>
      <c r="D279" s="13">
        <v>-0.43364000000000003</v>
      </c>
      <c r="E279" s="13">
        <v>-0.93613999999999997</v>
      </c>
    </row>
    <row r="280" spans="1:5" x14ac:dyDescent="0.2">
      <c r="A280">
        <v>9490.2999999999993</v>
      </c>
      <c r="B280">
        <f t="shared" si="4"/>
        <v>9500</v>
      </c>
      <c r="C280" s="13">
        <v>-0.69630999999999998</v>
      </c>
      <c r="D280" s="13">
        <v>-0.44429000000000002</v>
      </c>
      <c r="E280" s="13">
        <v>-0.94833000000000001</v>
      </c>
    </row>
    <row r="281" spans="1:5" x14ac:dyDescent="0.2">
      <c r="A281">
        <v>9500.4</v>
      </c>
      <c r="B281">
        <f t="shared" si="4"/>
        <v>9500</v>
      </c>
      <c r="C281" s="13">
        <v>-0.70714999999999995</v>
      </c>
      <c r="D281" s="13">
        <v>-0.45393</v>
      </c>
      <c r="E281" s="13">
        <v>-0.96036999999999995</v>
      </c>
    </row>
    <row r="282" spans="1:5" x14ac:dyDescent="0.2">
      <c r="A282">
        <v>9510.5</v>
      </c>
      <c r="B282">
        <f t="shared" si="4"/>
        <v>9500</v>
      </c>
      <c r="C282" s="13">
        <v>-0.71731</v>
      </c>
      <c r="D282" s="13">
        <v>-0.46257999999999999</v>
      </c>
      <c r="E282" s="13">
        <v>-0.97204000000000002</v>
      </c>
    </row>
    <row r="283" spans="1:5" x14ac:dyDescent="0.2">
      <c r="A283">
        <v>9520.5</v>
      </c>
      <c r="B283">
        <f t="shared" si="4"/>
        <v>9500</v>
      </c>
      <c r="C283" s="13">
        <v>-0.72667000000000004</v>
      </c>
      <c r="D283" s="13">
        <v>-0.47026000000000001</v>
      </c>
      <c r="E283" s="13">
        <v>-0.98307999999999995</v>
      </c>
    </row>
    <row r="284" spans="1:5" x14ac:dyDescent="0.2">
      <c r="A284">
        <v>9530.6</v>
      </c>
      <c r="B284">
        <f t="shared" si="4"/>
        <v>9500</v>
      </c>
      <c r="C284" s="13">
        <v>-0.73514000000000002</v>
      </c>
      <c r="D284" s="13">
        <v>-0.47703000000000001</v>
      </c>
      <c r="E284" s="13">
        <v>-0.99324999999999997</v>
      </c>
    </row>
    <row r="285" spans="1:5" x14ac:dyDescent="0.2">
      <c r="A285">
        <v>9540.7000000000007</v>
      </c>
      <c r="B285">
        <f t="shared" si="4"/>
        <v>9500</v>
      </c>
      <c r="C285" s="13">
        <v>-0.74258999999999997</v>
      </c>
      <c r="D285" s="13">
        <v>-0.48292000000000002</v>
      </c>
      <c r="E285" s="13">
        <v>-1.0023</v>
      </c>
    </row>
    <row r="286" spans="1:5" x14ac:dyDescent="0.2">
      <c r="A286">
        <v>9550.7999999999993</v>
      </c>
      <c r="B286">
        <f t="shared" si="4"/>
        <v>9600</v>
      </c>
      <c r="C286" s="13">
        <v>-0.74892999999999998</v>
      </c>
      <c r="D286" s="13">
        <v>-0.48798999999999998</v>
      </c>
      <c r="E286" s="13">
        <v>-1.0099</v>
      </c>
    </row>
    <row r="287" spans="1:5" x14ac:dyDescent="0.2">
      <c r="A287">
        <v>9560.7999999999993</v>
      </c>
      <c r="B287">
        <f t="shared" si="4"/>
        <v>9600</v>
      </c>
      <c r="C287" s="13">
        <v>-0.75405</v>
      </c>
      <c r="D287" s="13">
        <v>-0.49229000000000001</v>
      </c>
      <c r="E287" s="13">
        <v>-1.0158</v>
      </c>
    </row>
    <row r="288" spans="1:5" x14ac:dyDescent="0.2">
      <c r="A288">
        <v>9570.9</v>
      </c>
      <c r="B288">
        <f t="shared" si="4"/>
        <v>9600</v>
      </c>
      <c r="C288" s="13">
        <v>-0.75783999999999996</v>
      </c>
      <c r="D288" s="13">
        <v>-0.49587999999999999</v>
      </c>
      <c r="E288" s="13">
        <v>-1.0198</v>
      </c>
    </row>
    <row r="289" spans="1:5" x14ac:dyDescent="0.2">
      <c r="A289">
        <v>9581</v>
      </c>
      <c r="B289">
        <f t="shared" si="4"/>
        <v>9600</v>
      </c>
      <c r="C289" s="13">
        <v>-0.76019000000000003</v>
      </c>
      <c r="D289" s="13">
        <v>-0.49878</v>
      </c>
      <c r="E289" s="13">
        <v>-1.0216000000000001</v>
      </c>
    </row>
    <row r="290" spans="1:5" x14ac:dyDescent="0.2">
      <c r="A290">
        <v>9591.1</v>
      </c>
      <c r="B290">
        <f t="shared" si="4"/>
        <v>9600</v>
      </c>
      <c r="C290" s="13">
        <v>-0.76100000000000001</v>
      </c>
      <c r="D290" s="13">
        <v>-0.50102999999999998</v>
      </c>
      <c r="E290" s="13">
        <v>-1.0209999999999999</v>
      </c>
    </row>
    <row r="291" spans="1:5" x14ac:dyDescent="0.2">
      <c r="A291">
        <v>9601.1</v>
      </c>
      <c r="B291">
        <f t="shared" si="4"/>
        <v>9600</v>
      </c>
      <c r="C291" s="13">
        <v>-0.76017999999999997</v>
      </c>
      <c r="D291" s="13">
        <v>-0.50265000000000004</v>
      </c>
      <c r="E291" s="13">
        <v>-1.0177</v>
      </c>
    </row>
    <row r="292" spans="1:5" x14ac:dyDescent="0.2">
      <c r="A292">
        <v>9611.2000000000007</v>
      </c>
      <c r="B292">
        <f t="shared" si="4"/>
        <v>9600</v>
      </c>
      <c r="C292" s="13">
        <v>-0.75778000000000001</v>
      </c>
      <c r="D292" s="13">
        <v>-0.50366999999999995</v>
      </c>
      <c r="E292" s="13">
        <v>-1.0119</v>
      </c>
    </row>
    <row r="293" spans="1:5" x14ac:dyDescent="0.2">
      <c r="A293">
        <v>9621.2999999999993</v>
      </c>
      <c r="B293">
        <f t="shared" si="4"/>
        <v>9600</v>
      </c>
      <c r="C293" s="13">
        <v>-0.75383999999999995</v>
      </c>
      <c r="D293" s="13">
        <v>-0.50409000000000004</v>
      </c>
      <c r="E293" s="13">
        <v>-1.0036</v>
      </c>
    </row>
    <row r="294" spans="1:5" x14ac:dyDescent="0.2">
      <c r="A294">
        <v>9631.4</v>
      </c>
      <c r="B294">
        <f t="shared" si="4"/>
        <v>9600</v>
      </c>
      <c r="C294" s="13">
        <v>-0.74844999999999995</v>
      </c>
      <c r="D294" s="13">
        <v>-0.50390999999999997</v>
      </c>
      <c r="E294" s="13">
        <v>-0.99299000000000004</v>
      </c>
    </row>
    <row r="295" spans="1:5" x14ac:dyDescent="0.2">
      <c r="A295">
        <v>9641.4</v>
      </c>
      <c r="B295">
        <f t="shared" si="4"/>
        <v>9600</v>
      </c>
      <c r="C295" s="13">
        <v>-0.74163999999999997</v>
      </c>
      <c r="D295" s="13">
        <v>-0.50309999999999999</v>
      </c>
      <c r="E295" s="13">
        <v>-0.98019000000000001</v>
      </c>
    </row>
    <row r="296" spans="1:5" x14ac:dyDescent="0.2">
      <c r="A296">
        <v>9651.5</v>
      </c>
      <c r="B296">
        <f t="shared" si="4"/>
        <v>9700</v>
      </c>
      <c r="C296" s="13">
        <v>-0.73350000000000004</v>
      </c>
      <c r="D296" s="13">
        <v>-0.50161999999999995</v>
      </c>
      <c r="E296" s="13">
        <v>-0.96536999999999995</v>
      </c>
    </row>
    <row r="297" spans="1:5" x14ac:dyDescent="0.2">
      <c r="A297">
        <v>9661.6</v>
      </c>
      <c r="B297">
        <f t="shared" si="4"/>
        <v>9700</v>
      </c>
      <c r="C297" s="13">
        <v>-0.72406999999999999</v>
      </c>
      <c r="D297" s="13">
        <v>-0.49942999999999999</v>
      </c>
      <c r="E297" s="13">
        <v>-0.94871000000000005</v>
      </c>
    </row>
    <row r="298" spans="1:5" x14ac:dyDescent="0.2">
      <c r="A298">
        <v>9671.6</v>
      </c>
      <c r="B298">
        <f t="shared" si="4"/>
        <v>9700</v>
      </c>
      <c r="C298" s="13">
        <v>-0.71342000000000005</v>
      </c>
      <c r="D298" s="13">
        <v>-0.49643999999999999</v>
      </c>
      <c r="E298" s="13">
        <v>-0.9304</v>
      </c>
    </row>
    <row r="299" spans="1:5" x14ac:dyDescent="0.2">
      <c r="A299">
        <v>9681.7000000000007</v>
      </c>
      <c r="B299">
        <f t="shared" si="4"/>
        <v>9700</v>
      </c>
      <c r="C299" s="13">
        <v>-0.70160999999999996</v>
      </c>
      <c r="D299" s="13">
        <v>-0.49257000000000001</v>
      </c>
      <c r="E299" s="13">
        <v>-0.91064000000000001</v>
      </c>
    </row>
    <row r="300" spans="1:5" x14ac:dyDescent="0.2">
      <c r="A300">
        <v>9691.7999999999993</v>
      </c>
      <c r="B300">
        <f t="shared" si="4"/>
        <v>9700</v>
      </c>
      <c r="C300" s="13">
        <v>-0.68869999999999998</v>
      </c>
      <c r="D300" s="13">
        <v>-0.48773</v>
      </c>
      <c r="E300" s="13">
        <v>-0.88966999999999996</v>
      </c>
    </row>
    <row r="301" spans="1:5" x14ac:dyDescent="0.2">
      <c r="A301">
        <v>9701.9</v>
      </c>
      <c r="B301">
        <f t="shared" si="4"/>
        <v>9700</v>
      </c>
      <c r="C301" s="13">
        <v>-0.67476000000000003</v>
      </c>
      <c r="D301" s="13">
        <v>-0.48177999999999999</v>
      </c>
      <c r="E301" s="13">
        <v>-0.86773</v>
      </c>
    </row>
    <row r="302" spans="1:5" x14ac:dyDescent="0.2">
      <c r="A302">
        <v>9711.9</v>
      </c>
      <c r="B302">
        <f t="shared" si="4"/>
        <v>9700</v>
      </c>
      <c r="C302" s="13">
        <v>-0.65983999999999998</v>
      </c>
      <c r="D302" s="13">
        <v>-0.47460000000000002</v>
      </c>
      <c r="E302" s="13">
        <v>-0.84508000000000005</v>
      </c>
    </row>
    <row r="303" spans="1:5" x14ac:dyDescent="0.2">
      <c r="A303">
        <v>9722</v>
      </c>
      <c r="B303">
        <f t="shared" si="4"/>
        <v>9700</v>
      </c>
      <c r="C303" s="13">
        <v>-0.64400000000000002</v>
      </c>
      <c r="D303" s="13">
        <v>-0.46601999999999999</v>
      </c>
      <c r="E303" s="13">
        <v>-0.82198000000000004</v>
      </c>
    </row>
    <row r="304" spans="1:5" x14ac:dyDescent="0.2">
      <c r="A304">
        <v>9732.1</v>
      </c>
      <c r="B304">
        <f t="shared" si="4"/>
        <v>9700</v>
      </c>
      <c r="C304" s="13">
        <v>-0.62731000000000003</v>
      </c>
      <c r="D304" s="13">
        <v>-0.45590000000000003</v>
      </c>
      <c r="E304" s="13">
        <v>-0.79871999999999999</v>
      </c>
    </row>
    <row r="305" spans="1:5" x14ac:dyDescent="0.2">
      <c r="A305">
        <v>9742.2000000000007</v>
      </c>
      <c r="B305">
        <f t="shared" si="4"/>
        <v>9700</v>
      </c>
      <c r="C305" s="13">
        <v>-0.60982999999999998</v>
      </c>
      <c r="D305" s="13">
        <v>-0.44407000000000002</v>
      </c>
      <c r="E305" s="13">
        <v>-0.77559</v>
      </c>
    </row>
    <row r="306" spans="1:5" x14ac:dyDescent="0.2">
      <c r="A306">
        <v>9752.2000000000007</v>
      </c>
      <c r="B306">
        <f t="shared" si="4"/>
        <v>9800</v>
      </c>
      <c r="C306" s="13">
        <v>-0.59162000000000003</v>
      </c>
      <c r="D306" s="13">
        <v>-0.43038999999999999</v>
      </c>
      <c r="E306" s="13">
        <v>-0.75285999999999997</v>
      </c>
    </row>
    <row r="307" spans="1:5" x14ac:dyDescent="0.2">
      <c r="A307">
        <v>9762.2999999999993</v>
      </c>
      <c r="B307">
        <f t="shared" si="4"/>
        <v>9800</v>
      </c>
      <c r="C307" s="13">
        <v>-0.57274000000000003</v>
      </c>
      <c r="D307" s="13">
        <v>-0.41471999999999998</v>
      </c>
      <c r="E307" s="13">
        <v>-0.73075999999999997</v>
      </c>
    </row>
    <row r="308" spans="1:5" x14ac:dyDescent="0.2">
      <c r="A308">
        <v>9772.4</v>
      </c>
      <c r="B308">
        <f t="shared" si="4"/>
        <v>9800</v>
      </c>
      <c r="C308" s="13">
        <v>-0.55325999999999997</v>
      </c>
      <c r="D308" s="13">
        <v>-0.39701999999999998</v>
      </c>
      <c r="E308" s="13">
        <v>-0.70948999999999995</v>
      </c>
    </row>
    <row r="309" spans="1:5" x14ac:dyDescent="0.2">
      <c r="A309">
        <v>9782.5</v>
      </c>
      <c r="B309">
        <f t="shared" si="4"/>
        <v>9800</v>
      </c>
      <c r="C309" s="13">
        <v>-0.53322000000000003</v>
      </c>
      <c r="D309" s="13">
        <v>-0.37726999999999999</v>
      </c>
      <c r="E309" s="13">
        <v>-0.68918000000000001</v>
      </c>
    </row>
    <row r="310" spans="1:5" x14ac:dyDescent="0.2">
      <c r="A310">
        <v>9792.5</v>
      </c>
      <c r="B310">
        <f t="shared" si="4"/>
        <v>9800</v>
      </c>
      <c r="C310" s="13">
        <v>-0.51270000000000004</v>
      </c>
      <c r="D310" s="13">
        <v>-0.35554000000000002</v>
      </c>
      <c r="E310" s="13">
        <v>-0.66986000000000001</v>
      </c>
    </row>
    <row r="311" spans="1:5" x14ac:dyDescent="0.2">
      <c r="A311">
        <v>9802.6</v>
      </c>
      <c r="B311">
        <f t="shared" si="4"/>
        <v>9800</v>
      </c>
      <c r="C311" s="13">
        <v>-0.49175999999999997</v>
      </c>
      <c r="D311" s="13">
        <v>-0.33199000000000001</v>
      </c>
      <c r="E311" s="13">
        <v>-0.65151999999999999</v>
      </c>
    </row>
    <row r="312" spans="1:5" x14ac:dyDescent="0.2">
      <c r="A312">
        <v>9812.7000000000007</v>
      </c>
      <c r="B312">
        <f t="shared" si="4"/>
        <v>9800</v>
      </c>
      <c r="C312" s="13">
        <v>-0.47044999999999998</v>
      </c>
      <c r="D312" s="13">
        <v>-0.30684</v>
      </c>
      <c r="E312" s="13">
        <v>-0.63405999999999996</v>
      </c>
    </row>
    <row r="313" spans="1:5" x14ac:dyDescent="0.2">
      <c r="A313">
        <v>9822.7000000000007</v>
      </c>
      <c r="B313">
        <f t="shared" si="4"/>
        <v>9800</v>
      </c>
      <c r="C313" s="13">
        <v>-0.44884000000000002</v>
      </c>
      <c r="D313" s="13">
        <v>-0.28033000000000002</v>
      </c>
      <c r="E313" s="13">
        <v>-0.61734999999999995</v>
      </c>
    </row>
    <row r="314" spans="1:5" x14ac:dyDescent="0.2">
      <c r="A314">
        <v>9832.7999999999993</v>
      </c>
      <c r="B314">
        <f t="shared" si="4"/>
        <v>9800</v>
      </c>
      <c r="C314" s="13">
        <v>-0.42698999999999998</v>
      </c>
      <c r="D314" s="13">
        <v>-0.25274999999999997</v>
      </c>
      <c r="E314" s="13">
        <v>-0.60123000000000004</v>
      </c>
    </row>
    <row r="315" spans="1:5" x14ac:dyDescent="0.2">
      <c r="A315">
        <v>9842.9</v>
      </c>
      <c r="B315">
        <f t="shared" si="4"/>
        <v>9800</v>
      </c>
      <c r="C315" s="13">
        <v>-0.40495999999999999</v>
      </c>
      <c r="D315" s="13">
        <v>-0.22439000000000001</v>
      </c>
      <c r="E315" s="13">
        <v>-0.58552999999999999</v>
      </c>
    </row>
    <row r="316" spans="1:5" x14ac:dyDescent="0.2">
      <c r="A316">
        <v>9853</v>
      </c>
      <c r="B316">
        <f t="shared" si="4"/>
        <v>9900</v>
      </c>
      <c r="C316" s="13">
        <v>-0.38281999999999999</v>
      </c>
      <c r="D316" s="13">
        <v>-0.19555</v>
      </c>
      <c r="E316" s="13">
        <v>-0.57008999999999999</v>
      </c>
    </row>
    <row r="317" spans="1:5" x14ac:dyDescent="0.2">
      <c r="A317">
        <v>9863</v>
      </c>
      <c r="B317">
        <f t="shared" si="4"/>
        <v>9900</v>
      </c>
      <c r="C317" s="13">
        <v>-0.36060999999999999</v>
      </c>
      <c r="D317" s="13">
        <v>-0.16647000000000001</v>
      </c>
      <c r="E317" s="13">
        <v>-0.55476000000000003</v>
      </c>
    </row>
    <row r="318" spans="1:5" x14ac:dyDescent="0.2">
      <c r="A318">
        <v>9873.1</v>
      </c>
      <c r="B318">
        <f t="shared" si="4"/>
        <v>9900</v>
      </c>
      <c r="C318" s="13">
        <v>-0.33842</v>
      </c>
      <c r="D318" s="13">
        <v>-0.13735</v>
      </c>
      <c r="E318" s="13">
        <v>-0.53949999999999998</v>
      </c>
    </row>
    <row r="319" spans="1:5" x14ac:dyDescent="0.2">
      <c r="A319">
        <v>9883.2000000000007</v>
      </c>
      <c r="B319">
        <f t="shared" si="4"/>
        <v>9900</v>
      </c>
      <c r="C319" s="13">
        <v>-0.31630999999999998</v>
      </c>
      <c r="D319" s="13">
        <v>-0.10832</v>
      </c>
      <c r="E319" s="13">
        <v>-0.52429999999999999</v>
      </c>
    </row>
    <row r="320" spans="1:5" x14ac:dyDescent="0.2">
      <c r="A320">
        <v>9893.2999999999993</v>
      </c>
      <c r="B320">
        <f t="shared" si="4"/>
        <v>9900</v>
      </c>
      <c r="C320" s="13">
        <v>-0.29433999999999999</v>
      </c>
      <c r="D320" s="13">
        <v>-7.9506999999999994E-2</v>
      </c>
      <c r="E320" s="13">
        <v>-0.50917000000000001</v>
      </c>
    </row>
    <row r="321" spans="1:5" x14ac:dyDescent="0.2">
      <c r="A321">
        <v>9903.2999999999993</v>
      </c>
      <c r="B321">
        <f t="shared" si="4"/>
        <v>9900</v>
      </c>
      <c r="C321" s="13">
        <v>-0.27257999999999999</v>
      </c>
      <c r="D321" s="13">
        <v>-5.1020999999999997E-2</v>
      </c>
      <c r="E321" s="13">
        <v>-0.49414000000000002</v>
      </c>
    </row>
    <row r="322" spans="1:5" x14ac:dyDescent="0.2">
      <c r="A322">
        <v>9913.4</v>
      </c>
      <c r="B322">
        <f t="shared" si="4"/>
        <v>9900</v>
      </c>
      <c r="C322" s="13">
        <v>-0.25111</v>
      </c>
      <c r="D322" s="13">
        <v>-2.2957999999999999E-2</v>
      </c>
      <c r="E322" s="13">
        <v>-0.47925000000000001</v>
      </c>
    </row>
    <row r="323" spans="1:5" x14ac:dyDescent="0.2">
      <c r="A323">
        <v>9923.5</v>
      </c>
      <c r="B323">
        <f t="shared" si="4"/>
        <v>9900</v>
      </c>
      <c r="C323" s="13">
        <v>-0.22997999999999999</v>
      </c>
      <c r="D323" s="13">
        <v>4.5919999999999997E-3</v>
      </c>
      <c r="E323" s="13">
        <v>-0.46454000000000001</v>
      </c>
    </row>
    <row r="324" spans="1:5" x14ac:dyDescent="0.2">
      <c r="A324">
        <v>9933.6</v>
      </c>
      <c r="B324">
        <f t="shared" ref="B324:B387" si="5">MROUND(A324,100)</f>
        <v>9900</v>
      </c>
      <c r="C324" s="13">
        <v>-0.20926</v>
      </c>
      <c r="D324" s="13">
        <v>3.1543000000000002E-2</v>
      </c>
      <c r="E324" s="13">
        <v>-0.45006000000000002</v>
      </c>
    </row>
    <row r="325" spans="1:5" x14ac:dyDescent="0.2">
      <c r="A325">
        <v>9943.6</v>
      </c>
      <c r="B325">
        <f t="shared" si="5"/>
        <v>9900</v>
      </c>
      <c r="C325" s="13">
        <v>-0.18903</v>
      </c>
      <c r="D325" s="13">
        <v>5.7813000000000003E-2</v>
      </c>
      <c r="E325" s="13">
        <v>-0.43586999999999998</v>
      </c>
    </row>
    <row r="326" spans="1:5" x14ac:dyDescent="0.2">
      <c r="A326">
        <v>9953.7000000000007</v>
      </c>
      <c r="B326">
        <f t="shared" si="5"/>
        <v>10000</v>
      </c>
      <c r="C326" s="13">
        <v>-0.16933999999999999</v>
      </c>
      <c r="D326" s="13">
        <v>8.3323999999999995E-2</v>
      </c>
      <c r="E326" s="13">
        <v>-0.42201</v>
      </c>
    </row>
    <row r="327" spans="1:5" x14ac:dyDescent="0.2">
      <c r="A327">
        <v>9963.7999999999993</v>
      </c>
      <c r="B327">
        <f t="shared" si="5"/>
        <v>10000</v>
      </c>
      <c r="C327" s="13">
        <v>-0.15028</v>
      </c>
      <c r="D327" s="13">
        <v>0.108</v>
      </c>
      <c r="E327" s="13">
        <v>-0.40855000000000002</v>
      </c>
    </row>
    <row r="328" spans="1:5" x14ac:dyDescent="0.2">
      <c r="A328">
        <v>9973.7999999999993</v>
      </c>
      <c r="B328">
        <f t="shared" si="5"/>
        <v>10000</v>
      </c>
      <c r="C328" s="13">
        <v>-0.13189000000000001</v>
      </c>
      <c r="D328" s="13">
        <v>0.13175000000000001</v>
      </c>
      <c r="E328" s="13">
        <v>-0.39554</v>
      </c>
    </row>
    <row r="329" spans="1:5" x14ac:dyDescent="0.2">
      <c r="A329">
        <v>9983.9</v>
      </c>
      <c r="B329">
        <f t="shared" si="5"/>
        <v>10000</v>
      </c>
      <c r="C329" s="13">
        <v>-0.11426</v>
      </c>
      <c r="D329" s="13">
        <v>0.15451000000000001</v>
      </c>
      <c r="E329" s="13">
        <v>-0.38303999999999999</v>
      </c>
    </row>
    <row r="330" spans="1:5" x14ac:dyDescent="0.2">
      <c r="A330">
        <v>9994</v>
      </c>
      <c r="B330">
        <f t="shared" si="5"/>
        <v>10000</v>
      </c>
      <c r="C330" s="13">
        <v>-9.7451999999999997E-2</v>
      </c>
      <c r="D330" s="13">
        <v>0.1762</v>
      </c>
      <c r="E330" s="13">
        <v>-0.37111</v>
      </c>
    </row>
    <row r="331" spans="1:5" x14ac:dyDescent="0.2">
      <c r="A331">
        <v>10004</v>
      </c>
      <c r="B331">
        <f t="shared" si="5"/>
        <v>10000</v>
      </c>
      <c r="C331" s="13">
        <v>-8.1526000000000001E-2</v>
      </c>
      <c r="D331" s="13">
        <v>0.19674</v>
      </c>
      <c r="E331" s="13">
        <v>-0.35980000000000001</v>
      </c>
    </row>
    <row r="332" spans="1:5" x14ac:dyDescent="0.2">
      <c r="A332">
        <v>10014</v>
      </c>
      <c r="B332">
        <f t="shared" si="5"/>
        <v>10000</v>
      </c>
      <c r="C332" s="13">
        <v>-6.6555000000000003E-2</v>
      </c>
      <c r="D332" s="13">
        <v>0.21604999999999999</v>
      </c>
      <c r="E332" s="13">
        <v>-0.34916000000000003</v>
      </c>
    </row>
    <row r="333" spans="1:5" x14ac:dyDescent="0.2">
      <c r="A333">
        <v>10024</v>
      </c>
      <c r="B333">
        <f t="shared" si="5"/>
        <v>10000</v>
      </c>
      <c r="C333" s="13">
        <v>-5.2603999999999998E-2</v>
      </c>
      <c r="D333" s="13">
        <v>0.23405000000000001</v>
      </c>
      <c r="E333" s="13">
        <v>-0.33926000000000001</v>
      </c>
    </row>
    <row r="334" spans="1:5" x14ac:dyDescent="0.2">
      <c r="A334">
        <v>10034</v>
      </c>
      <c r="B334">
        <f t="shared" si="5"/>
        <v>10000</v>
      </c>
      <c r="C334" s="13">
        <v>-3.9743000000000001E-2</v>
      </c>
      <c r="D334" s="13">
        <v>0.25065999999999999</v>
      </c>
      <c r="E334" s="13">
        <v>-0.33013999999999999</v>
      </c>
    </row>
    <row r="335" spans="1:5" x14ac:dyDescent="0.2">
      <c r="A335">
        <v>10044</v>
      </c>
      <c r="B335">
        <f t="shared" si="5"/>
        <v>10000</v>
      </c>
      <c r="C335" s="13">
        <v>-2.8036999999999999E-2</v>
      </c>
      <c r="D335" s="13">
        <v>0.26579000000000003</v>
      </c>
      <c r="E335" s="13">
        <v>-0.32185999999999998</v>
      </c>
    </row>
    <row r="336" spans="1:5" x14ac:dyDescent="0.2">
      <c r="A336">
        <v>10054</v>
      </c>
      <c r="B336">
        <f t="shared" si="5"/>
        <v>10100</v>
      </c>
      <c r="C336" s="13">
        <v>-1.7555000000000001E-2</v>
      </c>
      <c r="D336" s="13">
        <v>0.27936</v>
      </c>
      <c r="E336" s="13">
        <v>-0.31447000000000003</v>
      </c>
    </row>
    <row r="337" spans="1:5" x14ac:dyDescent="0.2">
      <c r="A337">
        <v>10065</v>
      </c>
      <c r="B337">
        <f t="shared" si="5"/>
        <v>10100</v>
      </c>
      <c r="C337" s="13">
        <v>-8.3639999999999999E-3</v>
      </c>
      <c r="D337" s="13">
        <v>0.2913</v>
      </c>
      <c r="E337" s="13">
        <v>-0.30802000000000002</v>
      </c>
    </row>
    <row r="338" spans="1:5" x14ac:dyDescent="0.2">
      <c r="A338">
        <v>10075</v>
      </c>
      <c r="B338">
        <f t="shared" si="5"/>
        <v>10100</v>
      </c>
      <c r="C338" s="13">
        <v>-5.3114000000000004E-4</v>
      </c>
      <c r="D338" s="13">
        <v>0.30151</v>
      </c>
      <c r="E338" s="13">
        <v>-0.30257000000000001</v>
      </c>
    </row>
    <row r="339" spans="1:5" x14ac:dyDescent="0.2">
      <c r="A339">
        <v>10085</v>
      </c>
      <c r="B339">
        <f t="shared" si="5"/>
        <v>10100</v>
      </c>
      <c r="C339" s="13">
        <v>5.8760000000000001E-3</v>
      </c>
      <c r="D339" s="13">
        <v>0.30991999999999997</v>
      </c>
      <c r="E339" s="13">
        <v>-0.29816999999999999</v>
      </c>
    </row>
    <row r="340" spans="1:5" x14ac:dyDescent="0.2">
      <c r="A340">
        <v>10095</v>
      </c>
      <c r="B340">
        <f t="shared" si="5"/>
        <v>10100</v>
      </c>
      <c r="C340" s="13">
        <v>1.0789999999999999E-2</v>
      </c>
      <c r="D340" s="13">
        <v>0.31645000000000001</v>
      </c>
      <c r="E340" s="13">
        <v>-0.29487000000000002</v>
      </c>
    </row>
    <row r="341" spans="1:5" x14ac:dyDescent="0.2">
      <c r="A341">
        <v>10105</v>
      </c>
      <c r="B341">
        <f t="shared" si="5"/>
        <v>10100</v>
      </c>
      <c r="C341" s="13">
        <v>1.4144E-2</v>
      </c>
      <c r="D341" s="13">
        <v>0.32102000000000003</v>
      </c>
      <c r="E341" s="13">
        <v>-0.29272999999999999</v>
      </c>
    </row>
    <row r="342" spans="1:5" x14ac:dyDescent="0.2">
      <c r="A342">
        <v>10115</v>
      </c>
      <c r="B342">
        <f t="shared" si="5"/>
        <v>10100</v>
      </c>
      <c r="C342" s="13">
        <v>1.5869000000000001E-2</v>
      </c>
      <c r="D342" s="13">
        <v>0.32355</v>
      </c>
      <c r="E342" s="13">
        <v>-0.29181000000000001</v>
      </c>
    </row>
    <row r="343" spans="1:5" x14ac:dyDescent="0.2">
      <c r="A343">
        <v>10125</v>
      </c>
      <c r="B343">
        <f t="shared" si="5"/>
        <v>10100</v>
      </c>
      <c r="C343" s="13">
        <v>1.5899E-2</v>
      </c>
      <c r="D343" s="13">
        <v>0.32396999999999998</v>
      </c>
      <c r="E343" s="13">
        <v>-0.29218</v>
      </c>
    </row>
    <row r="344" spans="1:5" x14ac:dyDescent="0.2">
      <c r="A344">
        <v>10135</v>
      </c>
      <c r="B344">
        <f t="shared" si="5"/>
        <v>10100</v>
      </c>
      <c r="C344" s="13">
        <v>1.4173E-2</v>
      </c>
      <c r="D344" s="13">
        <v>0.32222000000000001</v>
      </c>
      <c r="E344" s="13">
        <v>-0.29387999999999997</v>
      </c>
    </row>
    <row r="345" spans="1:5" x14ac:dyDescent="0.2">
      <c r="A345">
        <v>10145</v>
      </c>
      <c r="B345">
        <f t="shared" si="5"/>
        <v>10100</v>
      </c>
      <c r="C345" s="13">
        <v>1.0717000000000001E-2</v>
      </c>
      <c r="D345" s="13">
        <v>0.31835000000000002</v>
      </c>
      <c r="E345" s="13">
        <v>-0.29691000000000001</v>
      </c>
    </row>
    <row r="346" spans="1:5" x14ac:dyDescent="0.2">
      <c r="A346">
        <v>10155</v>
      </c>
      <c r="B346">
        <f t="shared" si="5"/>
        <v>10200</v>
      </c>
      <c r="C346" s="13">
        <v>5.6258000000000002E-3</v>
      </c>
      <c r="D346" s="13">
        <v>0.31247000000000003</v>
      </c>
      <c r="E346" s="13">
        <v>-0.30121999999999999</v>
      </c>
    </row>
    <row r="347" spans="1:5" x14ac:dyDescent="0.2">
      <c r="A347">
        <v>10165</v>
      </c>
      <c r="B347">
        <f t="shared" si="5"/>
        <v>10200</v>
      </c>
      <c r="C347" s="13">
        <v>-1.0027E-3</v>
      </c>
      <c r="D347" s="13">
        <v>0.30473</v>
      </c>
      <c r="E347" s="13">
        <v>-0.30674000000000001</v>
      </c>
    </row>
    <row r="348" spans="1:5" x14ac:dyDescent="0.2">
      <c r="A348">
        <v>10175</v>
      </c>
      <c r="B348">
        <f t="shared" si="5"/>
        <v>10200</v>
      </c>
      <c r="C348" s="13">
        <v>-9.0725000000000007E-3</v>
      </c>
      <c r="D348" s="13">
        <v>0.29526000000000002</v>
      </c>
      <c r="E348" s="13">
        <v>-0.31341000000000002</v>
      </c>
    </row>
    <row r="349" spans="1:5" x14ac:dyDescent="0.2">
      <c r="A349">
        <v>10185</v>
      </c>
      <c r="B349">
        <f t="shared" si="5"/>
        <v>10200</v>
      </c>
      <c r="C349" s="13">
        <v>-1.8487E-2</v>
      </c>
      <c r="D349" s="13">
        <v>0.28420000000000001</v>
      </c>
      <c r="E349" s="13">
        <v>-0.32117000000000001</v>
      </c>
    </row>
    <row r="350" spans="1:5" x14ac:dyDescent="0.2">
      <c r="A350">
        <v>10195</v>
      </c>
      <c r="B350">
        <f t="shared" si="5"/>
        <v>10200</v>
      </c>
      <c r="C350" s="13">
        <v>-2.9148E-2</v>
      </c>
      <c r="D350" s="13">
        <v>0.27167000000000002</v>
      </c>
      <c r="E350" s="13">
        <v>-0.32996999999999999</v>
      </c>
    </row>
    <row r="351" spans="1:5" x14ac:dyDescent="0.2">
      <c r="A351">
        <v>10206</v>
      </c>
      <c r="B351">
        <f t="shared" si="5"/>
        <v>10200</v>
      </c>
      <c r="C351" s="13">
        <v>-4.0960999999999997E-2</v>
      </c>
      <c r="D351" s="13">
        <v>0.25781999999999999</v>
      </c>
      <c r="E351" s="13">
        <v>-0.33973999999999999</v>
      </c>
    </row>
    <row r="352" spans="1:5" x14ac:dyDescent="0.2">
      <c r="A352">
        <v>10216</v>
      </c>
      <c r="B352">
        <f t="shared" si="5"/>
        <v>10200</v>
      </c>
      <c r="C352" s="13">
        <v>-5.3828000000000001E-2</v>
      </c>
      <c r="D352" s="13">
        <v>0.24277000000000001</v>
      </c>
      <c r="E352" s="13">
        <v>-0.35043000000000002</v>
      </c>
    </row>
    <row r="353" spans="1:5" x14ac:dyDescent="0.2">
      <c r="A353">
        <v>10226</v>
      </c>
      <c r="B353">
        <f t="shared" si="5"/>
        <v>10200</v>
      </c>
      <c r="C353" s="13">
        <v>-6.7652000000000004E-2</v>
      </c>
      <c r="D353" s="13">
        <v>0.22666</v>
      </c>
      <c r="E353" s="13">
        <v>-0.36196</v>
      </c>
    </row>
    <row r="354" spans="1:5" x14ac:dyDescent="0.2">
      <c r="A354">
        <v>10236</v>
      </c>
      <c r="B354">
        <f t="shared" si="5"/>
        <v>10200</v>
      </c>
      <c r="C354" s="13">
        <v>-8.2336999999999994E-2</v>
      </c>
      <c r="D354" s="13">
        <v>0.20960999999999999</v>
      </c>
      <c r="E354" s="13">
        <v>-0.37428</v>
      </c>
    </row>
    <row r="355" spans="1:5" x14ac:dyDescent="0.2">
      <c r="A355">
        <v>10246</v>
      </c>
      <c r="B355">
        <f t="shared" si="5"/>
        <v>10200</v>
      </c>
      <c r="C355" s="13">
        <v>-9.7785999999999998E-2</v>
      </c>
      <c r="D355" s="13">
        <v>0.19173999999999999</v>
      </c>
      <c r="E355" s="13">
        <v>-0.38732</v>
      </c>
    </row>
    <row r="356" spans="1:5" x14ac:dyDescent="0.2">
      <c r="A356">
        <v>10256</v>
      </c>
      <c r="B356">
        <f t="shared" si="5"/>
        <v>10300</v>
      </c>
      <c r="C356" s="13">
        <v>-0.1139</v>
      </c>
      <c r="D356" s="13">
        <v>0.17318</v>
      </c>
      <c r="E356" s="13">
        <v>-0.40099000000000001</v>
      </c>
    </row>
    <row r="357" spans="1:5" x14ac:dyDescent="0.2">
      <c r="A357">
        <v>10266</v>
      </c>
      <c r="B357">
        <f t="shared" si="5"/>
        <v>10300</v>
      </c>
      <c r="C357" s="13">
        <v>-0.13059000000000001</v>
      </c>
      <c r="D357" s="13">
        <v>0.15404000000000001</v>
      </c>
      <c r="E357" s="13">
        <v>-0.41521999999999998</v>
      </c>
    </row>
    <row r="358" spans="1:5" x14ac:dyDescent="0.2">
      <c r="A358">
        <v>10276</v>
      </c>
      <c r="B358">
        <f t="shared" si="5"/>
        <v>10300</v>
      </c>
      <c r="C358" s="13">
        <v>-0.14774999999999999</v>
      </c>
      <c r="D358" s="13">
        <v>0.13442000000000001</v>
      </c>
      <c r="E358" s="13">
        <v>-0.42992000000000002</v>
      </c>
    </row>
    <row r="359" spans="1:5" x14ac:dyDescent="0.2">
      <c r="A359">
        <v>10286</v>
      </c>
      <c r="B359">
        <f t="shared" si="5"/>
        <v>10300</v>
      </c>
      <c r="C359" s="13">
        <v>-0.16528999999999999</v>
      </c>
      <c r="D359" s="13">
        <v>0.11444</v>
      </c>
      <c r="E359" s="13">
        <v>-0.44501000000000002</v>
      </c>
    </row>
    <row r="360" spans="1:5" x14ac:dyDescent="0.2">
      <c r="A360">
        <v>10296</v>
      </c>
      <c r="B360">
        <f t="shared" si="5"/>
        <v>10300</v>
      </c>
      <c r="C360" s="13">
        <v>-0.18310999999999999</v>
      </c>
      <c r="D360" s="13">
        <v>9.4176999999999997E-2</v>
      </c>
      <c r="E360" s="13">
        <v>-0.46039000000000002</v>
      </c>
    </row>
    <row r="361" spans="1:5" x14ac:dyDescent="0.2">
      <c r="A361">
        <v>10306</v>
      </c>
      <c r="B361">
        <f t="shared" si="5"/>
        <v>10300</v>
      </c>
      <c r="C361" s="13">
        <v>-0.20111000000000001</v>
      </c>
      <c r="D361" s="13">
        <v>7.3736999999999997E-2</v>
      </c>
      <c r="E361" s="13">
        <v>-0.47594999999999998</v>
      </c>
    </row>
    <row r="362" spans="1:5" x14ac:dyDescent="0.2">
      <c r="A362">
        <v>10316</v>
      </c>
      <c r="B362">
        <f t="shared" si="5"/>
        <v>10300</v>
      </c>
      <c r="C362" s="13">
        <v>-0.21920000000000001</v>
      </c>
      <c r="D362" s="13">
        <v>5.3203E-2</v>
      </c>
      <c r="E362" s="13">
        <v>-0.49159000000000003</v>
      </c>
    </row>
    <row r="363" spans="1:5" x14ac:dyDescent="0.2">
      <c r="A363">
        <v>10326</v>
      </c>
      <c r="B363">
        <f t="shared" si="5"/>
        <v>10300</v>
      </c>
      <c r="C363" s="13">
        <v>-0.23727000000000001</v>
      </c>
      <c r="D363" s="13">
        <v>3.2656999999999999E-2</v>
      </c>
      <c r="E363" s="13">
        <v>-0.50721000000000005</v>
      </c>
    </row>
    <row r="364" spans="1:5" x14ac:dyDescent="0.2">
      <c r="A364">
        <v>10336</v>
      </c>
      <c r="B364">
        <f t="shared" si="5"/>
        <v>10300</v>
      </c>
      <c r="C364" s="13">
        <v>-0.25524999999999998</v>
      </c>
      <c r="D364" s="13">
        <v>1.2175E-2</v>
      </c>
      <c r="E364" s="13">
        <v>-0.52266999999999997</v>
      </c>
    </row>
    <row r="365" spans="1:5" x14ac:dyDescent="0.2">
      <c r="A365">
        <v>10347</v>
      </c>
      <c r="B365">
        <f t="shared" si="5"/>
        <v>10300</v>
      </c>
      <c r="C365" s="13">
        <v>-0.27300999999999997</v>
      </c>
      <c r="D365" s="13">
        <v>-8.1705000000000007E-3</v>
      </c>
      <c r="E365" s="13">
        <v>-0.53786</v>
      </c>
    </row>
    <row r="366" spans="1:5" x14ac:dyDescent="0.2">
      <c r="A366">
        <v>10357</v>
      </c>
      <c r="B366">
        <f t="shared" si="5"/>
        <v>10400</v>
      </c>
      <c r="C366" s="13">
        <v>-0.29048000000000002</v>
      </c>
      <c r="D366" s="13">
        <v>-2.8309999999999998E-2</v>
      </c>
      <c r="E366" s="13">
        <v>-0.55266000000000004</v>
      </c>
    </row>
    <row r="367" spans="1:5" x14ac:dyDescent="0.2">
      <c r="A367">
        <v>10367</v>
      </c>
      <c r="B367">
        <f t="shared" si="5"/>
        <v>10400</v>
      </c>
      <c r="C367" s="13">
        <v>-0.30756</v>
      </c>
      <c r="D367" s="13">
        <v>-4.8175999999999997E-2</v>
      </c>
      <c r="E367" s="13">
        <v>-0.56693000000000005</v>
      </c>
    </row>
    <row r="368" spans="1:5" x14ac:dyDescent="0.2">
      <c r="A368">
        <v>10377</v>
      </c>
      <c r="B368">
        <f t="shared" si="5"/>
        <v>10400</v>
      </c>
      <c r="C368" s="13">
        <v>-0.32412999999999997</v>
      </c>
      <c r="D368" s="13">
        <v>-6.7704E-2</v>
      </c>
      <c r="E368" s="13">
        <v>-0.58055999999999996</v>
      </c>
    </row>
    <row r="369" spans="1:5" x14ac:dyDescent="0.2">
      <c r="A369">
        <v>10387</v>
      </c>
      <c r="B369">
        <f t="shared" si="5"/>
        <v>10400</v>
      </c>
      <c r="C369" s="13">
        <v>-0.34011999999999998</v>
      </c>
      <c r="D369" s="13">
        <v>-8.6828000000000002E-2</v>
      </c>
      <c r="E369" s="13">
        <v>-0.59340999999999999</v>
      </c>
    </row>
    <row r="370" spans="1:5" x14ac:dyDescent="0.2">
      <c r="A370">
        <v>10397</v>
      </c>
      <c r="B370">
        <f t="shared" si="5"/>
        <v>10400</v>
      </c>
      <c r="C370" s="13">
        <v>-0.35542000000000001</v>
      </c>
      <c r="D370" s="13">
        <v>-0.10548</v>
      </c>
      <c r="E370" s="13">
        <v>-0.60536000000000001</v>
      </c>
    </row>
    <row r="371" spans="1:5" x14ac:dyDescent="0.2">
      <c r="A371">
        <v>10407</v>
      </c>
      <c r="B371">
        <f t="shared" si="5"/>
        <v>10400</v>
      </c>
      <c r="C371" s="13">
        <v>-0.36996000000000001</v>
      </c>
      <c r="D371" s="13">
        <v>-0.12361</v>
      </c>
      <c r="E371" s="13">
        <v>-0.61631000000000002</v>
      </c>
    </row>
    <row r="372" spans="1:5" x14ac:dyDescent="0.2">
      <c r="A372">
        <v>10417</v>
      </c>
      <c r="B372">
        <f t="shared" si="5"/>
        <v>10400</v>
      </c>
      <c r="C372" s="13">
        <v>-0.38374999999999998</v>
      </c>
      <c r="D372" s="13">
        <v>-0.14122999999999999</v>
      </c>
      <c r="E372" s="13">
        <v>-0.62626000000000004</v>
      </c>
    </row>
    <row r="373" spans="1:5" x14ac:dyDescent="0.2">
      <c r="A373">
        <v>10427</v>
      </c>
      <c r="B373">
        <f t="shared" si="5"/>
        <v>10400</v>
      </c>
      <c r="C373" s="13">
        <v>-0.39681</v>
      </c>
      <c r="D373" s="13">
        <v>-0.15836</v>
      </c>
      <c r="E373" s="13">
        <v>-0.63526000000000005</v>
      </c>
    </row>
    <row r="374" spans="1:5" x14ac:dyDescent="0.2">
      <c r="A374">
        <v>10437</v>
      </c>
      <c r="B374">
        <f t="shared" si="5"/>
        <v>10400</v>
      </c>
      <c r="C374" s="13">
        <v>-0.40916999999999998</v>
      </c>
      <c r="D374" s="13">
        <v>-0.17499999999999999</v>
      </c>
      <c r="E374" s="13">
        <v>-0.64332999999999996</v>
      </c>
    </row>
    <row r="375" spans="1:5" x14ac:dyDescent="0.2">
      <c r="A375">
        <v>10447</v>
      </c>
      <c r="B375">
        <f t="shared" si="5"/>
        <v>10400</v>
      </c>
      <c r="C375" s="13">
        <v>-0.42085</v>
      </c>
      <c r="D375" s="13">
        <v>-0.19117000000000001</v>
      </c>
      <c r="E375" s="13">
        <v>-0.65053000000000005</v>
      </c>
    </row>
    <row r="376" spans="1:5" x14ac:dyDescent="0.2">
      <c r="A376">
        <v>10457</v>
      </c>
      <c r="B376">
        <f t="shared" si="5"/>
        <v>10500</v>
      </c>
      <c r="C376" s="13">
        <v>-0.43189</v>
      </c>
      <c r="D376" s="13">
        <v>-0.20687</v>
      </c>
      <c r="E376" s="13">
        <v>-0.65690000000000004</v>
      </c>
    </row>
    <row r="377" spans="1:5" x14ac:dyDescent="0.2">
      <c r="A377">
        <v>10467</v>
      </c>
      <c r="B377">
        <f t="shared" si="5"/>
        <v>10500</v>
      </c>
      <c r="C377" s="13">
        <v>-0.44230000000000003</v>
      </c>
      <c r="D377" s="13">
        <v>-0.22209999999999999</v>
      </c>
      <c r="E377" s="13">
        <v>-0.66249000000000002</v>
      </c>
    </row>
    <row r="378" spans="1:5" x14ac:dyDescent="0.2">
      <c r="A378">
        <v>10478</v>
      </c>
      <c r="B378">
        <f t="shared" si="5"/>
        <v>10500</v>
      </c>
      <c r="C378" s="13">
        <v>-0.45211000000000001</v>
      </c>
      <c r="D378" s="13">
        <v>-0.23685999999999999</v>
      </c>
      <c r="E378" s="13">
        <v>-0.66735</v>
      </c>
    </row>
    <row r="379" spans="1:5" x14ac:dyDescent="0.2">
      <c r="A379">
        <v>10488</v>
      </c>
      <c r="B379">
        <f t="shared" si="5"/>
        <v>10500</v>
      </c>
      <c r="C379" s="13">
        <v>-0.46134999999999998</v>
      </c>
      <c r="D379" s="13">
        <v>-0.25115999999999999</v>
      </c>
      <c r="E379" s="13">
        <v>-0.67154999999999998</v>
      </c>
    </row>
    <row r="380" spans="1:5" x14ac:dyDescent="0.2">
      <c r="A380">
        <v>10498</v>
      </c>
      <c r="B380">
        <f t="shared" si="5"/>
        <v>10500</v>
      </c>
      <c r="C380" s="13">
        <v>-0.47005000000000002</v>
      </c>
      <c r="D380" s="13">
        <v>-0.26496999999999998</v>
      </c>
      <c r="E380" s="13">
        <v>-0.67512000000000005</v>
      </c>
    </row>
    <row r="381" spans="1:5" x14ac:dyDescent="0.2">
      <c r="A381">
        <v>10508</v>
      </c>
      <c r="B381">
        <f t="shared" si="5"/>
        <v>10500</v>
      </c>
      <c r="C381" s="13">
        <v>-0.47821999999999998</v>
      </c>
      <c r="D381" s="13">
        <v>-0.27832000000000001</v>
      </c>
      <c r="E381" s="13">
        <v>-0.67813000000000001</v>
      </c>
    </row>
    <row r="382" spans="1:5" x14ac:dyDescent="0.2">
      <c r="A382">
        <v>10518</v>
      </c>
      <c r="B382">
        <f t="shared" si="5"/>
        <v>10500</v>
      </c>
      <c r="C382" s="13">
        <v>-0.4859</v>
      </c>
      <c r="D382" s="13">
        <v>-0.29119</v>
      </c>
      <c r="E382" s="13">
        <v>-0.68062</v>
      </c>
    </row>
    <row r="383" spans="1:5" x14ac:dyDescent="0.2">
      <c r="A383">
        <v>10528</v>
      </c>
      <c r="B383">
        <f t="shared" si="5"/>
        <v>10500</v>
      </c>
      <c r="C383" s="13">
        <v>-0.49312</v>
      </c>
      <c r="D383" s="13">
        <v>-0.30358000000000002</v>
      </c>
      <c r="E383" s="13">
        <v>-0.68264999999999998</v>
      </c>
    </row>
    <row r="384" spans="1:5" x14ac:dyDescent="0.2">
      <c r="A384">
        <v>10538</v>
      </c>
      <c r="B384">
        <f t="shared" si="5"/>
        <v>10500</v>
      </c>
      <c r="C384" s="13">
        <v>-0.49989</v>
      </c>
      <c r="D384" s="13">
        <v>-0.3155</v>
      </c>
      <c r="E384" s="13">
        <v>-0.68428</v>
      </c>
    </row>
    <row r="385" spans="1:5" x14ac:dyDescent="0.2">
      <c r="A385">
        <v>10548</v>
      </c>
      <c r="B385">
        <f t="shared" si="5"/>
        <v>10500</v>
      </c>
      <c r="C385" s="13">
        <v>-0.50624000000000002</v>
      </c>
      <c r="D385" s="13">
        <v>-0.32695000000000002</v>
      </c>
      <c r="E385" s="13">
        <v>-0.68554000000000004</v>
      </c>
    </row>
    <row r="386" spans="1:5" x14ac:dyDescent="0.2">
      <c r="A386">
        <v>10558</v>
      </c>
      <c r="B386">
        <f t="shared" si="5"/>
        <v>10600</v>
      </c>
      <c r="C386" s="13">
        <v>-0.51221000000000005</v>
      </c>
      <c r="D386" s="13">
        <v>-0.33792</v>
      </c>
      <c r="E386" s="13">
        <v>-0.6865</v>
      </c>
    </row>
    <row r="387" spans="1:5" x14ac:dyDescent="0.2">
      <c r="A387">
        <v>10568</v>
      </c>
      <c r="B387">
        <f t="shared" si="5"/>
        <v>10600</v>
      </c>
      <c r="C387" s="13">
        <v>-0.51780999999999999</v>
      </c>
      <c r="D387" s="13">
        <v>-0.34842000000000001</v>
      </c>
      <c r="E387" s="13">
        <v>-0.68720000000000003</v>
      </c>
    </row>
    <row r="388" spans="1:5" x14ac:dyDescent="0.2">
      <c r="A388">
        <v>10578</v>
      </c>
      <c r="B388">
        <f t="shared" ref="B388:B451" si="6">MROUND(A388,100)</f>
        <v>10600</v>
      </c>
      <c r="C388" s="13">
        <v>-0.52307000000000003</v>
      </c>
      <c r="D388" s="13">
        <v>-0.35846</v>
      </c>
      <c r="E388" s="13">
        <v>-0.68769000000000002</v>
      </c>
    </row>
    <row r="389" spans="1:5" x14ac:dyDescent="0.2">
      <c r="A389">
        <v>10588</v>
      </c>
      <c r="B389">
        <f t="shared" si="6"/>
        <v>10600</v>
      </c>
      <c r="C389" s="13">
        <v>-0.52802000000000004</v>
      </c>
      <c r="D389" s="13">
        <v>-0.36802000000000001</v>
      </c>
      <c r="E389" s="13">
        <v>-0.68801999999999996</v>
      </c>
    </row>
    <row r="390" spans="1:5" x14ac:dyDescent="0.2">
      <c r="A390">
        <v>10598</v>
      </c>
      <c r="B390">
        <f t="shared" si="6"/>
        <v>10600</v>
      </c>
      <c r="C390" s="13">
        <v>-0.53268000000000004</v>
      </c>
      <c r="D390" s="13">
        <v>-0.37709999999999999</v>
      </c>
      <c r="E390" s="13">
        <v>-0.68827000000000005</v>
      </c>
    </row>
    <row r="391" spans="1:5" x14ac:dyDescent="0.2">
      <c r="A391">
        <v>10608</v>
      </c>
      <c r="B391">
        <f t="shared" si="6"/>
        <v>10600</v>
      </c>
      <c r="C391" s="13">
        <v>-0.53708999999999996</v>
      </c>
      <c r="D391" s="13">
        <v>-0.38568000000000002</v>
      </c>
      <c r="E391" s="13">
        <v>-0.68849000000000005</v>
      </c>
    </row>
    <row r="392" spans="1:5" x14ac:dyDescent="0.2">
      <c r="A392">
        <v>10619</v>
      </c>
      <c r="B392">
        <f t="shared" si="6"/>
        <v>10600</v>
      </c>
      <c r="C392" s="13">
        <v>-0.54125000000000001</v>
      </c>
      <c r="D392" s="13">
        <v>-0.39374999999999999</v>
      </c>
      <c r="E392" s="13">
        <v>-0.68874999999999997</v>
      </c>
    </row>
    <row r="393" spans="1:5" x14ac:dyDescent="0.2">
      <c r="A393">
        <v>10629</v>
      </c>
      <c r="B393">
        <f t="shared" si="6"/>
        <v>10600</v>
      </c>
      <c r="C393" s="13">
        <v>-0.54520999999999997</v>
      </c>
      <c r="D393" s="13">
        <v>-0.40126000000000001</v>
      </c>
      <c r="E393" s="13">
        <v>-0.68915999999999999</v>
      </c>
    </row>
    <row r="394" spans="1:5" x14ac:dyDescent="0.2">
      <c r="A394">
        <v>10639</v>
      </c>
      <c r="B394">
        <f t="shared" si="6"/>
        <v>10600</v>
      </c>
      <c r="C394" s="13">
        <v>-0.54898000000000002</v>
      </c>
      <c r="D394" s="13">
        <v>-0.40815000000000001</v>
      </c>
      <c r="E394" s="13">
        <v>-0.68981999999999999</v>
      </c>
    </row>
    <row r="395" spans="1:5" x14ac:dyDescent="0.2">
      <c r="A395">
        <v>10649</v>
      </c>
      <c r="B395">
        <f t="shared" si="6"/>
        <v>10600</v>
      </c>
      <c r="C395" s="13">
        <v>-0.55259999999999998</v>
      </c>
      <c r="D395" s="13">
        <v>-0.41435</v>
      </c>
      <c r="E395" s="13">
        <v>-0.69084999999999996</v>
      </c>
    </row>
    <row r="396" spans="1:5" x14ac:dyDescent="0.2">
      <c r="A396">
        <v>10659</v>
      </c>
      <c r="B396">
        <f t="shared" si="6"/>
        <v>10700</v>
      </c>
      <c r="C396" s="13">
        <v>-0.55608999999999997</v>
      </c>
      <c r="D396" s="13">
        <v>-0.41976000000000002</v>
      </c>
      <c r="E396" s="13">
        <v>-0.69240999999999997</v>
      </c>
    </row>
    <row r="397" spans="1:5" x14ac:dyDescent="0.2">
      <c r="A397">
        <v>10669</v>
      </c>
      <c r="B397">
        <f t="shared" si="6"/>
        <v>10700</v>
      </c>
      <c r="C397" s="13">
        <v>-0.55945</v>
      </c>
      <c r="D397" s="13">
        <v>-0.42421999999999999</v>
      </c>
      <c r="E397" s="13">
        <v>-0.69467999999999996</v>
      </c>
    </row>
    <row r="398" spans="1:5" x14ac:dyDescent="0.2">
      <c r="A398">
        <v>10679</v>
      </c>
      <c r="B398">
        <f t="shared" si="6"/>
        <v>10700</v>
      </c>
      <c r="C398" s="13">
        <v>-0.56267</v>
      </c>
      <c r="D398" s="13">
        <v>-0.42753000000000002</v>
      </c>
      <c r="E398" s="13">
        <v>-0.69781000000000004</v>
      </c>
    </row>
    <row r="399" spans="1:5" x14ac:dyDescent="0.2">
      <c r="A399">
        <v>10689</v>
      </c>
      <c r="B399">
        <f t="shared" si="6"/>
        <v>10700</v>
      </c>
      <c r="C399" s="13">
        <v>-0.56574000000000002</v>
      </c>
      <c r="D399" s="13">
        <v>-0.42953000000000002</v>
      </c>
      <c r="E399" s="13">
        <v>-0.70194999999999996</v>
      </c>
    </row>
    <row r="400" spans="1:5" x14ac:dyDescent="0.2">
      <c r="A400">
        <v>10699</v>
      </c>
      <c r="B400">
        <f t="shared" si="6"/>
        <v>10700</v>
      </c>
      <c r="C400" s="13">
        <v>-0.56862999999999997</v>
      </c>
      <c r="D400" s="13">
        <v>-0.43009999999999998</v>
      </c>
      <c r="E400" s="13">
        <v>-0.70716000000000001</v>
      </c>
    </row>
    <row r="401" spans="1:5" x14ac:dyDescent="0.2">
      <c r="A401">
        <v>10709</v>
      </c>
      <c r="B401">
        <f t="shared" si="6"/>
        <v>10700</v>
      </c>
      <c r="C401" s="13">
        <v>-0.57133</v>
      </c>
      <c r="D401" s="13">
        <v>-0.42920999999999998</v>
      </c>
      <c r="E401" s="13">
        <v>-0.71345000000000003</v>
      </c>
    </row>
    <row r="402" spans="1:5" x14ac:dyDescent="0.2">
      <c r="A402">
        <v>10719</v>
      </c>
      <c r="B402">
        <f t="shared" si="6"/>
        <v>10700</v>
      </c>
      <c r="C402" s="13">
        <v>-0.57382</v>
      </c>
      <c r="D402" s="13">
        <v>-0.42688999999999999</v>
      </c>
      <c r="E402" s="13">
        <v>-0.72075999999999996</v>
      </c>
    </row>
    <row r="403" spans="1:5" x14ac:dyDescent="0.2">
      <c r="A403">
        <v>10729</v>
      </c>
      <c r="B403">
        <f t="shared" si="6"/>
        <v>10700</v>
      </c>
      <c r="C403" s="13">
        <v>-0.57608000000000004</v>
      </c>
      <c r="D403" s="13">
        <v>-0.42320999999999998</v>
      </c>
      <c r="E403" s="13">
        <v>-0.72896000000000005</v>
      </c>
    </row>
    <row r="404" spans="1:5" x14ac:dyDescent="0.2">
      <c r="A404">
        <v>10739</v>
      </c>
      <c r="B404">
        <f t="shared" si="6"/>
        <v>10700</v>
      </c>
      <c r="C404" s="13">
        <v>-0.57809999999999995</v>
      </c>
      <c r="D404" s="13">
        <v>-0.41830000000000001</v>
      </c>
      <c r="E404" s="13">
        <v>-0.7379</v>
      </c>
    </row>
    <row r="405" spans="1:5" x14ac:dyDescent="0.2">
      <c r="A405">
        <v>10749</v>
      </c>
      <c r="B405">
        <f t="shared" si="6"/>
        <v>10700</v>
      </c>
      <c r="C405" s="13">
        <v>-0.57986000000000004</v>
      </c>
      <c r="D405" s="13">
        <v>-0.41233999999999998</v>
      </c>
      <c r="E405" s="13">
        <v>-0.74736999999999998</v>
      </c>
    </row>
    <row r="406" spans="1:5" x14ac:dyDescent="0.2">
      <c r="A406">
        <v>10760</v>
      </c>
      <c r="B406">
        <f t="shared" si="6"/>
        <v>10800</v>
      </c>
      <c r="C406" s="13">
        <v>-0.58133000000000001</v>
      </c>
      <c r="D406" s="13">
        <v>-0.40548000000000001</v>
      </c>
      <c r="E406" s="13">
        <v>-0.75717000000000001</v>
      </c>
    </row>
    <row r="407" spans="1:5" x14ac:dyDescent="0.2">
      <c r="A407">
        <v>10770</v>
      </c>
      <c r="B407">
        <f t="shared" si="6"/>
        <v>10800</v>
      </c>
      <c r="C407" s="13">
        <v>-0.58250000000000002</v>
      </c>
      <c r="D407" s="13">
        <v>-0.39792</v>
      </c>
      <c r="E407" s="13">
        <v>-0.76709000000000005</v>
      </c>
    </row>
    <row r="408" spans="1:5" x14ac:dyDescent="0.2">
      <c r="A408">
        <v>10780</v>
      </c>
      <c r="B408">
        <f t="shared" si="6"/>
        <v>10800</v>
      </c>
      <c r="C408" s="13">
        <v>-0.58335999999999999</v>
      </c>
      <c r="D408" s="13">
        <v>-0.38982</v>
      </c>
      <c r="E408" s="13">
        <v>-0.77690000000000003</v>
      </c>
    </row>
    <row r="409" spans="1:5" x14ac:dyDescent="0.2">
      <c r="A409">
        <v>10790</v>
      </c>
      <c r="B409">
        <f t="shared" si="6"/>
        <v>10800</v>
      </c>
      <c r="C409" s="13">
        <v>-0.58387999999999995</v>
      </c>
      <c r="D409" s="13">
        <v>-0.38135000000000002</v>
      </c>
      <c r="E409" s="13">
        <v>-0.78642000000000001</v>
      </c>
    </row>
    <row r="410" spans="1:5" x14ac:dyDescent="0.2">
      <c r="A410">
        <v>10800</v>
      </c>
      <c r="B410">
        <f t="shared" si="6"/>
        <v>10800</v>
      </c>
      <c r="C410" s="13">
        <v>-0.58404999999999996</v>
      </c>
      <c r="D410" s="13">
        <v>-0.37267</v>
      </c>
      <c r="E410" s="13">
        <v>-0.79544000000000004</v>
      </c>
    </row>
    <row r="411" spans="1:5" x14ac:dyDescent="0.2">
      <c r="A411">
        <v>10810</v>
      </c>
      <c r="B411">
        <f t="shared" si="6"/>
        <v>10800</v>
      </c>
      <c r="C411" s="13">
        <v>-0.58386000000000005</v>
      </c>
      <c r="D411" s="13">
        <v>-0.36393999999999999</v>
      </c>
      <c r="E411" s="13">
        <v>-0.80376999999999998</v>
      </c>
    </row>
    <row r="412" spans="1:5" x14ac:dyDescent="0.2">
      <c r="A412">
        <v>10820</v>
      </c>
      <c r="B412">
        <f t="shared" si="6"/>
        <v>10800</v>
      </c>
      <c r="C412" s="13">
        <v>-0.58326999999999996</v>
      </c>
      <c r="D412" s="13">
        <v>-0.35528999999999999</v>
      </c>
      <c r="E412" s="13">
        <v>-0.81125000000000003</v>
      </c>
    </row>
    <row r="413" spans="1:5" x14ac:dyDescent="0.2">
      <c r="A413">
        <v>10830</v>
      </c>
      <c r="B413">
        <f t="shared" si="6"/>
        <v>10800</v>
      </c>
      <c r="C413" s="13">
        <v>-0.58228000000000002</v>
      </c>
      <c r="D413" s="13">
        <v>-0.34686</v>
      </c>
      <c r="E413" s="13">
        <v>-0.81769999999999998</v>
      </c>
    </row>
    <row r="414" spans="1:5" x14ac:dyDescent="0.2">
      <c r="A414">
        <v>10840</v>
      </c>
      <c r="B414">
        <f t="shared" si="6"/>
        <v>10800</v>
      </c>
      <c r="C414" s="13">
        <v>-0.58087</v>
      </c>
      <c r="D414" s="13">
        <v>-0.33877000000000002</v>
      </c>
      <c r="E414" s="13">
        <v>-0.82296000000000002</v>
      </c>
    </row>
    <row r="415" spans="1:5" x14ac:dyDescent="0.2">
      <c r="A415">
        <v>10850</v>
      </c>
      <c r="B415">
        <f t="shared" si="6"/>
        <v>10900</v>
      </c>
      <c r="C415" s="13">
        <v>-0.57901000000000002</v>
      </c>
      <c r="D415" s="13">
        <v>-0.33115</v>
      </c>
      <c r="E415" s="13">
        <v>-0.82686999999999999</v>
      </c>
    </row>
    <row r="416" spans="1:5" x14ac:dyDescent="0.2">
      <c r="A416">
        <v>10860</v>
      </c>
      <c r="B416">
        <f t="shared" si="6"/>
        <v>10900</v>
      </c>
      <c r="C416" s="13">
        <v>-0.57669999999999999</v>
      </c>
      <c r="D416" s="13">
        <v>-0.32411000000000001</v>
      </c>
      <c r="E416" s="13">
        <v>-0.82928999999999997</v>
      </c>
    </row>
    <row r="417" spans="1:5" x14ac:dyDescent="0.2">
      <c r="A417">
        <v>10870</v>
      </c>
      <c r="B417">
        <f t="shared" si="6"/>
        <v>10900</v>
      </c>
      <c r="C417" s="13">
        <v>-0.57391000000000003</v>
      </c>
      <c r="D417" s="13">
        <v>-0.31774999999999998</v>
      </c>
      <c r="E417" s="13">
        <v>-0.83006999999999997</v>
      </c>
    </row>
    <row r="418" spans="1:5" x14ac:dyDescent="0.2">
      <c r="A418">
        <v>10880</v>
      </c>
      <c r="B418">
        <f t="shared" si="6"/>
        <v>10900</v>
      </c>
      <c r="C418" s="13">
        <v>-0.57062999999999997</v>
      </c>
      <c r="D418" s="13">
        <v>-0.31218000000000001</v>
      </c>
      <c r="E418" s="13">
        <v>-0.82908000000000004</v>
      </c>
    </row>
    <row r="419" spans="1:5" x14ac:dyDescent="0.2">
      <c r="A419">
        <v>10891</v>
      </c>
      <c r="B419">
        <f t="shared" si="6"/>
        <v>10900</v>
      </c>
      <c r="C419" s="13">
        <v>-0.56684000000000001</v>
      </c>
      <c r="D419" s="13">
        <v>-0.30747999999999998</v>
      </c>
      <c r="E419" s="13">
        <v>-0.82618999999999998</v>
      </c>
    </row>
    <row r="420" spans="1:5" x14ac:dyDescent="0.2">
      <c r="A420">
        <v>10901</v>
      </c>
      <c r="B420">
        <f t="shared" si="6"/>
        <v>10900</v>
      </c>
      <c r="C420" s="13">
        <v>-0.56250999999999995</v>
      </c>
      <c r="D420" s="13">
        <v>-0.30375999999999997</v>
      </c>
      <c r="E420" s="13">
        <v>-0.82126999999999994</v>
      </c>
    </row>
    <row r="421" spans="1:5" x14ac:dyDescent="0.2">
      <c r="A421">
        <v>10911</v>
      </c>
      <c r="B421">
        <f t="shared" si="6"/>
        <v>10900</v>
      </c>
      <c r="C421" s="13">
        <v>-0.55764000000000002</v>
      </c>
      <c r="D421" s="13">
        <v>-0.30109000000000002</v>
      </c>
      <c r="E421" s="13">
        <v>-0.81420000000000003</v>
      </c>
    </row>
    <row r="422" spans="1:5" x14ac:dyDescent="0.2">
      <c r="A422">
        <v>10921</v>
      </c>
      <c r="B422">
        <f t="shared" si="6"/>
        <v>10900</v>
      </c>
      <c r="C422" s="13">
        <v>-0.55220999999999998</v>
      </c>
      <c r="D422" s="13">
        <v>-0.29944999999999999</v>
      </c>
      <c r="E422" s="13">
        <v>-0.80496999999999996</v>
      </c>
    </row>
    <row r="423" spans="1:5" x14ac:dyDescent="0.2">
      <c r="A423">
        <v>10931</v>
      </c>
      <c r="B423">
        <f t="shared" si="6"/>
        <v>10900</v>
      </c>
      <c r="C423" s="13">
        <v>-0.54618999999999995</v>
      </c>
      <c r="D423" s="13">
        <v>-0.29869000000000001</v>
      </c>
      <c r="E423" s="13">
        <v>-0.79369000000000001</v>
      </c>
    </row>
    <row r="424" spans="1:5" x14ac:dyDescent="0.2">
      <c r="A424">
        <v>10941</v>
      </c>
      <c r="B424">
        <f t="shared" si="6"/>
        <v>10900</v>
      </c>
      <c r="C424" s="13">
        <v>-0.53956999999999999</v>
      </c>
      <c r="D424" s="13">
        <v>-0.29864000000000002</v>
      </c>
      <c r="E424" s="13">
        <v>-0.78049999999999997</v>
      </c>
    </row>
    <row r="425" spans="1:5" x14ac:dyDescent="0.2">
      <c r="A425">
        <v>10951</v>
      </c>
      <c r="B425">
        <f t="shared" si="6"/>
        <v>11000</v>
      </c>
      <c r="C425" s="13">
        <v>-0.53232999999999997</v>
      </c>
      <c r="D425" s="13">
        <v>-0.29912</v>
      </c>
      <c r="E425" s="13">
        <v>-0.76554</v>
      </c>
    </row>
    <row r="426" spans="1:5" x14ac:dyDescent="0.2">
      <c r="A426">
        <v>10961</v>
      </c>
      <c r="B426">
        <f t="shared" si="6"/>
        <v>11000</v>
      </c>
      <c r="C426" s="13">
        <v>-0.52444999999999997</v>
      </c>
      <c r="D426" s="13">
        <v>-0.29993999999999998</v>
      </c>
      <c r="E426" s="13">
        <v>-0.74897000000000002</v>
      </c>
    </row>
    <row r="427" spans="1:5" x14ac:dyDescent="0.2">
      <c r="A427">
        <v>10971</v>
      </c>
      <c r="B427">
        <f t="shared" si="6"/>
        <v>11000</v>
      </c>
      <c r="C427" s="13">
        <v>-0.51592000000000005</v>
      </c>
      <c r="D427" s="13">
        <v>-0.30088999999999999</v>
      </c>
      <c r="E427" s="13">
        <v>-0.73094000000000003</v>
      </c>
    </row>
    <row r="428" spans="1:5" x14ac:dyDescent="0.2">
      <c r="A428">
        <v>10981</v>
      </c>
      <c r="B428">
        <f t="shared" si="6"/>
        <v>11000</v>
      </c>
      <c r="C428" s="13">
        <v>-0.50670999999999999</v>
      </c>
      <c r="D428" s="13">
        <v>-0.30177999999999999</v>
      </c>
      <c r="E428" s="13">
        <v>-0.71162999999999998</v>
      </c>
    </row>
    <row r="429" spans="1:5" x14ac:dyDescent="0.2">
      <c r="A429">
        <v>10991</v>
      </c>
      <c r="B429">
        <f t="shared" si="6"/>
        <v>11000</v>
      </c>
      <c r="C429" s="13">
        <v>-0.49680000000000002</v>
      </c>
      <c r="D429" s="13">
        <v>-0.30238999999999999</v>
      </c>
      <c r="E429" s="13">
        <v>-0.69121999999999995</v>
      </c>
    </row>
    <row r="430" spans="1:5" x14ac:dyDescent="0.2">
      <c r="A430">
        <v>11001</v>
      </c>
      <c r="B430">
        <f t="shared" si="6"/>
        <v>11000</v>
      </c>
      <c r="C430" s="13">
        <v>-0.48619000000000001</v>
      </c>
      <c r="D430" s="13">
        <v>-0.30248000000000003</v>
      </c>
      <c r="E430" s="13">
        <v>-0.66990000000000005</v>
      </c>
    </row>
    <row r="431" spans="1:5" x14ac:dyDescent="0.2">
      <c r="A431">
        <v>11011</v>
      </c>
      <c r="B431">
        <f t="shared" si="6"/>
        <v>11000</v>
      </c>
      <c r="C431" s="13">
        <v>-0.47483999999999998</v>
      </c>
      <c r="D431" s="13">
        <v>-0.30180000000000001</v>
      </c>
      <c r="E431" s="13">
        <v>-0.64788999999999997</v>
      </c>
    </row>
    <row r="432" spans="1:5" x14ac:dyDescent="0.2">
      <c r="A432">
        <v>11021</v>
      </c>
      <c r="B432">
        <f t="shared" si="6"/>
        <v>11000</v>
      </c>
      <c r="C432" s="13">
        <v>-0.46274999999999999</v>
      </c>
      <c r="D432" s="13">
        <v>-0.30009000000000002</v>
      </c>
      <c r="E432" s="13">
        <v>-0.62539999999999996</v>
      </c>
    </row>
    <row r="433" spans="1:5" x14ac:dyDescent="0.2">
      <c r="A433">
        <v>11032</v>
      </c>
      <c r="B433">
        <f t="shared" si="6"/>
        <v>11000</v>
      </c>
      <c r="C433" s="13">
        <v>-0.44989000000000001</v>
      </c>
      <c r="D433" s="13">
        <v>-0.29707</v>
      </c>
      <c r="E433" s="13">
        <v>-0.60270000000000001</v>
      </c>
    </row>
    <row r="434" spans="1:5" x14ac:dyDescent="0.2">
      <c r="A434">
        <v>11042</v>
      </c>
      <c r="B434">
        <f t="shared" si="6"/>
        <v>11000</v>
      </c>
      <c r="C434" s="13">
        <v>-0.43624000000000002</v>
      </c>
      <c r="D434" s="13">
        <v>-0.29244999999999999</v>
      </c>
      <c r="E434" s="13">
        <v>-0.58003000000000005</v>
      </c>
    </row>
    <row r="435" spans="1:5" x14ac:dyDescent="0.2">
      <c r="A435">
        <v>11052</v>
      </c>
      <c r="B435">
        <f t="shared" si="6"/>
        <v>11100</v>
      </c>
      <c r="C435" s="13">
        <v>-0.42179</v>
      </c>
      <c r="D435" s="13">
        <v>-0.28592000000000001</v>
      </c>
      <c r="E435" s="13">
        <v>-0.55764999999999998</v>
      </c>
    </row>
    <row r="436" spans="1:5" x14ac:dyDescent="0.2">
      <c r="A436">
        <v>11062</v>
      </c>
      <c r="B436">
        <f t="shared" si="6"/>
        <v>11100</v>
      </c>
      <c r="C436" s="13">
        <v>-0.40651999999999999</v>
      </c>
      <c r="D436" s="13">
        <v>-0.27722000000000002</v>
      </c>
      <c r="E436" s="13">
        <v>-0.53581999999999996</v>
      </c>
    </row>
    <row r="437" spans="1:5" x14ac:dyDescent="0.2">
      <c r="A437">
        <v>11072</v>
      </c>
      <c r="B437">
        <f t="shared" si="6"/>
        <v>11100</v>
      </c>
      <c r="C437" s="13">
        <v>-0.39040000000000002</v>
      </c>
      <c r="D437" s="13">
        <v>-0.26608999999999999</v>
      </c>
      <c r="E437" s="13">
        <v>-0.51471999999999996</v>
      </c>
    </row>
    <row r="438" spans="1:5" x14ac:dyDescent="0.2">
      <c r="A438">
        <v>11082</v>
      </c>
      <c r="B438">
        <f t="shared" si="6"/>
        <v>11100</v>
      </c>
      <c r="C438" s="13">
        <v>-0.37342999999999998</v>
      </c>
      <c r="D438" s="13">
        <v>-0.25237999999999999</v>
      </c>
      <c r="E438" s="13">
        <v>-0.49447999999999998</v>
      </c>
    </row>
    <row r="439" spans="1:5" x14ac:dyDescent="0.2">
      <c r="A439">
        <v>11092</v>
      </c>
      <c r="B439">
        <f t="shared" si="6"/>
        <v>11100</v>
      </c>
      <c r="C439" s="13">
        <v>-0.35558000000000001</v>
      </c>
      <c r="D439" s="13">
        <v>-0.23602999999999999</v>
      </c>
      <c r="E439" s="13">
        <v>-0.47513</v>
      </c>
    </row>
    <row r="440" spans="1:5" x14ac:dyDescent="0.2">
      <c r="A440">
        <v>11102</v>
      </c>
      <c r="B440">
        <f t="shared" si="6"/>
        <v>11100</v>
      </c>
      <c r="C440" s="13">
        <v>-0.33683000000000002</v>
      </c>
      <c r="D440" s="13">
        <v>-0.21709000000000001</v>
      </c>
      <c r="E440" s="13">
        <v>-0.45657999999999999</v>
      </c>
    </row>
    <row r="441" spans="1:5" x14ac:dyDescent="0.2">
      <c r="A441">
        <v>11112</v>
      </c>
      <c r="B441">
        <f t="shared" si="6"/>
        <v>11100</v>
      </c>
      <c r="C441" s="13">
        <v>-0.31718000000000002</v>
      </c>
      <c r="D441" s="13">
        <v>-0.19572999999999999</v>
      </c>
      <c r="E441" s="13">
        <v>-0.43863000000000002</v>
      </c>
    </row>
    <row r="442" spans="1:5" x14ac:dyDescent="0.2">
      <c r="A442">
        <v>11122</v>
      </c>
      <c r="B442">
        <f t="shared" si="6"/>
        <v>11100</v>
      </c>
      <c r="C442" s="13">
        <v>-0.29665999999999998</v>
      </c>
      <c r="D442" s="13">
        <v>-0.17221</v>
      </c>
      <c r="E442" s="13">
        <v>-0.42110999999999998</v>
      </c>
    </row>
    <row r="443" spans="1:5" x14ac:dyDescent="0.2">
      <c r="A443">
        <v>11132</v>
      </c>
      <c r="B443">
        <f t="shared" si="6"/>
        <v>11100</v>
      </c>
      <c r="C443" s="13">
        <v>-0.27550999999999998</v>
      </c>
      <c r="D443" s="13">
        <v>-0.14699000000000001</v>
      </c>
      <c r="E443" s="13">
        <v>-0.40401999999999999</v>
      </c>
    </row>
    <row r="444" spans="1:5" x14ac:dyDescent="0.2">
      <c r="A444">
        <v>11142</v>
      </c>
      <c r="B444">
        <f t="shared" si="6"/>
        <v>11100</v>
      </c>
      <c r="C444" s="13">
        <v>-0.25397999999999998</v>
      </c>
      <c r="D444" s="13">
        <v>-0.12055</v>
      </c>
      <c r="E444" s="13">
        <v>-0.38740999999999998</v>
      </c>
    </row>
    <row r="445" spans="1:5" x14ac:dyDescent="0.2">
      <c r="A445">
        <v>11152</v>
      </c>
      <c r="B445">
        <f t="shared" si="6"/>
        <v>11200</v>
      </c>
      <c r="C445" s="13">
        <v>-0.23233000000000001</v>
      </c>
      <c r="D445" s="13">
        <v>-9.3326000000000006E-2</v>
      </c>
      <c r="E445" s="13">
        <v>-0.37132999999999999</v>
      </c>
    </row>
    <row r="446" spans="1:5" x14ac:dyDescent="0.2">
      <c r="A446">
        <v>11163</v>
      </c>
      <c r="B446">
        <f t="shared" si="6"/>
        <v>11200</v>
      </c>
      <c r="C446" s="13">
        <v>-0.21081</v>
      </c>
      <c r="D446" s="13">
        <v>-6.5770999999999996E-2</v>
      </c>
      <c r="E446" s="13">
        <v>-0.35583999999999999</v>
      </c>
    </row>
    <row r="447" spans="1:5" x14ac:dyDescent="0.2">
      <c r="A447">
        <v>11173</v>
      </c>
      <c r="B447">
        <f t="shared" si="6"/>
        <v>11200</v>
      </c>
      <c r="C447" s="13">
        <v>-0.18967000000000001</v>
      </c>
      <c r="D447" s="13">
        <v>-3.8303999999999998E-2</v>
      </c>
      <c r="E447" s="13">
        <v>-0.34104000000000001</v>
      </c>
    </row>
    <row r="448" spans="1:5" x14ac:dyDescent="0.2">
      <c r="A448">
        <v>11183</v>
      </c>
      <c r="B448">
        <f t="shared" si="6"/>
        <v>11200</v>
      </c>
      <c r="C448" s="13">
        <v>-0.16918</v>
      </c>
      <c r="D448" s="13">
        <v>-1.1332999999999999E-2</v>
      </c>
      <c r="E448" s="13">
        <v>-0.32701999999999998</v>
      </c>
    </row>
    <row r="449" spans="1:5" x14ac:dyDescent="0.2">
      <c r="A449">
        <v>11193</v>
      </c>
      <c r="B449">
        <f t="shared" si="6"/>
        <v>11200</v>
      </c>
      <c r="C449" s="13">
        <v>-0.14957000000000001</v>
      </c>
      <c r="D449" s="13">
        <v>1.4742999999999999E-2</v>
      </c>
      <c r="E449" s="13">
        <v>-0.31389</v>
      </c>
    </row>
    <row r="450" spans="1:5" x14ac:dyDescent="0.2">
      <c r="A450">
        <v>11203</v>
      </c>
      <c r="B450">
        <f t="shared" si="6"/>
        <v>11200</v>
      </c>
      <c r="C450" s="13">
        <v>-0.13111999999999999</v>
      </c>
      <c r="D450" s="13">
        <v>3.9536000000000002E-2</v>
      </c>
      <c r="E450" s="13">
        <v>-0.30176999999999998</v>
      </c>
    </row>
    <row r="451" spans="1:5" x14ac:dyDescent="0.2">
      <c r="A451">
        <v>11213</v>
      </c>
      <c r="B451">
        <f t="shared" si="6"/>
        <v>11200</v>
      </c>
      <c r="C451" s="13">
        <v>-0.11405999999999999</v>
      </c>
      <c r="D451" s="13">
        <v>6.2662999999999996E-2</v>
      </c>
      <c r="E451" s="13">
        <v>-0.29078999999999999</v>
      </c>
    </row>
    <row r="452" spans="1:5" x14ac:dyDescent="0.2">
      <c r="A452">
        <v>11223</v>
      </c>
      <c r="B452">
        <f t="shared" ref="B452:B515" si="7">MROUND(A452,100)</f>
        <v>11200</v>
      </c>
      <c r="C452" s="13">
        <v>-9.8665000000000003E-2</v>
      </c>
      <c r="D452" s="13">
        <v>8.3749000000000004E-2</v>
      </c>
      <c r="E452" s="13">
        <v>-0.28108</v>
      </c>
    </row>
    <row r="453" spans="1:5" x14ac:dyDescent="0.2">
      <c r="A453">
        <v>11233</v>
      </c>
      <c r="B453">
        <f t="shared" si="7"/>
        <v>11200</v>
      </c>
      <c r="C453" s="13">
        <v>-8.5177000000000003E-2</v>
      </c>
      <c r="D453" s="13">
        <v>0.10242</v>
      </c>
      <c r="E453" s="13">
        <v>-0.27278000000000002</v>
      </c>
    </row>
    <row r="454" spans="1:5" x14ac:dyDescent="0.2">
      <c r="A454">
        <v>11243</v>
      </c>
      <c r="B454">
        <f t="shared" si="7"/>
        <v>11200</v>
      </c>
      <c r="C454" s="13">
        <v>-7.3852000000000001E-2</v>
      </c>
      <c r="D454" s="13">
        <v>0.11831999999999999</v>
      </c>
      <c r="E454" s="13">
        <v>-0.26601999999999998</v>
      </c>
    </row>
    <row r="455" spans="1:5" x14ac:dyDescent="0.2">
      <c r="A455">
        <v>11253</v>
      </c>
      <c r="B455">
        <f t="shared" si="7"/>
        <v>11300</v>
      </c>
      <c r="C455" s="13">
        <v>-6.4946000000000004E-2</v>
      </c>
      <c r="D455" s="13">
        <v>0.13106999999999999</v>
      </c>
      <c r="E455" s="13">
        <v>-0.26096000000000003</v>
      </c>
    </row>
    <row r="456" spans="1:5" x14ac:dyDescent="0.2">
      <c r="A456">
        <v>11263</v>
      </c>
      <c r="B456">
        <f t="shared" si="7"/>
        <v>11300</v>
      </c>
      <c r="C456" s="13">
        <v>-5.8710999999999999E-2</v>
      </c>
      <c r="D456" s="13">
        <v>0.14033000000000001</v>
      </c>
      <c r="E456" s="13">
        <v>-0.25774999999999998</v>
      </c>
    </row>
    <row r="457" spans="1:5" x14ac:dyDescent="0.2">
      <c r="A457">
        <v>11273</v>
      </c>
      <c r="B457">
        <f t="shared" si="7"/>
        <v>11300</v>
      </c>
      <c r="C457" s="13">
        <v>-5.5403000000000001E-2</v>
      </c>
      <c r="D457" s="13">
        <v>0.14573</v>
      </c>
      <c r="E457" s="13">
        <v>-0.25653999999999999</v>
      </c>
    </row>
    <row r="458" spans="1:5" x14ac:dyDescent="0.2">
      <c r="A458">
        <v>11283</v>
      </c>
      <c r="B458">
        <f t="shared" si="7"/>
        <v>11300</v>
      </c>
      <c r="C458" s="13">
        <v>-5.5274999999999998E-2</v>
      </c>
      <c r="D458" s="13">
        <v>0.14695</v>
      </c>
      <c r="E458" s="13">
        <v>-0.25750000000000001</v>
      </c>
    </row>
    <row r="459" spans="1:5" x14ac:dyDescent="0.2">
      <c r="A459">
        <v>11293</v>
      </c>
      <c r="B459">
        <f t="shared" si="7"/>
        <v>11300</v>
      </c>
      <c r="C459" s="13">
        <v>-5.8582000000000002E-2</v>
      </c>
      <c r="D459" s="13">
        <v>0.14365</v>
      </c>
      <c r="E459" s="13">
        <v>-0.26080999999999999</v>
      </c>
    </row>
    <row r="460" spans="1:5" x14ac:dyDescent="0.2">
      <c r="A460">
        <v>11304</v>
      </c>
      <c r="B460">
        <f t="shared" si="7"/>
        <v>11300</v>
      </c>
      <c r="C460" s="13">
        <v>-6.5570000000000003E-2</v>
      </c>
      <c r="D460" s="13">
        <v>0.13552</v>
      </c>
      <c r="E460" s="13">
        <v>-0.26666000000000001</v>
      </c>
    </row>
    <row r="461" spans="1:5" x14ac:dyDescent="0.2">
      <c r="A461">
        <v>11314</v>
      </c>
      <c r="B461">
        <f t="shared" si="7"/>
        <v>11300</v>
      </c>
      <c r="C461" s="13">
        <v>-7.6220999999999997E-2</v>
      </c>
      <c r="D461" s="13">
        <v>0.12263</v>
      </c>
      <c r="E461" s="13">
        <v>-0.27507999999999999</v>
      </c>
    </row>
    <row r="462" spans="1:5" x14ac:dyDescent="0.2">
      <c r="A462">
        <v>11324</v>
      </c>
      <c r="B462">
        <f t="shared" si="7"/>
        <v>11300</v>
      </c>
      <c r="C462" s="13">
        <v>-9.0188000000000004E-2</v>
      </c>
      <c r="D462" s="13">
        <v>0.1055</v>
      </c>
      <c r="E462" s="13">
        <v>-0.28588000000000002</v>
      </c>
    </row>
    <row r="463" spans="1:5" x14ac:dyDescent="0.2">
      <c r="A463">
        <v>11334</v>
      </c>
      <c r="B463">
        <f t="shared" si="7"/>
        <v>11300</v>
      </c>
      <c r="C463" s="13">
        <v>-0.1071</v>
      </c>
      <c r="D463" s="13">
        <v>8.4692000000000003E-2</v>
      </c>
      <c r="E463" s="13">
        <v>-0.2989</v>
      </c>
    </row>
    <row r="464" spans="1:5" x14ac:dyDescent="0.2">
      <c r="A464">
        <v>11344</v>
      </c>
      <c r="B464">
        <f t="shared" si="7"/>
        <v>11300</v>
      </c>
      <c r="C464" s="13">
        <v>-0.12659000000000001</v>
      </c>
      <c r="D464" s="13">
        <v>6.0762999999999998E-2</v>
      </c>
      <c r="E464" s="13">
        <v>-0.31395000000000001</v>
      </c>
    </row>
    <row r="465" spans="1:5" x14ac:dyDescent="0.2">
      <c r="A465">
        <v>11354</v>
      </c>
      <c r="B465">
        <f t="shared" si="7"/>
        <v>11400</v>
      </c>
      <c r="C465" s="13">
        <v>-0.14829000000000001</v>
      </c>
      <c r="D465" s="13">
        <v>3.4284000000000002E-2</v>
      </c>
      <c r="E465" s="13">
        <v>-0.33085999999999999</v>
      </c>
    </row>
    <row r="466" spans="1:5" x14ac:dyDescent="0.2">
      <c r="A466">
        <v>11364</v>
      </c>
      <c r="B466">
        <f t="shared" si="7"/>
        <v>11400</v>
      </c>
      <c r="C466" s="13">
        <v>-0.17183000000000001</v>
      </c>
      <c r="D466" s="13">
        <v>5.8249E-3</v>
      </c>
      <c r="E466" s="13">
        <v>-0.34948000000000001</v>
      </c>
    </row>
    <row r="467" spans="1:5" x14ac:dyDescent="0.2">
      <c r="A467">
        <v>11374</v>
      </c>
      <c r="B467">
        <f t="shared" si="7"/>
        <v>11400</v>
      </c>
      <c r="C467" s="13">
        <v>-0.19683</v>
      </c>
      <c r="D467" s="13">
        <v>-2.4053999999999999E-2</v>
      </c>
      <c r="E467" s="13">
        <v>-0.36960999999999999</v>
      </c>
    </row>
    <row r="468" spans="1:5" x14ac:dyDescent="0.2">
      <c r="A468">
        <v>11384</v>
      </c>
      <c r="B468">
        <f t="shared" si="7"/>
        <v>11400</v>
      </c>
      <c r="C468" s="13">
        <v>-0.22294</v>
      </c>
      <c r="D468" s="13">
        <v>-5.4803999999999999E-2</v>
      </c>
      <c r="E468" s="13">
        <v>-0.39107999999999998</v>
      </c>
    </row>
    <row r="469" spans="1:5" x14ac:dyDescent="0.2">
      <c r="A469">
        <v>11394</v>
      </c>
      <c r="B469">
        <f t="shared" si="7"/>
        <v>11400</v>
      </c>
      <c r="C469" s="13">
        <v>-0.24978</v>
      </c>
      <c r="D469" s="13">
        <v>-8.5899000000000003E-2</v>
      </c>
      <c r="E469" s="13">
        <v>-0.41366000000000003</v>
      </c>
    </row>
    <row r="470" spans="1:5" x14ac:dyDescent="0.2">
      <c r="A470">
        <v>11404</v>
      </c>
      <c r="B470">
        <f t="shared" si="7"/>
        <v>11400</v>
      </c>
      <c r="C470" s="13">
        <v>-0.27698</v>
      </c>
      <c r="D470" s="13">
        <v>-0.11684</v>
      </c>
      <c r="E470" s="13">
        <v>-0.43712000000000001</v>
      </c>
    </row>
    <row r="471" spans="1:5" x14ac:dyDescent="0.2">
      <c r="A471">
        <v>11414</v>
      </c>
      <c r="B471">
        <f t="shared" si="7"/>
        <v>11400</v>
      </c>
      <c r="C471" s="13">
        <v>-0.30418000000000001</v>
      </c>
      <c r="D471" s="13">
        <v>-0.14718000000000001</v>
      </c>
      <c r="E471" s="13">
        <v>-0.46117000000000002</v>
      </c>
    </row>
    <row r="472" spans="1:5" x14ac:dyDescent="0.2">
      <c r="A472">
        <v>11424</v>
      </c>
      <c r="B472">
        <f t="shared" si="7"/>
        <v>11400</v>
      </c>
      <c r="C472" s="13">
        <v>-0.33100000000000002</v>
      </c>
      <c r="D472" s="13">
        <v>-0.17649999999999999</v>
      </c>
      <c r="E472" s="13">
        <v>-0.48548999999999998</v>
      </c>
    </row>
    <row r="473" spans="1:5" x14ac:dyDescent="0.2">
      <c r="A473">
        <v>11434</v>
      </c>
      <c r="B473">
        <f t="shared" si="7"/>
        <v>11400</v>
      </c>
      <c r="C473" s="13">
        <v>-0.35707</v>
      </c>
      <c r="D473" s="13">
        <v>-0.20444000000000001</v>
      </c>
      <c r="E473" s="13">
        <v>-0.50970000000000004</v>
      </c>
    </row>
    <row r="474" spans="1:5" x14ac:dyDescent="0.2">
      <c r="A474">
        <v>11445</v>
      </c>
      <c r="B474">
        <f t="shared" si="7"/>
        <v>11400</v>
      </c>
      <c r="C474" s="13">
        <v>-0.38202999999999998</v>
      </c>
      <c r="D474" s="13">
        <v>-0.23068</v>
      </c>
      <c r="E474" s="13">
        <v>-0.53337000000000001</v>
      </c>
    </row>
    <row r="475" spans="1:5" x14ac:dyDescent="0.2">
      <c r="A475">
        <v>11455</v>
      </c>
      <c r="B475">
        <f t="shared" si="7"/>
        <v>11500</v>
      </c>
      <c r="C475" s="13">
        <v>-0.40550999999999998</v>
      </c>
      <c r="D475" s="13">
        <v>-0.25496000000000002</v>
      </c>
      <c r="E475" s="13">
        <v>-0.55605000000000004</v>
      </c>
    </row>
    <row r="476" spans="1:5" x14ac:dyDescent="0.2">
      <c r="A476">
        <v>11465</v>
      </c>
      <c r="B476">
        <f t="shared" si="7"/>
        <v>11500</v>
      </c>
      <c r="C476" s="13">
        <v>-0.42713000000000001</v>
      </c>
      <c r="D476" s="13">
        <v>-0.27703</v>
      </c>
      <c r="E476" s="13">
        <v>-0.57723000000000002</v>
      </c>
    </row>
    <row r="477" spans="1:5" x14ac:dyDescent="0.2">
      <c r="A477">
        <v>11475</v>
      </c>
      <c r="B477">
        <f t="shared" si="7"/>
        <v>11500</v>
      </c>
      <c r="C477" s="13">
        <v>-0.44652999999999998</v>
      </c>
      <c r="D477" s="13">
        <v>-0.29665000000000002</v>
      </c>
      <c r="E477" s="13">
        <v>-0.59641</v>
      </c>
    </row>
    <row r="478" spans="1:5" x14ac:dyDescent="0.2">
      <c r="A478">
        <v>11485</v>
      </c>
      <c r="B478">
        <f t="shared" si="7"/>
        <v>11500</v>
      </c>
      <c r="C478" s="13">
        <v>-0.46344000000000002</v>
      </c>
      <c r="D478" s="13">
        <v>-0.31368000000000001</v>
      </c>
      <c r="E478" s="13">
        <v>-0.61319999999999997</v>
      </c>
    </row>
    <row r="479" spans="1:5" x14ac:dyDescent="0.2">
      <c r="A479">
        <v>11495</v>
      </c>
      <c r="B479">
        <f t="shared" si="7"/>
        <v>11500</v>
      </c>
      <c r="C479" s="13">
        <v>-0.47788000000000003</v>
      </c>
      <c r="D479" s="13">
        <v>-0.32816000000000001</v>
      </c>
      <c r="E479" s="13">
        <v>-0.62760000000000005</v>
      </c>
    </row>
    <row r="480" spans="1:5" x14ac:dyDescent="0.2">
      <c r="A480">
        <v>11505</v>
      </c>
      <c r="B480">
        <f t="shared" si="7"/>
        <v>11500</v>
      </c>
      <c r="C480" s="13">
        <v>-0.48992000000000002</v>
      </c>
      <c r="D480" s="13">
        <v>-0.34015000000000001</v>
      </c>
      <c r="E480" s="13">
        <v>-0.63970000000000005</v>
      </c>
    </row>
    <row r="481" spans="1:5" x14ac:dyDescent="0.2">
      <c r="A481">
        <v>11515</v>
      </c>
      <c r="B481">
        <f t="shared" si="7"/>
        <v>11500</v>
      </c>
      <c r="C481" s="13">
        <v>-0.49965999999999999</v>
      </c>
      <c r="D481" s="13">
        <v>-0.34966999999999998</v>
      </c>
      <c r="E481" s="13">
        <v>-0.64964</v>
      </c>
    </row>
    <row r="482" spans="1:5" x14ac:dyDescent="0.2">
      <c r="A482">
        <v>11525</v>
      </c>
      <c r="B482">
        <f t="shared" si="7"/>
        <v>11500</v>
      </c>
      <c r="C482" s="13">
        <v>-0.50714999999999999</v>
      </c>
      <c r="D482" s="13">
        <v>-0.35676000000000002</v>
      </c>
      <c r="E482" s="13">
        <v>-0.65754000000000001</v>
      </c>
    </row>
    <row r="483" spans="1:5" x14ac:dyDescent="0.2">
      <c r="A483">
        <v>11535</v>
      </c>
      <c r="B483">
        <f t="shared" si="7"/>
        <v>11500</v>
      </c>
      <c r="C483" s="13">
        <v>-0.51249</v>
      </c>
      <c r="D483" s="13">
        <v>-0.36142999999999997</v>
      </c>
      <c r="E483" s="13">
        <v>-0.66354999999999997</v>
      </c>
    </row>
    <row r="484" spans="1:5" x14ac:dyDescent="0.2">
      <c r="A484">
        <v>11545</v>
      </c>
      <c r="B484">
        <f t="shared" si="7"/>
        <v>11500</v>
      </c>
      <c r="C484" s="13">
        <v>-0.51573999999999998</v>
      </c>
      <c r="D484" s="13">
        <v>-0.36370999999999998</v>
      </c>
      <c r="E484" s="13">
        <v>-0.66778000000000004</v>
      </c>
    </row>
    <row r="485" spans="1:5" x14ac:dyDescent="0.2">
      <c r="A485">
        <v>11555</v>
      </c>
      <c r="B485">
        <f t="shared" si="7"/>
        <v>11600</v>
      </c>
      <c r="C485" s="13">
        <v>-0.51700000000000002</v>
      </c>
      <c r="D485" s="13">
        <v>-0.36364000000000002</v>
      </c>
      <c r="E485" s="13">
        <v>-0.67035</v>
      </c>
    </row>
    <row r="486" spans="1:5" x14ac:dyDescent="0.2">
      <c r="A486">
        <v>11565</v>
      </c>
      <c r="B486">
        <f t="shared" si="7"/>
        <v>11600</v>
      </c>
      <c r="C486" s="13">
        <v>-0.51632999999999996</v>
      </c>
      <c r="D486" s="13">
        <v>-0.36127999999999999</v>
      </c>
      <c r="E486" s="13">
        <v>-0.67137000000000002</v>
      </c>
    </row>
    <row r="487" spans="1:5" x14ac:dyDescent="0.2">
      <c r="A487">
        <v>11576</v>
      </c>
      <c r="B487">
        <f t="shared" si="7"/>
        <v>11600</v>
      </c>
      <c r="C487" s="13">
        <v>-0.51380999999999999</v>
      </c>
      <c r="D487" s="13">
        <v>-0.35670000000000002</v>
      </c>
      <c r="E487" s="13">
        <v>-0.67091999999999996</v>
      </c>
    </row>
    <row r="488" spans="1:5" x14ac:dyDescent="0.2">
      <c r="A488">
        <v>11586</v>
      </c>
      <c r="B488">
        <f t="shared" si="7"/>
        <v>11600</v>
      </c>
      <c r="C488" s="13">
        <v>-0.50953000000000004</v>
      </c>
      <c r="D488" s="13">
        <v>-0.35</v>
      </c>
      <c r="E488" s="13">
        <v>-0.66905000000000003</v>
      </c>
    </row>
    <row r="489" spans="1:5" x14ac:dyDescent="0.2">
      <c r="A489">
        <v>11596</v>
      </c>
      <c r="B489">
        <f t="shared" si="7"/>
        <v>11600</v>
      </c>
      <c r="C489" s="13">
        <v>-0.50355000000000005</v>
      </c>
      <c r="D489" s="13">
        <v>-0.34127999999999997</v>
      </c>
      <c r="E489" s="13">
        <v>-0.66581999999999997</v>
      </c>
    </row>
    <row r="490" spans="1:5" x14ac:dyDescent="0.2">
      <c r="A490">
        <v>11606</v>
      </c>
      <c r="B490">
        <f t="shared" si="7"/>
        <v>11600</v>
      </c>
      <c r="C490" s="13">
        <v>-0.49597000000000002</v>
      </c>
      <c r="D490" s="13">
        <v>-0.33067000000000002</v>
      </c>
      <c r="E490" s="13">
        <v>-0.66125999999999996</v>
      </c>
    </row>
    <row r="491" spans="1:5" x14ac:dyDescent="0.2">
      <c r="A491">
        <v>11616</v>
      </c>
      <c r="B491">
        <f t="shared" si="7"/>
        <v>11600</v>
      </c>
      <c r="C491" s="13">
        <v>-0.48685</v>
      </c>
      <c r="D491" s="13">
        <v>-0.31829000000000002</v>
      </c>
      <c r="E491" s="13">
        <v>-0.65541000000000005</v>
      </c>
    </row>
    <row r="492" spans="1:5" x14ac:dyDescent="0.2">
      <c r="A492">
        <v>11626</v>
      </c>
      <c r="B492">
        <f t="shared" si="7"/>
        <v>11600</v>
      </c>
      <c r="C492" s="13">
        <v>-0.47627999999999998</v>
      </c>
      <c r="D492" s="13">
        <v>-0.30425000000000002</v>
      </c>
      <c r="E492" s="13">
        <v>-0.64829999999999999</v>
      </c>
    </row>
    <row r="493" spans="1:5" x14ac:dyDescent="0.2">
      <c r="A493">
        <v>11636</v>
      </c>
      <c r="B493">
        <f t="shared" si="7"/>
        <v>11600</v>
      </c>
      <c r="C493" s="13">
        <v>-0.46433000000000002</v>
      </c>
      <c r="D493" s="13">
        <v>-0.28867999999999999</v>
      </c>
      <c r="E493" s="13">
        <v>-0.63997000000000004</v>
      </c>
    </row>
    <row r="494" spans="1:5" x14ac:dyDescent="0.2">
      <c r="A494">
        <v>11646</v>
      </c>
      <c r="B494">
        <f t="shared" si="7"/>
        <v>11600</v>
      </c>
      <c r="C494" s="13">
        <v>-0.45107999999999998</v>
      </c>
      <c r="D494" s="13">
        <v>-0.27166000000000001</v>
      </c>
      <c r="E494" s="13">
        <v>-0.63048999999999999</v>
      </c>
    </row>
    <row r="495" spans="1:5" x14ac:dyDescent="0.2">
      <c r="A495">
        <v>11656</v>
      </c>
      <c r="B495">
        <f t="shared" si="7"/>
        <v>11700</v>
      </c>
      <c r="C495" s="13">
        <v>-0.43661</v>
      </c>
      <c r="D495" s="13">
        <v>-0.25327</v>
      </c>
      <c r="E495" s="13">
        <v>-0.61995</v>
      </c>
    </row>
    <row r="496" spans="1:5" x14ac:dyDescent="0.2">
      <c r="A496">
        <v>11666</v>
      </c>
      <c r="B496">
        <f t="shared" si="7"/>
        <v>11700</v>
      </c>
      <c r="C496" s="13">
        <v>-0.42101</v>
      </c>
      <c r="D496" s="13">
        <v>-0.23355000000000001</v>
      </c>
      <c r="E496" s="13">
        <v>-0.60846999999999996</v>
      </c>
    </row>
    <row r="497" spans="1:5" x14ac:dyDescent="0.2">
      <c r="A497">
        <v>11676</v>
      </c>
      <c r="B497">
        <f t="shared" si="7"/>
        <v>11700</v>
      </c>
      <c r="C497" s="13">
        <v>-0.40440999999999999</v>
      </c>
      <c r="D497" s="13">
        <v>-0.21257000000000001</v>
      </c>
      <c r="E497" s="13">
        <v>-0.59623999999999999</v>
      </c>
    </row>
    <row r="498" spans="1:5" x14ac:dyDescent="0.2">
      <c r="A498">
        <v>11686</v>
      </c>
      <c r="B498">
        <f t="shared" si="7"/>
        <v>11700</v>
      </c>
      <c r="C498" s="13">
        <v>-0.38691999999999999</v>
      </c>
      <c r="D498" s="13">
        <v>-0.19039</v>
      </c>
      <c r="E498" s="13">
        <v>-0.58345000000000002</v>
      </c>
    </row>
    <row r="499" spans="1:5" x14ac:dyDescent="0.2">
      <c r="A499">
        <v>11696</v>
      </c>
      <c r="B499">
        <f t="shared" si="7"/>
        <v>11700</v>
      </c>
      <c r="C499" s="13">
        <v>-0.36868000000000001</v>
      </c>
      <c r="D499" s="13">
        <v>-0.16708000000000001</v>
      </c>
      <c r="E499" s="13">
        <v>-0.57027000000000005</v>
      </c>
    </row>
    <row r="500" spans="1:5" x14ac:dyDescent="0.2">
      <c r="A500">
        <v>11706</v>
      </c>
      <c r="B500">
        <f t="shared" si="7"/>
        <v>11700</v>
      </c>
      <c r="C500" s="13">
        <v>-0.3498</v>
      </c>
      <c r="D500" s="13">
        <v>-0.14274000000000001</v>
      </c>
      <c r="E500" s="13">
        <v>-0.55686000000000002</v>
      </c>
    </row>
    <row r="501" spans="1:5" x14ac:dyDescent="0.2">
      <c r="A501">
        <v>11717</v>
      </c>
      <c r="B501">
        <f t="shared" si="7"/>
        <v>11700</v>
      </c>
      <c r="C501" s="13">
        <v>-0.33040999999999998</v>
      </c>
      <c r="D501" s="13">
        <v>-0.11748</v>
      </c>
      <c r="E501" s="13">
        <v>-0.54334000000000005</v>
      </c>
    </row>
    <row r="502" spans="1:5" x14ac:dyDescent="0.2">
      <c r="A502">
        <v>11727</v>
      </c>
      <c r="B502">
        <f t="shared" si="7"/>
        <v>11700</v>
      </c>
      <c r="C502" s="13">
        <v>-0.31063000000000002</v>
      </c>
      <c r="D502" s="13">
        <v>-9.1437000000000004E-2</v>
      </c>
      <c r="E502" s="13">
        <v>-0.52981999999999996</v>
      </c>
    </row>
    <row r="503" spans="1:5" x14ac:dyDescent="0.2">
      <c r="A503">
        <v>11737</v>
      </c>
      <c r="B503">
        <f t="shared" si="7"/>
        <v>11700</v>
      </c>
      <c r="C503" s="13">
        <v>-0.29059000000000001</v>
      </c>
      <c r="D503" s="13">
        <v>-6.4787999999999998E-2</v>
      </c>
      <c r="E503" s="13">
        <v>-0.51639000000000002</v>
      </c>
    </row>
    <row r="504" spans="1:5" x14ac:dyDescent="0.2">
      <c r="A504">
        <v>11747</v>
      </c>
      <c r="B504">
        <f t="shared" si="7"/>
        <v>11700</v>
      </c>
      <c r="C504" s="13">
        <v>-0.27040999999999998</v>
      </c>
      <c r="D504" s="13">
        <v>-3.7720999999999998E-2</v>
      </c>
      <c r="E504" s="13">
        <v>-0.50309000000000004</v>
      </c>
    </row>
    <row r="505" spans="1:5" x14ac:dyDescent="0.2">
      <c r="A505">
        <v>11757</v>
      </c>
      <c r="B505">
        <f t="shared" si="7"/>
        <v>11800</v>
      </c>
      <c r="C505" s="13">
        <v>-0.25020999999999999</v>
      </c>
      <c r="D505" s="13">
        <v>-1.0451E-2</v>
      </c>
      <c r="E505" s="13">
        <v>-0.48997000000000002</v>
      </c>
    </row>
    <row r="506" spans="1:5" x14ac:dyDescent="0.2">
      <c r="A506">
        <v>11767</v>
      </c>
      <c r="B506">
        <f t="shared" si="7"/>
        <v>11800</v>
      </c>
      <c r="C506" s="13">
        <v>-0.23011999999999999</v>
      </c>
      <c r="D506" s="13">
        <v>1.6791E-2</v>
      </c>
      <c r="E506" s="13">
        <v>-0.47703000000000001</v>
      </c>
    </row>
    <row r="507" spans="1:5" x14ac:dyDescent="0.2">
      <c r="A507">
        <v>11777</v>
      </c>
      <c r="B507">
        <f t="shared" si="7"/>
        <v>11800</v>
      </c>
      <c r="C507" s="13">
        <v>-0.21026</v>
      </c>
      <c r="D507" s="13">
        <v>4.3757999999999998E-2</v>
      </c>
      <c r="E507" s="13">
        <v>-0.46428000000000003</v>
      </c>
    </row>
    <row r="508" spans="1:5" x14ac:dyDescent="0.2">
      <c r="A508">
        <v>11787</v>
      </c>
      <c r="B508">
        <f t="shared" si="7"/>
        <v>11800</v>
      </c>
      <c r="C508" s="13">
        <v>-0.19076000000000001</v>
      </c>
      <c r="D508" s="13">
        <v>7.0194999999999994E-2</v>
      </c>
      <c r="E508" s="13">
        <v>-0.45171</v>
      </c>
    </row>
    <row r="509" spans="1:5" x14ac:dyDescent="0.2">
      <c r="A509">
        <v>11797</v>
      </c>
      <c r="B509">
        <f t="shared" si="7"/>
        <v>11800</v>
      </c>
      <c r="C509" s="13">
        <v>-0.17172999999999999</v>
      </c>
      <c r="D509" s="13">
        <v>9.5837000000000006E-2</v>
      </c>
      <c r="E509" s="13">
        <v>-0.43930000000000002</v>
      </c>
    </row>
    <row r="510" spans="1:5" x14ac:dyDescent="0.2">
      <c r="A510">
        <v>11807</v>
      </c>
      <c r="B510">
        <f t="shared" si="7"/>
        <v>11800</v>
      </c>
      <c r="C510" s="13">
        <v>-0.15331</v>
      </c>
      <c r="D510" s="13">
        <v>0.12042</v>
      </c>
      <c r="E510" s="13">
        <v>-0.42703000000000002</v>
      </c>
    </row>
    <row r="511" spans="1:5" x14ac:dyDescent="0.2">
      <c r="A511">
        <v>11817</v>
      </c>
      <c r="B511">
        <f t="shared" si="7"/>
        <v>11800</v>
      </c>
      <c r="C511" s="13">
        <v>-0.13561000000000001</v>
      </c>
      <c r="D511" s="13">
        <v>0.14366000000000001</v>
      </c>
      <c r="E511" s="13">
        <v>-0.41488000000000003</v>
      </c>
    </row>
    <row r="512" spans="1:5" x14ac:dyDescent="0.2">
      <c r="A512">
        <v>11827</v>
      </c>
      <c r="B512">
        <f t="shared" si="7"/>
        <v>11800</v>
      </c>
      <c r="C512" s="13">
        <v>-0.11876</v>
      </c>
      <c r="D512" s="13">
        <v>0.16531000000000001</v>
      </c>
      <c r="E512" s="13">
        <v>-0.40283000000000002</v>
      </c>
    </row>
    <row r="513" spans="1:5" x14ac:dyDescent="0.2">
      <c r="A513">
        <v>11837</v>
      </c>
      <c r="B513">
        <f t="shared" si="7"/>
        <v>11800</v>
      </c>
      <c r="C513" s="13">
        <v>-0.10289</v>
      </c>
      <c r="D513" s="13">
        <v>0.18509</v>
      </c>
      <c r="E513" s="13">
        <v>-0.39085999999999999</v>
      </c>
    </row>
    <row r="514" spans="1:5" x14ac:dyDescent="0.2">
      <c r="A514">
        <v>11847</v>
      </c>
      <c r="B514">
        <f t="shared" si="7"/>
        <v>11800</v>
      </c>
      <c r="C514" s="13">
        <v>-8.8108000000000006E-2</v>
      </c>
      <c r="D514" s="13">
        <v>0.20275000000000001</v>
      </c>
      <c r="E514" s="13">
        <v>-0.37896000000000002</v>
      </c>
    </row>
    <row r="515" spans="1:5" x14ac:dyDescent="0.2">
      <c r="A515">
        <v>11858</v>
      </c>
      <c r="B515">
        <f t="shared" si="7"/>
        <v>11900</v>
      </c>
      <c r="C515" s="13">
        <v>-7.4551999999999993E-2</v>
      </c>
      <c r="D515" s="13">
        <v>0.21803</v>
      </c>
      <c r="E515" s="13">
        <v>-0.36713000000000001</v>
      </c>
    </row>
    <row r="516" spans="1:5" x14ac:dyDescent="0.2">
      <c r="A516">
        <v>11868</v>
      </c>
      <c r="B516">
        <f t="shared" ref="B516:B579" si="8">MROUND(A516,100)</f>
        <v>11900</v>
      </c>
      <c r="C516" s="13">
        <v>-6.2338999999999999E-2</v>
      </c>
      <c r="D516" s="13">
        <v>0.23069999999999999</v>
      </c>
      <c r="E516" s="13">
        <v>-0.35537999999999997</v>
      </c>
    </row>
    <row r="517" spans="1:5" x14ac:dyDescent="0.2">
      <c r="A517">
        <v>11878</v>
      </c>
      <c r="B517">
        <f t="shared" si="8"/>
        <v>11900</v>
      </c>
      <c r="C517" s="13">
        <v>-5.1555999999999998E-2</v>
      </c>
      <c r="D517" s="13">
        <v>0.24066000000000001</v>
      </c>
      <c r="E517" s="13">
        <v>-0.34377000000000002</v>
      </c>
    </row>
    <row r="518" spans="1:5" x14ac:dyDescent="0.2">
      <c r="A518">
        <v>11888</v>
      </c>
      <c r="B518">
        <f t="shared" si="8"/>
        <v>11900</v>
      </c>
      <c r="C518" s="13">
        <v>-4.2204999999999999E-2</v>
      </c>
      <c r="D518" s="13">
        <v>0.24801999999999999</v>
      </c>
      <c r="E518" s="13">
        <v>-0.33243</v>
      </c>
    </row>
    <row r="519" spans="1:5" x14ac:dyDescent="0.2">
      <c r="A519">
        <v>11898</v>
      </c>
      <c r="B519">
        <f t="shared" si="8"/>
        <v>11900</v>
      </c>
      <c r="C519" s="13">
        <v>-3.4282E-2</v>
      </c>
      <c r="D519" s="13">
        <v>0.25296000000000002</v>
      </c>
      <c r="E519" s="13">
        <v>-0.32151999999999997</v>
      </c>
    </row>
    <row r="520" spans="1:5" x14ac:dyDescent="0.2">
      <c r="A520">
        <v>11908</v>
      </c>
      <c r="B520">
        <f t="shared" si="8"/>
        <v>11900</v>
      </c>
      <c r="C520" s="13">
        <v>-2.7782000000000001E-2</v>
      </c>
      <c r="D520" s="13">
        <v>0.25563999999999998</v>
      </c>
      <c r="E520" s="13">
        <v>-0.31120999999999999</v>
      </c>
    </row>
    <row r="521" spans="1:5" x14ac:dyDescent="0.2">
      <c r="A521">
        <v>11918</v>
      </c>
      <c r="B521">
        <f t="shared" si="8"/>
        <v>11900</v>
      </c>
      <c r="C521" s="13">
        <v>-2.2700999999999999E-2</v>
      </c>
      <c r="D521" s="13">
        <v>0.25624999999999998</v>
      </c>
      <c r="E521" s="13">
        <v>-0.30164999999999997</v>
      </c>
    </row>
    <row r="522" spans="1:5" x14ac:dyDescent="0.2">
      <c r="A522">
        <v>11928</v>
      </c>
      <c r="B522">
        <f t="shared" si="8"/>
        <v>11900</v>
      </c>
      <c r="C522" s="13">
        <v>-1.9033000000000001E-2</v>
      </c>
      <c r="D522" s="13">
        <v>0.25496000000000002</v>
      </c>
      <c r="E522" s="13">
        <v>-0.29303000000000001</v>
      </c>
    </row>
    <row r="523" spans="1:5" x14ac:dyDescent="0.2">
      <c r="A523">
        <v>11938</v>
      </c>
      <c r="B523">
        <f t="shared" si="8"/>
        <v>11900</v>
      </c>
      <c r="C523" s="13">
        <v>-1.6773E-2</v>
      </c>
      <c r="D523" s="13">
        <v>0.25196000000000002</v>
      </c>
      <c r="E523" s="13">
        <v>-0.28550999999999999</v>
      </c>
    </row>
    <row r="524" spans="1:5" x14ac:dyDescent="0.2">
      <c r="A524">
        <v>11948</v>
      </c>
      <c r="B524">
        <f t="shared" si="8"/>
        <v>11900</v>
      </c>
      <c r="C524" s="13">
        <v>-1.5917000000000001E-2</v>
      </c>
      <c r="D524" s="13">
        <v>0.24740999999999999</v>
      </c>
      <c r="E524" s="13">
        <v>-0.27925</v>
      </c>
    </row>
    <row r="525" spans="1:5" x14ac:dyDescent="0.2">
      <c r="A525">
        <v>11958</v>
      </c>
      <c r="B525">
        <f t="shared" si="8"/>
        <v>12000</v>
      </c>
      <c r="C525" s="13">
        <v>-1.6459999999999999E-2</v>
      </c>
      <c r="D525" s="13">
        <v>0.24149000000000001</v>
      </c>
      <c r="E525" s="13">
        <v>-0.27440999999999999</v>
      </c>
    </row>
    <row r="526" spans="1:5" x14ac:dyDescent="0.2">
      <c r="A526">
        <v>11968</v>
      </c>
      <c r="B526">
        <f t="shared" si="8"/>
        <v>12000</v>
      </c>
      <c r="C526" s="13">
        <v>-1.8395000000000002E-2</v>
      </c>
      <c r="D526" s="13">
        <v>0.23433000000000001</v>
      </c>
      <c r="E526" s="13">
        <v>-0.27112000000000003</v>
      </c>
    </row>
    <row r="527" spans="1:5" x14ac:dyDescent="0.2">
      <c r="A527">
        <v>11978</v>
      </c>
      <c r="B527">
        <f t="shared" si="8"/>
        <v>12000</v>
      </c>
      <c r="C527" s="13">
        <v>-2.172E-2</v>
      </c>
      <c r="D527" s="13">
        <v>0.22608</v>
      </c>
      <c r="E527" s="13">
        <v>-0.26951999999999998</v>
      </c>
    </row>
    <row r="528" spans="1:5" x14ac:dyDescent="0.2">
      <c r="A528">
        <v>11989</v>
      </c>
      <c r="B528">
        <f t="shared" si="8"/>
        <v>12000</v>
      </c>
      <c r="C528" s="13">
        <v>-2.6428E-2</v>
      </c>
      <c r="D528" s="13">
        <v>0.21684</v>
      </c>
      <c r="E528" s="13">
        <v>-0.26968999999999999</v>
      </c>
    </row>
    <row r="529" spans="1:5" x14ac:dyDescent="0.2">
      <c r="A529">
        <v>11999</v>
      </c>
      <c r="B529">
        <f t="shared" si="8"/>
        <v>12000</v>
      </c>
      <c r="C529" s="13">
        <v>-3.2516000000000003E-2</v>
      </c>
      <c r="D529" s="13">
        <v>0.20668</v>
      </c>
      <c r="E529" s="13">
        <v>-0.27171000000000001</v>
      </c>
    </row>
    <row r="530" spans="1:5" x14ac:dyDescent="0.2">
      <c r="A530">
        <v>12009</v>
      </c>
      <c r="B530">
        <f t="shared" si="8"/>
        <v>12000</v>
      </c>
      <c r="C530" s="13">
        <v>-3.9976999999999999E-2</v>
      </c>
      <c r="D530" s="13">
        <v>0.19564000000000001</v>
      </c>
      <c r="E530" s="13">
        <v>-0.27560000000000001</v>
      </c>
    </row>
    <row r="531" spans="1:5" x14ac:dyDescent="0.2">
      <c r="A531">
        <v>12019</v>
      </c>
      <c r="B531">
        <f t="shared" si="8"/>
        <v>12000</v>
      </c>
      <c r="C531" s="13">
        <v>-4.8807000000000003E-2</v>
      </c>
      <c r="D531" s="13">
        <v>0.18373999999999999</v>
      </c>
      <c r="E531" s="13">
        <v>-0.28136</v>
      </c>
    </row>
    <row r="532" spans="1:5" x14ac:dyDescent="0.2">
      <c r="A532">
        <v>12029</v>
      </c>
      <c r="B532">
        <f t="shared" si="8"/>
        <v>12000</v>
      </c>
      <c r="C532" s="13">
        <v>-5.9000999999999998E-2</v>
      </c>
      <c r="D532" s="13">
        <v>0.17094999999999999</v>
      </c>
      <c r="E532" s="13">
        <v>-0.28894999999999998</v>
      </c>
    </row>
    <row r="533" spans="1:5" x14ac:dyDescent="0.2">
      <c r="A533">
        <v>12039</v>
      </c>
      <c r="B533">
        <f t="shared" si="8"/>
        <v>12000</v>
      </c>
      <c r="C533" s="13">
        <v>-7.0554000000000006E-2</v>
      </c>
      <c r="D533" s="13">
        <v>0.15720000000000001</v>
      </c>
      <c r="E533" s="13">
        <v>-0.29831000000000002</v>
      </c>
    </row>
    <row r="534" spans="1:5" x14ac:dyDescent="0.2">
      <c r="A534">
        <v>12049</v>
      </c>
      <c r="B534">
        <f t="shared" si="8"/>
        <v>12000</v>
      </c>
      <c r="C534" s="13">
        <v>-8.3460999999999994E-2</v>
      </c>
      <c r="D534" s="13">
        <v>0.14241000000000001</v>
      </c>
      <c r="E534" s="13">
        <v>-0.30932999999999999</v>
      </c>
    </row>
    <row r="535" spans="1:5" x14ac:dyDescent="0.2">
      <c r="A535">
        <v>12059</v>
      </c>
      <c r="B535">
        <f t="shared" si="8"/>
        <v>12100</v>
      </c>
      <c r="C535" s="13">
        <v>-9.7717999999999999E-2</v>
      </c>
      <c r="D535" s="13">
        <v>0.12645000000000001</v>
      </c>
      <c r="E535" s="13">
        <v>-0.32189000000000001</v>
      </c>
    </row>
    <row r="536" spans="1:5" x14ac:dyDescent="0.2">
      <c r="A536">
        <v>12069</v>
      </c>
      <c r="B536">
        <f t="shared" si="8"/>
        <v>12100</v>
      </c>
      <c r="C536" s="13">
        <v>-0.11332</v>
      </c>
      <c r="D536" s="13">
        <v>0.10921</v>
      </c>
      <c r="E536" s="13">
        <v>-0.33584999999999998</v>
      </c>
    </row>
    <row r="537" spans="1:5" x14ac:dyDescent="0.2">
      <c r="A537">
        <v>12079</v>
      </c>
      <c r="B537">
        <f t="shared" si="8"/>
        <v>12100</v>
      </c>
      <c r="C537" s="13">
        <v>-0.13025999999999999</v>
      </c>
      <c r="D537" s="13">
        <v>9.0553999999999996E-2</v>
      </c>
      <c r="E537" s="13">
        <v>-0.35106999999999999</v>
      </c>
    </row>
    <row r="538" spans="1:5" x14ac:dyDescent="0.2">
      <c r="A538">
        <v>12089</v>
      </c>
      <c r="B538">
        <f t="shared" si="8"/>
        <v>12100</v>
      </c>
      <c r="C538" s="13">
        <v>-0.14853</v>
      </c>
      <c r="D538" s="13">
        <v>7.0349999999999996E-2</v>
      </c>
      <c r="E538" s="13">
        <v>-0.36742000000000002</v>
      </c>
    </row>
    <row r="539" spans="1:5" x14ac:dyDescent="0.2">
      <c r="A539">
        <v>12099</v>
      </c>
      <c r="B539">
        <f t="shared" si="8"/>
        <v>12100</v>
      </c>
      <c r="C539" s="13">
        <v>-0.1681</v>
      </c>
      <c r="D539" s="13">
        <v>4.8556000000000002E-2</v>
      </c>
      <c r="E539" s="13">
        <v>-0.38475999999999999</v>
      </c>
    </row>
    <row r="540" spans="1:5" x14ac:dyDescent="0.2">
      <c r="A540">
        <v>12109</v>
      </c>
      <c r="B540">
        <f t="shared" si="8"/>
        <v>12100</v>
      </c>
      <c r="C540" s="13">
        <v>-0.18886</v>
      </c>
      <c r="D540" s="13">
        <v>2.5257999999999999E-2</v>
      </c>
      <c r="E540" s="13">
        <v>-0.40296999999999999</v>
      </c>
    </row>
    <row r="541" spans="1:5" x14ac:dyDescent="0.2">
      <c r="A541">
        <v>12119</v>
      </c>
      <c r="B541">
        <f t="shared" si="8"/>
        <v>12100</v>
      </c>
      <c r="C541" s="13">
        <v>-0.2107</v>
      </c>
      <c r="D541" s="13">
        <v>5.8878000000000001E-4</v>
      </c>
      <c r="E541" s="13">
        <v>-0.42198999999999998</v>
      </c>
    </row>
    <row r="542" spans="1:5" x14ac:dyDescent="0.2">
      <c r="A542">
        <v>12130</v>
      </c>
      <c r="B542">
        <f t="shared" si="8"/>
        <v>12100</v>
      </c>
      <c r="C542" s="13">
        <v>-0.23352000000000001</v>
      </c>
      <c r="D542" s="13">
        <v>-2.5295000000000002E-2</v>
      </c>
      <c r="E542" s="13">
        <v>-0.44174999999999998</v>
      </c>
    </row>
    <row r="543" spans="1:5" x14ac:dyDescent="0.2">
      <c r="A543">
        <v>12140</v>
      </c>
      <c r="B543">
        <f t="shared" si="8"/>
        <v>12100</v>
      </c>
      <c r="C543" s="13">
        <v>-0.25722</v>
      </c>
      <c r="D543" s="13">
        <v>-5.2214999999999998E-2</v>
      </c>
      <c r="E543" s="13">
        <v>-0.46222000000000002</v>
      </c>
    </row>
    <row r="544" spans="1:5" x14ac:dyDescent="0.2">
      <c r="A544">
        <v>12150</v>
      </c>
      <c r="B544">
        <f t="shared" si="8"/>
        <v>12200</v>
      </c>
      <c r="C544" s="13">
        <v>-0.28167999999999999</v>
      </c>
      <c r="D544" s="13">
        <v>-7.9980999999999997E-2</v>
      </c>
      <c r="E544" s="13">
        <v>-0.48337999999999998</v>
      </c>
    </row>
    <row r="545" spans="1:5" x14ac:dyDescent="0.2">
      <c r="A545">
        <v>12160</v>
      </c>
      <c r="B545">
        <f t="shared" si="8"/>
        <v>12200</v>
      </c>
      <c r="C545" s="13">
        <v>-0.30681000000000003</v>
      </c>
      <c r="D545" s="13">
        <v>-0.10839</v>
      </c>
      <c r="E545" s="13">
        <v>-0.50522</v>
      </c>
    </row>
    <row r="546" spans="1:5" x14ac:dyDescent="0.2">
      <c r="A546">
        <v>12170</v>
      </c>
      <c r="B546">
        <f t="shared" si="8"/>
        <v>12200</v>
      </c>
      <c r="C546" s="13">
        <v>-0.33248</v>
      </c>
      <c r="D546" s="13">
        <v>-0.13725000000000001</v>
      </c>
      <c r="E546" s="13">
        <v>-0.52771999999999997</v>
      </c>
    </row>
    <row r="547" spans="1:5" x14ac:dyDescent="0.2">
      <c r="A547">
        <v>12180</v>
      </c>
      <c r="B547">
        <f t="shared" si="8"/>
        <v>12200</v>
      </c>
      <c r="C547" s="13">
        <v>-0.35860999999999998</v>
      </c>
      <c r="D547" s="13">
        <v>-0.16635</v>
      </c>
      <c r="E547" s="13">
        <v>-0.55088000000000004</v>
      </c>
    </row>
    <row r="548" spans="1:5" x14ac:dyDescent="0.2">
      <c r="A548">
        <v>12190</v>
      </c>
      <c r="B548">
        <f t="shared" si="8"/>
        <v>12200</v>
      </c>
      <c r="C548" s="13">
        <v>-0.38507999999999998</v>
      </c>
      <c r="D548" s="13">
        <v>-0.19550000000000001</v>
      </c>
      <c r="E548" s="13">
        <v>-0.57465999999999995</v>
      </c>
    </row>
    <row r="549" spans="1:5" x14ac:dyDescent="0.2">
      <c r="A549">
        <v>12200</v>
      </c>
      <c r="B549">
        <f t="shared" si="8"/>
        <v>12200</v>
      </c>
      <c r="C549" s="13">
        <v>-0.41178999999999999</v>
      </c>
      <c r="D549" s="13">
        <v>-0.22455</v>
      </c>
      <c r="E549" s="13">
        <v>-0.59902999999999995</v>
      </c>
    </row>
    <row r="550" spans="1:5" x14ac:dyDescent="0.2">
      <c r="A550">
        <v>12210</v>
      </c>
      <c r="B550">
        <f t="shared" si="8"/>
        <v>12200</v>
      </c>
      <c r="C550" s="13">
        <v>-0.43863000000000002</v>
      </c>
      <c r="D550" s="13">
        <v>-0.25331999999999999</v>
      </c>
      <c r="E550" s="13">
        <v>-0.62392999999999998</v>
      </c>
    </row>
    <row r="551" spans="1:5" x14ac:dyDescent="0.2">
      <c r="A551">
        <v>12220</v>
      </c>
      <c r="B551">
        <f t="shared" si="8"/>
        <v>12200</v>
      </c>
      <c r="C551" s="13">
        <v>-0.46549000000000001</v>
      </c>
      <c r="D551" s="13">
        <v>-0.28170000000000001</v>
      </c>
      <c r="E551" s="13">
        <v>-0.64927999999999997</v>
      </c>
    </row>
    <row r="552" spans="1:5" x14ac:dyDescent="0.2">
      <c r="A552">
        <v>12230</v>
      </c>
      <c r="B552">
        <f t="shared" si="8"/>
        <v>12200</v>
      </c>
      <c r="C552" s="13">
        <v>-0.49226999999999999</v>
      </c>
      <c r="D552" s="13">
        <v>-0.30958999999999998</v>
      </c>
      <c r="E552" s="13">
        <v>-0.67495000000000005</v>
      </c>
    </row>
    <row r="553" spans="1:5" x14ac:dyDescent="0.2">
      <c r="A553">
        <v>12240</v>
      </c>
      <c r="B553">
        <f t="shared" si="8"/>
        <v>12200</v>
      </c>
      <c r="C553" s="13">
        <v>-0.51887000000000005</v>
      </c>
      <c r="D553" s="13">
        <v>-0.33690999999999999</v>
      </c>
      <c r="E553" s="13">
        <v>-0.70082</v>
      </c>
    </row>
    <row r="554" spans="1:5" x14ac:dyDescent="0.2">
      <c r="A554">
        <v>12250</v>
      </c>
      <c r="B554">
        <f t="shared" si="8"/>
        <v>12300</v>
      </c>
      <c r="C554" s="13">
        <v>-0.54517000000000004</v>
      </c>
      <c r="D554" s="13">
        <v>-0.36362</v>
      </c>
      <c r="E554" s="13">
        <v>-0.72670999999999997</v>
      </c>
    </row>
    <row r="555" spans="1:5" x14ac:dyDescent="0.2">
      <c r="A555">
        <v>12261</v>
      </c>
      <c r="B555">
        <f t="shared" si="8"/>
        <v>12300</v>
      </c>
      <c r="C555" s="13">
        <v>-0.57106999999999997</v>
      </c>
      <c r="D555" s="13">
        <v>-0.38969999999999999</v>
      </c>
      <c r="E555" s="13">
        <v>-0.75244</v>
      </c>
    </row>
    <row r="556" spans="1:5" x14ac:dyDescent="0.2">
      <c r="A556">
        <v>12271</v>
      </c>
      <c r="B556">
        <f t="shared" si="8"/>
        <v>12300</v>
      </c>
      <c r="C556" s="13">
        <v>-0.59645999999999999</v>
      </c>
      <c r="D556" s="13">
        <v>-0.41514000000000001</v>
      </c>
      <c r="E556" s="13">
        <v>-0.77778999999999998</v>
      </c>
    </row>
    <row r="557" spans="1:5" x14ac:dyDescent="0.2">
      <c r="A557">
        <v>12281</v>
      </c>
      <c r="B557">
        <f t="shared" si="8"/>
        <v>12300</v>
      </c>
      <c r="C557" s="13">
        <v>-0.62124999999999997</v>
      </c>
      <c r="D557" s="13">
        <v>-0.43995000000000001</v>
      </c>
      <c r="E557" s="13">
        <v>-0.80254000000000003</v>
      </c>
    </row>
    <row r="558" spans="1:5" x14ac:dyDescent="0.2">
      <c r="A558">
        <v>12291</v>
      </c>
      <c r="B558">
        <f t="shared" si="8"/>
        <v>12300</v>
      </c>
      <c r="C558" s="13">
        <v>-0.64531000000000005</v>
      </c>
      <c r="D558" s="13">
        <v>-0.46416000000000002</v>
      </c>
      <c r="E558" s="13">
        <v>-0.82645999999999997</v>
      </c>
    </row>
    <row r="559" spans="1:5" x14ac:dyDescent="0.2">
      <c r="A559">
        <v>12301</v>
      </c>
      <c r="B559">
        <f t="shared" si="8"/>
        <v>12300</v>
      </c>
      <c r="C559" s="13">
        <v>-0.66854999999999998</v>
      </c>
      <c r="D559" s="13">
        <v>-0.48777999999999999</v>
      </c>
      <c r="E559" s="13">
        <v>-0.84931999999999996</v>
      </c>
    </row>
    <row r="560" spans="1:5" x14ac:dyDescent="0.2">
      <c r="A560">
        <v>12311</v>
      </c>
      <c r="B560">
        <f t="shared" si="8"/>
        <v>12300</v>
      </c>
      <c r="C560" s="13">
        <v>-0.69086999999999998</v>
      </c>
      <c r="D560" s="13">
        <v>-0.51083999999999996</v>
      </c>
      <c r="E560" s="13">
        <v>-0.87090000000000001</v>
      </c>
    </row>
    <row r="561" spans="1:5" x14ac:dyDescent="0.2">
      <c r="A561">
        <v>12321</v>
      </c>
      <c r="B561">
        <f t="shared" si="8"/>
        <v>12300</v>
      </c>
      <c r="C561" s="13">
        <v>-0.71226</v>
      </c>
      <c r="D561" s="13">
        <v>-0.53337000000000001</v>
      </c>
      <c r="E561" s="13">
        <v>-0.89115</v>
      </c>
    </row>
    <row r="562" spans="1:5" x14ac:dyDescent="0.2">
      <c r="A562">
        <v>12331</v>
      </c>
      <c r="B562">
        <f t="shared" si="8"/>
        <v>12300</v>
      </c>
      <c r="C562" s="13">
        <v>-0.73285</v>
      </c>
      <c r="D562" s="13">
        <v>-0.55545</v>
      </c>
      <c r="E562" s="13">
        <v>-0.91024000000000005</v>
      </c>
    </row>
    <row r="563" spans="1:5" x14ac:dyDescent="0.2">
      <c r="A563">
        <v>12341</v>
      </c>
      <c r="B563">
        <f t="shared" si="8"/>
        <v>12300</v>
      </c>
      <c r="C563" s="13">
        <v>-0.75273999999999996</v>
      </c>
      <c r="D563" s="13">
        <v>-0.57713000000000003</v>
      </c>
      <c r="E563" s="13">
        <v>-0.92835999999999996</v>
      </c>
    </row>
    <row r="564" spans="1:5" x14ac:dyDescent="0.2">
      <c r="A564">
        <v>12351</v>
      </c>
      <c r="B564">
        <f t="shared" si="8"/>
        <v>12400</v>
      </c>
      <c r="C564" s="13">
        <v>-0.77205999999999997</v>
      </c>
      <c r="D564" s="13">
        <v>-0.59843999999999997</v>
      </c>
      <c r="E564" s="13">
        <v>-0.94567999999999997</v>
      </c>
    </row>
    <row r="565" spans="1:5" x14ac:dyDescent="0.2">
      <c r="A565">
        <v>12361</v>
      </c>
      <c r="B565">
        <f t="shared" si="8"/>
        <v>12400</v>
      </c>
      <c r="C565" s="13">
        <v>-0.79091999999999996</v>
      </c>
      <c r="D565" s="13">
        <v>-0.61941000000000002</v>
      </c>
      <c r="E565" s="13">
        <v>-0.96243000000000001</v>
      </c>
    </row>
    <row r="566" spans="1:5" x14ac:dyDescent="0.2">
      <c r="A566">
        <v>12371</v>
      </c>
      <c r="B566">
        <f t="shared" si="8"/>
        <v>12400</v>
      </c>
      <c r="C566" s="13">
        <v>-0.80944000000000005</v>
      </c>
      <c r="D566" s="13">
        <v>-0.64007000000000003</v>
      </c>
      <c r="E566" s="13">
        <v>-0.97880999999999996</v>
      </c>
    </row>
    <row r="567" spans="1:5" x14ac:dyDescent="0.2">
      <c r="A567">
        <v>12381</v>
      </c>
      <c r="B567">
        <f t="shared" si="8"/>
        <v>12400</v>
      </c>
      <c r="C567" s="13">
        <v>-0.82772999999999997</v>
      </c>
      <c r="D567" s="13">
        <v>-0.66042999999999996</v>
      </c>
      <c r="E567" s="13">
        <v>-0.99502000000000002</v>
      </c>
    </row>
    <row r="568" spans="1:5" x14ac:dyDescent="0.2">
      <c r="A568">
        <v>12391</v>
      </c>
      <c r="B568">
        <f t="shared" si="8"/>
        <v>12400</v>
      </c>
      <c r="C568" s="13">
        <v>-0.84591000000000005</v>
      </c>
      <c r="D568" s="13">
        <v>-0.68054999999999999</v>
      </c>
      <c r="E568" s="13">
        <v>-1.0113000000000001</v>
      </c>
    </row>
    <row r="569" spans="1:5" x14ac:dyDescent="0.2">
      <c r="A569">
        <v>12402</v>
      </c>
      <c r="B569">
        <f t="shared" si="8"/>
        <v>12400</v>
      </c>
      <c r="C569" s="13">
        <v>-0.86409999999999998</v>
      </c>
      <c r="D569" s="13">
        <v>-0.70043999999999995</v>
      </c>
      <c r="E569" s="13">
        <v>-1.0278</v>
      </c>
    </row>
    <row r="570" spans="1:5" x14ac:dyDescent="0.2">
      <c r="A570">
        <v>12412</v>
      </c>
      <c r="B570">
        <f t="shared" si="8"/>
        <v>12400</v>
      </c>
      <c r="C570" s="13">
        <v>-0.88241999999999998</v>
      </c>
      <c r="D570" s="13">
        <v>-0.72016000000000002</v>
      </c>
      <c r="E570" s="13">
        <v>-1.0447</v>
      </c>
    </row>
    <row r="571" spans="1:5" x14ac:dyDescent="0.2">
      <c r="A571">
        <v>12422</v>
      </c>
      <c r="B571">
        <f t="shared" si="8"/>
        <v>12400</v>
      </c>
      <c r="C571" s="13">
        <v>-0.90098</v>
      </c>
      <c r="D571" s="13">
        <v>-0.73978999999999995</v>
      </c>
      <c r="E571" s="13">
        <v>-1.0622</v>
      </c>
    </row>
    <row r="572" spans="1:5" x14ac:dyDescent="0.2">
      <c r="A572">
        <v>12432</v>
      </c>
      <c r="B572">
        <f t="shared" si="8"/>
        <v>12400</v>
      </c>
      <c r="C572" s="13">
        <v>-0.91988999999999999</v>
      </c>
      <c r="D572" s="13">
        <v>-0.75941000000000003</v>
      </c>
      <c r="E572" s="13">
        <v>-1.0804</v>
      </c>
    </row>
    <row r="573" spans="1:5" x14ac:dyDescent="0.2">
      <c r="A573">
        <v>12442</v>
      </c>
      <c r="B573">
        <f t="shared" si="8"/>
        <v>12400</v>
      </c>
      <c r="C573" s="13">
        <v>-0.93928999999999996</v>
      </c>
      <c r="D573" s="13">
        <v>-0.77912000000000003</v>
      </c>
      <c r="E573" s="13">
        <v>-1.0994999999999999</v>
      </c>
    </row>
    <row r="574" spans="1:5" x14ac:dyDescent="0.2">
      <c r="A574">
        <v>12452</v>
      </c>
      <c r="B574">
        <f t="shared" si="8"/>
        <v>12500</v>
      </c>
      <c r="C574" s="13">
        <v>-0.95926999999999996</v>
      </c>
      <c r="D574" s="13">
        <v>-0.79905999999999999</v>
      </c>
      <c r="E574" s="13">
        <v>-1.1194999999999999</v>
      </c>
    </row>
    <row r="575" spans="1:5" x14ac:dyDescent="0.2">
      <c r="A575">
        <v>12462</v>
      </c>
      <c r="B575">
        <f t="shared" si="8"/>
        <v>12500</v>
      </c>
      <c r="C575" s="13">
        <v>-0.97997000000000001</v>
      </c>
      <c r="D575" s="13">
        <v>-0.81937000000000004</v>
      </c>
      <c r="E575" s="13">
        <v>-1.1406000000000001</v>
      </c>
    </row>
    <row r="576" spans="1:5" x14ac:dyDescent="0.2">
      <c r="A576">
        <v>12472</v>
      </c>
      <c r="B576">
        <f t="shared" si="8"/>
        <v>12500</v>
      </c>
      <c r="C576" s="13">
        <v>-1.0015000000000001</v>
      </c>
      <c r="D576" s="13">
        <v>-0.84021999999999997</v>
      </c>
      <c r="E576" s="13">
        <v>-1.1628000000000001</v>
      </c>
    </row>
    <row r="577" spans="1:5" x14ac:dyDescent="0.2">
      <c r="A577">
        <v>12482</v>
      </c>
      <c r="B577">
        <f t="shared" si="8"/>
        <v>12500</v>
      </c>
      <c r="C577" s="13">
        <v>-1.024</v>
      </c>
      <c r="D577" s="13">
        <v>-0.86177999999999999</v>
      </c>
      <c r="E577" s="13">
        <v>-1.1860999999999999</v>
      </c>
    </row>
    <row r="578" spans="1:5" x14ac:dyDescent="0.2">
      <c r="A578">
        <v>12492</v>
      </c>
      <c r="B578">
        <f t="shared" si="8"/>
        <v>12500</v>
      </c>
      <c r="C578" s="13">
        <v>-1.0475000000000001</v>
      </c>
      <c r="D578" s="13">
        <v>-0.88422000000000001</v>
      </c>
      <c r="E578" s="13">
        <v>-1.2107000000000001</v>
      </c>
    </row>
    <row r="579" spans="1:5" x14ac:dyDescent="0.2">
      <c r="A579">
        <v>12502</v>
      </c>
      <c r="B579">
        <f t="shared" si="8"/>
        <v>12500</v>
      </c>
      <c r="C579" s="13">
        <v>-1.0722</v>
      </c>
      <c r="D579" s="13">
        <v>-0.90773000000000004</v>
      </c>
      <c r="E579" s="13">
        <v>-1.2365999999999999</v>
      </c>
    </row>
    <row r="580" spans="1:5" x14ac:dyDescent="0.2">
      <c r="A580">
        <v>12512</v>
      </c>
      <c r="B580">
        <f t="shared" ref="B580:B643" si="9">MROUND(A580,100)</f>
        <v>12500</v>
      </c>
      <c r="C580" s="13">
        <v>-1.0982000000000001</v>
      </c>
      <c r="D580" s="13">
        <v>-0.93249000000000004</v>
      </c>
      <c r="E580" s="13">
        <v>-1.2639</v>
      </c>
    </row>
    <row r="581" spans="1:5" x14ac:dyDescent="0.2">
      <c r="A581">
        <v>12522</v>
      </c>
      <c r="B581">
        <f t="shared" si="9"/>
        <v>12500</v>
      </c>
      <c r="C581" s="13">
        <v>-1.1255999999999999</v>
      </c>
      <c r="D581" s="13">
        <v>-0.95865</v>
      </c>
      <c r="E581" s="13">
        <v>-1.2925</v>
      </c>
    </row>
    <row r="582" spans="1:5" x14ac:dyDescent="0.2">
      <c r="A582">
        <v>12532</v>
      </c>
      <c r="B582">
        <f t="shared" si="9"/>
        <v>12500</v>
      </c>
      <c r="C582" s="13">
        <v>-1.1545000000000001</v>
      </c>
      <c r="D582" s="13">
        <v>-0.98636000000000001</v>
      </c>
      <c r="E582" s="13">
        <v>-1.3226</v>
      </c>
    </row>
    <row r="583" spans="1:5" x14ac:dyDescent="0.2">
      <c r="A583">
        <v>12543</v>
      </c>
      <c r="B583">
        <f t="shared" si="9"/>
        <v>12500</v>
      </c>
      <c r="C583" s="13">
        <v>-1.1849000000000001</v>
      </c>
      <c r="D583" s="13">
        <v>-1.0155000000000001</v>
      </c>
      <c r="E583" s="13">
        <v>-1.3542000000000001</v>
      </c>
    </row>
    <row r="584" spans="1:5" x14ac:dyDescent="0.2">
      <c r="A584">
        <v>12553</v>
      </c>
      <c r="B584">
        <f t="shared" si="9"/>
        <v>12600</v>
      </c>
      <c r="C584" s="13">
        <v>-1.2163999999999999</v>
      </c>
      <c r="D584" s="13">
        <v>-1.0458000000000001</v>
      </c>
      <c r="E584" s="13">
        <v>-1.387</v>
      </c>
    </row>
    <row r="585" spans="1:5" x14ac:dyDescent="0.2">
      <c r="A585">
        <v>12563</v>
      </c>
      <c r="B585">
        <f t="shared" si="9"/>
        <v>12600</v>
      </c>
      <c r="C585" s="13">
        <v>-1.2488999999999999</v>
      </c>
      <c r="D585" s="13">
        <v>-1.0769</v>
      </c>
      <c r="E585" s="13">
        <v>-1.4208000000000001</v>
      </c>
    </row>
    <row r="586" spans="1:5" x14ac:dyDescent="0.2">
      <c r="A586">
        <v>12573</v>
      </c>
      <c r="B586">
        <f t="shared" si="9"/>
        <v>12600</v>
      </c>
      <c r="C586" s="13">
        <v>-1.282</v>
      </c>
      <c r="D586" s="13">
        <v>-1.1086</v>
      </c>
      <c r="E586" s="13">
        <v>-1.4553</v>
      </c>
    </row>
    <row r="587" spans="1:5" x14ac:dyDescent="0.2">
      <c r="A587">
        <v>12583</v>
      </c>
      <c r="B587">
        <f t="shared" si="9"/>
        <v>12600</v>
      </c>
      <c r="C587" s="13">
        <v>-1.3153999999999999</v>
      </c>
      <c r="D587" s="13">
        <v>-1.1404000000000001</v>
      </c>
      <c r="E587" s="13">
        <v>-1.4904999999999999</v>
      </c>
    </row>
    <row r="588" spans="1:5" x14ac:dyDescent="0.2">
      <c r="A588">
        <v>12593</v>
      </c>
      <c r="B588">
        <f t="shared" si="9"/>
        <v>12600</v>
      </c>
      <c r="C588" s="13">
        <v>-1.349</v>
      </c>
      <c r="D588" s="13">
        <v>-1.1720999999999999</v>
      </c>
      <c r="E588" s="13">
        <v>-1.5259</v>
      </c>
    </row>
    <row r="589" spans="1:5" x14ac:dyDescent="0.2">
      <c r="A589">
        <v>12603</v>
      </c>
      <c r="B589">
        <f t="shared" si="9"/>
        <v>12600</v>
      </c>
      <c r="C589" s="13">
        <v>-1.3824000000000001</v>
      </c>
      <c r="D589" s="13">
        <v>-1.2034</v>
      </c>
      <c r="E589" s="13">
        <v>-1.5613999999999999</v>
      </c>
    </row>
    <row r="590" spans="1:5" x14ac:dyDescent="0.2">
      <c r="A590">
        <v>12613</v>
      </c>
      <c r="B590">
        <f t="shared" si="9"/>
        <v>12600</v>
      </c>
      <c r="C590" s="13">
        <v>-1.4154</v>
      </c>
      <c r="D590" s="13">
        <v>-1.234</v>
      </c>
      <c r="E590" s="13">
        <v>-1.5968</v>
      </c>
    </row>
    <row r="591" spans="1:5" x14ac:dyDescent="0.2">
      <c r="A591">
        <v>12623</v>
      </c>
      <c r="B591">
        <f t="shared" si="9"/>
        <v>12600</v>
      </c>
      <c r="C591" s="13">
        <v>-1.4477</v>
      </c>
      <c r="D591" s="13">
        <v>-1.2637</v>
      </c>
      <c r="E591" s="13">
        <v>-1.6315999999999999</v>
      </c>
    </row>
    <row r="592" spans="1:5" x14ac:dyDescent="0.2">
      <c r="A592">
        <v>12633</v>
      </c>
      <c r="B592">
        <f t="shared" si="9"/>
        <v>12600</v>
      </c>
      <c r="C592" s="13">
        <v>-1.4790000000000001</v>
      </c>
      <c r="D592" s="13">
        <v>-1.2923</v>
      </c>
      <c r="E592" s="13">
        <v>-1.6657</v>
      </c>
    </row>
    <row r="593" spans="1:5" x14ac:dyDescent="0.2">
      <c r="A593">
        <v>12643</v>
      </c>
      <c r="B593">
        <f t="shared" si="9"/>
        <v>12600</v>
      </c>
      <c r="C593" s="13">
        <v>-1.5089999999999999</v>
      </c>
      <c r="D593" s="13">
        <v>-1.3194999999999999</v>
      </c>
      <c r="E593" s="13">
        <v>-1.6986000000000001</v>
      </c>
    </row>
    <row r="594" spans="1:5" x14ac:dyDescent="0.2">
      <c r="A594">
        <v>12653</v>
      </c>
      <c r="B594">
        <f t="shared" si="9"/>
        <v>12700</v>
      </c>
      <c r="C594" s="13">
        <v>-1.5376000000000001</v>
      </c>
      <c r="D594" s="13">
        <v>-1.3452</v>
      </c>
      <c r="E594" s="13">
        <v>-1.73</v>
      </c>
    </row>
    <row r="595" spans="1:5" x14ac:dyDescent="0.2">
      <c r="A595">
        <v>12663</v>
      </c>
      <c r="B595">
        <f t="shared" si="9"/>
        <v>12700</v>
      </c>
      <c r="C595" s="13">
        <v>-1.5644</v>
      </c>
      <c r="D595" s="13">
        <v>-1.3691</v>
      </c>
      <c r="E595" s="13">
        <v>-1.7597</v>
      </c>
    </row>
    <row r="596" spans="1:5" x14ac:dyDescent="0.2">
      <c r="A596">
        <v>12674</v>
      </c>
      <c r="B596">
        <f t="shared" si="9"/>
        <v>12700</v>
      </c>
      <c r="C596" s="13">
        <v>-1.5891</v>
      </c>
      <c r="D596" s="13">
        <v>-1.3911</v>
      </c>
      <c r="E596" s="13">
        <v>-1.7870999999999999</v>
      </c>
    </row>
    <row r="597" spans="1:5" x14ac:dyDescent="0.2">
      <c r="A597">
        <v>12684</v>
      </c>
      <c r="B597">
        <f t="shared" si="9"/>
        <v>12700</v>
      </c>
      <c r="C597" s="13">
        <v>-1.6115999999999999</v>
      </c>
      <c r="D597" s="13">
        <v>-1.4111</v>
      </c>
      <c r="E597" s="13">
        <v>-1.8120000000000001</v>
      </c>
    </row>
    <row r="598" spans="1:5" x14ac:dyDescent="0.2">
      <c r="A598">
        <v>12694</v>
      </c>
      <c r="B598">
        <f t="shared" si="9"/>
        <v>12700</v>
      </c>
      <c r="C598" s="13">
        <v>-1.6314</v>
      </c>
      <c r="D598" s="13">
        <v>-1.4289000000000001</v>
      </c>
      <c r="E598" s="13">
        <v>-1.8339000000000001</v>
      </c>
    </row>
    <row r="599" spans="1:5" x14ac:dyDescent="0.2">
      <c r="A599">
        <v>12704</v>
      </c>
      <c r="B599">
        <f t="shared" si="9"/>
        <v>12700</v>
      </c>
      <c r="C599" s="13">
        <v>-1.6484000000000001</v>
      </c>
      <c r="D599" s="13">
        <v>-1.4442999999999999</v>
      </c>
      <c r="E599" s="13">
        <v>-1.8525</v>
      </c>
    </row>
    <row r="600" spans="1:5" x14ac:dyDescent="0.2">
      <c r="A600">
        <v>12714</v>
      </c>
      <c r="B600">
        <f t="shared" si="9"/>
        <v>12700</v>
      </c>
      <c r="C600" s="13">
        <v>-1.6623000000000001</v>
      </c>
      <c r="D600" s="13">
        <v>-1.4571000000000001</v>
      </c>
      <c r="E600" s="13">
        <v>-1.8673999999999999</v>
      </c>
    </row>
    <row r="601" spans="1:5" x14ac:dyDescent="0.2">
      <c r="A601">
        <v>12724</v>
      </c>
      <c r="B601">
        <f t="shared" si="9"/>
        <v>12700</v>
      </c>
      <c r="C601" s="13">
        <v>-1.6727000000000001</v>
      </c>
      <c r="D601" s="13">
        <v>-1.4672000000000001</v>
      </c>
      <c r="E601" s="13">
        <v>-1.8783000000000001</v>
      </c>
    </row>
    <row r="602" spans="1:5" x14ac:dyDescent="0.2">
      <c r="A602">
        <v>12734</v>
      </c>
      <c r="B602">
        <f t="shared" si="9"/>
        <v>12700</v>
      </c>
      <c r="C602" s="13">
        <v>-1.6796</v>
      </c>
      <c r="D602" s="13">
        <v>-1.4743999999999999</v>
      </c>
      <c r="E602" s="13">
        <v>-1.8847</v>
      </c>
    </row>
    <row r="603" spans="1:5" x14ac:dyDescent="0.2">
      <c r="A603">
        <v>12744</v>
      </c>
      <c r="B603">
        <f t="shared" si="9"/>
        <v>12700</v>
      </c>
      <c r="C603" s="13">
        <v>-1.6825000000000001</v>
      </c>
      <c r="D603" s="13">
        <v>-1.4784999999999999</v>
      </c>
      <c r="E603" s="13">
        <v>-1.8865000000000001</v>
      </c>
    </row>
    <row r="604" spans="1:5" x14ac:dyDescent="0.2">
      <c r="A604">
        <v>12754</v>
      </c>
      <c r="B604">
        <f t="shared" si="9"/>
        <v>12800</v>
      </c>
      <c r="C604" s="13">
        <v>-1.6812</v>
      </c>
      <c r="D604" s="13">
        <v>-1.4793000000000001</v>
      </c>
      <c r="E604" s="13">
        <v>-1.8832</v>
      </c>
    </row>
    <row r="605" spans="1:5" x14ac:dyDescent="0.2">
      <c r="A605">
        <v>12764</v>
      </c>
      <c r="B605">
        <f t="shared" si="9"/>
        <v>12800</v>
      </c>
      <c r="C605" s="13">
        <v>-1.6759999999999999</v>
      </c>
      <c r="D605" s="13">
        <v>-1.4766999999999999</v>
      </c>
      <c r="E605" s="13">
        <v>-1.8752</v>
      </c>
    </row>
    <row r="606" spans="1:5" x14ac:dyDescent="0.2">
      <c r="A606">
        <v>12774</v>
      </c>
      <c r="B606">
        <f t="shared" si="9"/>
        <v>12800</v>
      </c>
      <c r="C606" s="13">
        <v>-1.667</v>
      </c>
      <c r="D606" s="13">
        <v>-1.4711000000000001</v>
      </c>
      <c r="E606" s="13">
        <v>-1.8629</v>
      </c>
    </row>
    <row r="607" spans="1:5" x14ac:dyDescent="0.2">
      <c r="A607">
        <v>12784</v>
      </c>
      <c r="B607">
        <f t="shared" si="9"/>
        <v>12800</v>
      </c>
      <c r="C607" s="13">
        <v>-1.6548</v>
      </c>
      <c r="D607" s="13">
        <v>-1.4624999999999999</v>
      </c>
      <c r="E607" s="13">
        <v>-1.847</v>
      </c>
    </row>
    <row r="608" spans="1:5" x14ac:dyDescent="0.2">
      <c r="A608">
        <v>12794</v>
      </c>
      <c r="B608">
        <f t="shared" si="9"/>
        <v>12800</v>
      </c>
      <c r="C608" s="13">
        <v>-1.6395</v>
      </c>
      <c r="D608" s="13">
        <v>-1.4511000000000001</v>
      </c>
      <c r="E608" s="13">
        <v>-1.8280000000000001</v>
      </c>
    </row>
    <row r="609" spans="1:5" x14ac:dyDescent="0.2">
      <c r="A609">
        <v>12804</v>
      </c>
      <c r="B609">
        <f t="shared" si="9"/>
        <v>12800</v>
      </c>
      <c r="C609" s="13">
        <v>-1.6216999999999999</v>
      </c>
      <c r="D609" s="13">
        <v>-1.4369000000000001</v>
      </c>
      <c r="E609" s="13">
        <v>-1.8065</v>
      </c>
    </row>
    <row r="610" spans="1:5" x14ac:dyDescent="0.2">
      <c r="A610">
        <v>12815</v>
      </c>
      <c r="B610">
        <f t="shared" si="9"/>
        <v>12800</v>
      </c>
      <c r="C610" s="13">
        <v>-1.6015999999999999</v>
      </c>
      <c r="D610" s="13">
        <v>-1.4201999999999999</v>
      </c>
      <c r="E610" s="13">
        <v>-1.7829999999999999</v>
      </c>
    </row>
    <row r="611" spans="1:5" x14ac:dyDescent="0.2">
      <c r="A611">
        <v>12825</v>
      </c>
      <c r="B611">
        <f t="shared" si="9"/>
        <v>12800</v>
      </c>
      <c r="C611" s="13">
        <v>-1.5795999999999999</v>
      </c>
      <c r="D611" s="13">
        <v>-1.4011</v>
      </c>
      <c r="E611" s="13">
        <v>-1.7581</v>
      </c>
    </row>
    <row r="612" spans="1:5" x14ac:dyDescent="0.2">
      <c r="A612">
        <v>12835</v>
      </c>
      <c r="B612">
        <f t="shared" si="9"/>
        <v>12800</v>
      </c>
      <c r="C612" s="13">
        <v>-1.556</v>
      </c>
      <c r="D612" s="13">
        <v>-1.3796999999999999</v>
      </c>
      <c r="E612" s="13">
        <v>-1.7323999999999999</v>
      </c>
    </row>
    <row r="613" spans="1:5" x14ac:dyDescent="0.2">
      <c r="A613">
        <v>12845</v>
      </c>
      <c r="B613">
        <f t="shared" si="9"/>
        <v>12800</v>
      </c>
      <c r="C613" s="13">
        <v>-1.5313000000000001</v>
      </c>
      <c r="D613" s="13">
        <v>-1.3563000000000001</v>
      </c>
      <c r="E613" s="13">
        <v>-1.7061999999999999</v>
      </c>
    </row>
    <row r="614" spans="1:5" x14ac:dyDescent="0.2">
      <c r="A614">
        <v>12855</v>
      </c>
      <c r="B614">
        <f t="shared" si="9"/>
        <v>12900</v>
      </c>
      <c r="C614" s="13">
        <v>-1.5056</v>
      </c>
      <c r="D614" s="13">
        <v>-1.3310999999999999</v>
      </c>
      <c r="E614" s="13">
        <v>-1.6800999999999999</v>
      </c>
    </row>
    <row r="615" spans="1:5" x14ac:dyDescent="0.2">
      <c r="A615">
        <v>12865</v>
      </c>
      <c r="B615">
        <f t="shared" si="9"/>
        <v>12900</v>
      </c>
      <c r="C615" s="13">
        <v>-1.4795</v>
      </c>
      <c r="D615" s="13">
        <v>-1.3045</v>
      </c>
      <c r="E615" s="13">
        <v>-1.6544000000000001</v>
      </c>
    </row>
    <row r="616" spans="1:5" x14ac:dyDescent="0.2">
      <c r="A616">
        <v>12875</v>
      </c>
      <c r="B616">
        <f t="shared" si="9"/>
        <v>12900</v>
      </c>
      <c r="C616" s="13">
        <v>-1.4531000000000001</v>
      </c>
      <c r="D616" s="13">
        <v>-1.2767999999999999</v>
      </c>
      <c r="E616" s="13">
        <v>-1.6294</v>
      </c>
    </row>
    <row r="617" spans="1:5" x14ac:dyDescent="0.2">
      <c r="A617">
        <v>12885</v>
      </c>
      <c r="B617">
        <f t="shared" si="9"/>
        <v>12900</v>
      </c>
      <c r="C617" s="13">
        <v>-1.427</v>
      </c>
      <c r="D617" s="13">
        <v>-1.2484999999999999</v>
      </c>
      <c r="E617" s="13">
        <v>-1.6054999999999999</v>
      </c>
    </row>
    <row r="618" spans="1:5" x14ac:dyDescent="0.2">
      <c r="A618">
        <v>12895</v>
      </c>
      <c r="B618">
        <f t="shared" si="9"/>
        <v>12900</v>
      </c>
      <c r="C618" s="13">
        <v>-1.4014</v>
      </c>
      <c r="D618" s="13">
        <v>-1.2201</v>
      </c>
      <c r="E618" s="13">
        <v>-1.5828</v>
      </c>
    </row>
    <row r="619" spans="1:5" x14ac:dyDescent="0.2">
      <c r="A619">
        <v>12905</v>
      </c>
      <c r="B619">
        <f t="shared" si="9"/>
        <v>12900</v>
      </c>
      <c r="C619" s="13">
        <v>-1.3768</v>
      </c>
      <c r="D619" s="13">
        <v>-1.1920999999999999</v>
      </c>
      <c r="E619" s="13">
        <v>-1.5613999999999999</v>
      </c>
    </row>
    <row r="620" spans="1:5" x14ac:dyDescent="0.2">
      <c r="A620">
        <v>12915</v>
      </c>
      <c r="B620">
        <f t="shared" si="9"/>
        <v>12900</v>
      </c>
      <c r="C620" s="13">
        <v>-1.3532999999999999</v>
      </c>
      <c r="D620" s="13">
        <v>-1.165</v>
      </c>
      <c r="E620" s="13">
        <v>-1.5417000000000001</v>
      </c>
    </row>
    <row r="621" spans="1:5" x14ac:dyDescent="0.2">
      <c r="A621">
        <v>12925</v>
      </c>
      <c r="B621">
        <f t="shared" si="9"/>
        <v>12900</v>
      </c>
      <c r="C621" s="13">
        <v>-1.3314999999999999</v>
      </c>
      <c r="D621" s="13">
        <v>-1.1394</v>
      </c>
      <c r="E621" s="13">
        <v>-1.5236000000000001</v>
      </c>
    </row>
    <row r="622" spans="1:5" x14ac:dyDescent="0.2">
      <c r="A622">
        <v>12935</v>
      </c>
      <c r="B622">
        <f t="shared" si="9"/>
        <v>12900</v>
      </c>
      <c r="C622" s="13">
        <v>-1.3116000000000001</v>
      </c>
      <c r="D622" s="13">
        <v>-1.1157999999999999</v>
      </c>
      <c r="E622" s="13">
        <v>-1.5073000000000001</v>
      </c>
    </row>
    <row r="623" spans="1:5" x14ac:dyDescent="0.2">
      <c r="A623">
        <v>12945</v>
      </c>
      <c r="B623">
        <f t="shared" si="9"/>
        <v>12900</v>
      </c>
      <c r="C623" s="13">
        <v>-1.294</v>
      </c>
      <c r="D623" s="13">
        <v>-1.0948</v>
      </c>
      <c r="E623" s="13">
        <v>-1.4931000000000001</v>
      </c>
    </row>
    <row r="624" spans="1:5" x14ac:dyDescent="0.2">
      <c r="A624">
        <v>12956</v>
      </c>
      <c r="B624">
        <f t="shared" si="9"/>
        <v>13000</v>
      </c>
      <c r="C624" s="13">
        <v>-1.2789999999999999</v>
      </c>
      <c r="D624" s="13">
        <v>-1.077</v>
      </c>
      <c r="E624" s="13">
        <v>-1.4810000000000001</v>
      </c>
    </row>
    <row r="625" spans="1:5" x14ac:dyDescent="0.2">
      <c r="A625">
        <v>12966</v>
      </c>
      <c r="B625">
        <f t="shared" si="9"/>
        <v>13000</v>
      </c>
      <c r="C625" s="13">
        <v>-1.2668999999999999</v>
      </c>
      <c r="D625" s="13">
        <v>-1.0628</v>
      </c>
      <c r="E625" s="13">
        <v>-1.4711000000000001</v>
      </c>
    </row>
    <row r="626" spans="1:5" x14ac:dyDescent="0.2">
      <c r="A626">
        <v>12976</v>
      </c>
      <c r="B626">
        <f t="shared" si="9"/>
        <v>13000</v>
      </c>
      <c r="C626" s="13">
        <v>-1.2576000000000001</v>
      </c>
      <c r="D626" s="13">
        <v>-1.0519000000000001</v>
      </c>
      <c r="E626" s="13">
        <v>-1.4634</v>
      </c>
    </row>
    <row r="627" spans="1:5" x14ac:dyDescent="0.2">
      <c r="A627">
        <v>12986</v>
      </c>
      <c r="B627">
        <f t="shared" si="9"/>
        <v>13000</v>
      </c>
      <c r="C627" s="13">
        <v>-1.2509999999999999</v>
      </c>
      <c r="D627" s="13">
        <v>-1.0442</v>
      </c>
      <c r="E627" s="13">
        <v>-1.4578</v>
      </c>
    </row>
    <row r="628" spans="1:5" x14ac:dyDescent="0.2">
      <c r="A628">
        <v>12996</v>
      </c>
      <c r="B628">
        <f t="shared" si="9"/>
        <v>13000</v>
      </c>
      <c r="C628" s="13">
        <v>-1.2466999999999999</v>
      </c>
      <c r="D628" s="13">
        <v>-1.0394000000000001</v>
      </c>
      <c r="E628" s="13">
        <v>-1.454</v>
      </c>
    </row>
    <row r="629" spans="1:5" x14ac:dyDescent="0.2">
      <c r="A629">
        <v>13006</v>
      </c>
      <c r="B629">
        <f t="shared" si="9"/>
        <v>13000</v>
      </c>
      <c r="C629" s="13">
        <v>-1.2446999999999999</v>
      </c>
      <c r="D629" s="13">
        <v>-1.0374000000000001</v>
      </c>
      <c r="E629" s="13">
        <v>-1.452</v>
      </c>
    </row>
    <row r="630" spans="1:5" x14ac:dyDescent="0.2">
      <c r="A630">
        <v>13016</v>
      </c>
      <c r="B630">
        <f t="shared" si="9"/>
        <v>13000</v>
      </c>
      <c r="C630" s="13">
        <v>-1.2447999999999999</v>
      </c>
      <c r="D630" s="13">
        <v>-1.0377000000000001</v>
      </c>
      <c r="E630" s="13">
        <v>-1.4518</v>
      </c>
    </row>
    <row r="631" spans="1:5" x14ac:dyDescent="0.2">
      <c r="A631">
        <v>13026</v>
      </c>
      <c r="B631">
        <f t="shared" si="9"/>
        <v>13000</v>
      </c>
      <c r="C631" s="13">
        <v>-1.2466999999999999</v>
      </c>
      <c r="D631" s="13">
        <v>-1.0403</v>
      </c>
      <c r="E631" s="13">
        <v>-1.4531000000000001</v>
      </c>
    </row>
    <row r="632" spans="1:5" x14ac:dyDescent="0.2">
      <c r="A632">
        <v>13036</v>
      </c>
      <c r="B632">
        <f t="shared" si="9"/>
        <v>13000</v>
      </c>
      <c r="C632" s="13">
        <v>-1.2503</v>
      </c>
      <c r="D632" s="13">
        <v>-1.0447</v>
      </c>
      <c r="E632" s="13">
        <v>-1.456</v>
      </c>
    </row>
    <row r="633" spans="1:5" x14ac:dyDescent="0.2">
      <c r="A633">
        <v>13046</v>
      </c>
      <c r="B633">
        <f t="shared" si="9"/>
        <v>13000</v>
      </c>
      <c r="C633" s="13">
        <v>-1.2555000000000001</v>
      </c>
      <c r="D633" s="13">
        <v>-1.0508</v>
      </c>
      <c r="E633" s="13">
        <v>-1.4602999999999999</v>
      </c>
    </row>
    <row r="634" spans="1:5" x14ac:dyDescent="0.2">
      <c r="A634">
        <v>13056</v>
      </c>
      <c r="B634">
        <f t="shared" si="9"/>
        <v>13100</v>
      </c>
      <c r="C634" s="13">
        <v>-1.262</v>
      </c>
      <c r="D634" s="13">
        <v>-1.0583</v>
      </c>
      <c r="E634" s="13">
        <v>-1.4658</v>
      </c>
    </row>
    <row r="635" spans="1:5" x14ac:dyDescent="0.2">
      <c r="A635">
        <v>13066</v>
      </c>
      <c r="B635">
        <f t="shared" si="9"/>
        <v>13100</v>
      </c>
      <c r="C635" s="13">
        <v>-1.2697000000000001</v>
      </c>
      <c r="D635" s="13">
        <v>-1.0669</v>
      </c>
      <c r="E635" s="13">
        <v>-1.4724999999999999</v>
      </c>
    </row>
    <row r="636" spans="1:5" x14ac:dyDescent="0.2">
      <c r="A636">
        <v>13076</v>
      </c>
      <c r="B636">
        <f t="shared" si="9"/>
        <v>13100</v>
      </c>
      <c r="C636" s="13">
        <v>-1.2784</v>
      </c>
      <c r="D636" s="13">
        <v>-1.0766</v>
      </c>
      <c r="E636" s="13">
        <v>-1.4801</v>
      </c>
    </row>
    <row r="637" spans="1:5" x14ac:dyDescent="0.2">
      <c r="A637">
        <v>13087</v>
      </c>
      <c r="B637">
        <f t="shared" si="9"/>
        <v>13100</v>
      </c>
      <c r="C637" s="13">
        <v>-1.2878000000000001</v>
      </c>
      <c r="D637" s="13">
        <v>-1.0869</v>
      </c>
      <c r="E637" s="13">
        <v>-1.4886999999999999</v>
      </c>
    </row>
    <row r="638" spans="1:5" x14ac:dyDescent="0.2">
      <c r="A638">
        <v>13097</v>
      </c>
      <c r="B638">
        <f t="shared" si="9"/>
        <v>13100</v>
      </c>
      <c r="C638" s="13">
        <v>-1.2979000000000001</v>
      </c>
      <c r="D638" s="13">
        <v>-1.0979000000000001</v>
      </c>
      <c r="E638" s="13">
        <v>-1.4979</v>
      </c>
    </row>
    <row r="639" spans="1:5" x14ac:dyDescent="0.2">
      <c r="A639">
        <v>13107</v>
      </c>
      <c r="B639">
        <f t="shared" si="9"/>
        <v>13100</v>
      </c>
      <c r="C639" s="13">
        <v>-1.3084</v>
      </c>
      <c r="D639" s="13">
        <v>-1.1092</v>
      </c>
      <c r="E639" s="13">
        <v>-1.5076000000000001</v>
      </c>
    </row>
    <row r="640" spans="1:5" x14ac:dyDescent="0.2">
      <c r="A640">
        <v>13117</v>
      </c>
      <c r="B640">
        <f t="shared" si="9"/>
        <v>13100</v>
      </c>
      <c r="C640" s="13">
        <v>-1.3191999999999999</v>
      </c>
      <c r="D640" s="13">
        <v>-1.1208</v>
      </c>
      <c r="E640" s="13">
        <v>-1.5176000000000001</v>
      </c>
    </row>
    <row r="641" spans="1:5" x14ac:dyDescent="0.2">
      <c r="A641">
        <v>13127</v>
      </c>
      <c r="B641">
        <f t="shared" si="9"/>
        <v>13100</v>
      </c>
      <c r="C641" s="13">
        <v>-1.3301000000000001</v>
      </c>
      <c r="D641" s="13">
        <v>-1.1325000000000001</v>
      </c>
      <c r="E641" s="13">
        <v>-1.5277000000000001</v>
      </c>
    </row>
    <row r="642" spans="1:5" x14ac:dyDescent="0.2">
      <c r="A642">
        <v>13137</v>
      </c>
      <c r="B642">
        <f t="shared" si="9"/>
        <v>13100</v>
      </c>
      <c r="C642" s="13">
        <v>-1.3409</v>
      </c>
      <c r="D642" s="13">
        <v>-1.1440999999999999</v>
      </c>
      <c r="E642" s="13">
        <v>-1.5377000000000001</v>
      </c>
    </row>
    <row r="643" spans="1:5" x14ac:dyDescent="0.2">
      <c r="A643">
        <v>13147</v>
      </c>
      <c r="B643">
        <f t="shared" si="9"/>
        <v>13100</v>
      </c>
      <c r="C643" s="13">
        <v>-1.3513999999999999</v>
      </c>
      <c r="D643" s="13">
        <v>-1.1555</v>
      </c>
      <c r="E643" s="13">
        <v>-1.5471999999999999</v>
      </c>
    </row>
    <row r="644" spans="1:5" x14ac:dyDescent="0.2">
      <c r="A644">
        <v>13157</v>
      </c>
      <c r="B644">
        <f t="shared" ref="B644:B707" si="10">MROUND(A644,100)</f>
        <v>13200</v>
      </c>
      <c r="C644" s="13">
        <v>-1.3613999999999999</v>
      </c>
      <c r="D644" s="13">
        <v>-1.1667000000000001</v>
      </c>
      <c r="E644" s="13">
        <v>-1.5562</v>
      </c>
    </row>
    <row r="645" spans="1:5" x14ac:dyDescent="0.2">
      <c r="A645">
        <v>13167</v>
      </c>
      <c r="B645">
        <f t="shared" si="10"/>
        <v>13200</v>
      </c>
      <c r="C645" s="13">
        <v>-1.3708</v>
      </c>
      <c r="D645" s="13">
        <v>-1.1774</v>
      </c>
      <c r="E645" s="13">
        <v>-1.5642</v>
      </c>
    </row>
    <row r="646" spans="1:5" x14ac:dyDescent="0.2">
      <c r="A646">
        <v>13177</v>
      </c>
      <c r="B646">
        <f t="shared" si="10"/>
        <v>13200</v>
      </c>
      <c r="C646" s="13">
        <v>-1.3794</v>
      </c>
      <c r="D646" s="13">
        <v>-1.1876</v>
      </c>
      <c r="E646" s="13">
        <v>-1.5711999999999999</v>
      </c>
    </row>
    <row r="647" spans="1:5" x14ac:dyDescent="0.2">
      <c r="A647">
        <v>13187</v>
      </c>
      <c r="B647">
        <f t="shared" si="10"/>
        <v>13200</v>
      </c>
      <c r="C647" s="13">
        <v>-1.3872</v>
      </c>
      <c r="D647" s="13">
        <v>-1.1972</v>
      </c>
      <c r="E647" s="13">
        <v>-1.5771999999999999</v>
      </c>
    </row>
    <row r="648" spans="1:5" x14ac:dyDescent="0.2">
      <c r="A648">
        <v>13197</v>
      </c>
      <c r="B648">
        <f t="shared" si="10"/>
        <v>13200</v>
      </c>
      <c r="C648" s="13">
        <v>-1.3940999999999999</v>
      </c>
      <c r="D648" s="13">
        <v>-1.2060999999999999</v>
      </c>
      <c r="E648" s="13">
        <v>-1.5822000000000001</v>
      </c>
    </row>
    <row r="649" spans="1:5" x14ac:dyDescent="0.2">
      <c r="A649">
        <v>13207</v>
      </c>
      <c r="B649">
        <f t="shared" si="10"/>
        <v>13200</v>
      </c>
      <c r="C649" s="13">
        <v>-1.4003000000000001</v>
      </c>
      <c r="D649" s="13">
        <v>-1.2142999999999999</v>
      </c>
      <c r="E649" s="13">
        <v>-1.5863</v>
      </c>
    </row>
    <row r="650" spans="1:5" x14ac:dyDescent="0.2">
      <c r="A650">
        <v>13217</v>
      </c>
      <c r="B650">
        <f t="shared" si="10"/>
        <v>13200</v>
      </c>
      <c r="C650" s="13">
        <v>-1.4057999999999999</v>
      </c>
      <c r="D650" s="13">
        <v>-1.2217</v>
      </c>
      <c r="E650" s="13">
        <v>-1.5898000000000001</v>
      </c>
    </row>
    <row r="651" spans="1:5" x14ac:dyDescent="0.2">
      <c r="A651">
        <v>13228</v>
      </c>
      <c r="B651">
        <f t="shared" si="10"/>
        <v>13200</v>
      </c>
      <c r="C651" s="13">
        <v>-1.4105000000000001</v>
      </c>
      <c r="D651" s="13">
        <v>-1.2282999999999999</v>
      </c>
      <c r="E651" s="13">
        <v>-1.5927</v>
      </c>
    </row>
    <row r="652" spans="1:5" x14ac:dyDescent="0.2">
      <c r="A652">
        <v>13238</v>
      </c>
      <c r="B652">
        <f t="shared" si="10"/>
        <v>13200</v>
      </c>
      <c r="C652" s="13">
        <v>-1.4145000000000001</v>
      </c>
      <c r="D652" s="13">
        <v>-1.2338</v>
      </c>
      <c r="E652" s="13">
        <v>-1.5952</v>
      </c>
    </row>
    <row r="653" spans="1:5" x14ac:dyDescent="0.2">
      <c r="A653">
        <v>13248</v>
      </c>
      <c r="B653">
        <f t="shared" si="10"/>
        <v>13200</v>
      </c>
      <c r="C653" s="13">
        <v>-1.4178999999999999</v>
      </c>
      <c r="D653" s="13">
        <v>-1.2383</v>
      </c>
      <c r="E653" s="13">
        <v>-1.5974999999999999</v>
      </c>
    </row>
    <row r="654" spans="1:5" x14ac:dyDescent="0.2">
      <c r="A654">
        <v>13258</v>
      </c>
      <c r="B654">
        <f t="shared" si="10"/>
        <v>13300</v>
      </c>
      <c r="C654" s="13">
        <v>-1.4206000000000001</v>
      </c>
      <c r="D654" s="13">
        <v>-1.2417</v>
      </c>
      <c r="E654" s="13">
        <v>-1.5995999999999999</v>
      </c>
    </row>
    <row r="655" spans="1:5" x14ac:dyDescent="0.2">
      <c r="A655">
        <v>13268</v>
      </c>
      <c r="B655">
        <f t="shared" si="10"/>
        <v>13300</v>
      </c>
      <c r="C655" s="13">
        <v>-1.4228000000000001</v>
      </c>
      <c r="D655" s="13">
        <v>-1.244</v>
      </c>
      <c r="E655" s="13">
        <v>-1.6015999999999999</v>
      </c>
    </row>
    <row r="656" spans="1:5" x14ac:dyDescent="0.2">
      <c r="A656">
        <v>13278</v>
      </c>
      <c r="B656">
        <f t="shared" si="10"/>
        <v>13300</v>
      </c>
      <c r="C656" s="13">
        <v>-1.4244000000000001</v>
      </c>
      <c r="D656" s="13">
        <v>-1.2450000000000001</v>
      </c>
      <c r="E656" s="13">
        <v>-1.6036999999999999</v>
      </c>
    </row>
    <row r="657" spans="1:5" x14ac:dyDescent="0.2">
      <c r="A657">
        <v>13288</v>
      </c>
      <c r="B657">
        <f t="shared" si="10"/>
        <v>13300</v>
      </c>
      <c r="C657" s="13">
        <v>-1.4254</v>
      </c>
      <c r="D657" s="13">
        <v>-1.2448999999999999</v>
      </c>
      <c r="E657" s="13">
        <v>-1.6059000000000001</v>
      </c>
    </row>
    <row r="658" spans="1:5" x14ac:dyDescent="0.2">
      <c r="A658">
        <v>13298</v>
      </c>
      <c r="B658">
        <f t="shared" si="10"/>
        <v>13300</v>
      </c>
      <c r="C658" s="13">
        <v>-1.4259999999999999</v>
      </c>
      <c r="D658" s="13">
        <v>-1.2436</v>
      </c>
      <c r="E658" s="13">
        <v>-1.6083000000000001</v>
      </c>
    </row>
    <row r="659" spans="1:5" x14ac:dyDescent="0.2">
      <c r="A659">
        <v>13308</v>
      </c>
      <c r="B659">
        <f t="shared" si="10"/>
        <v>13300</v>
      </c>
      <c r="C659" s="13">
        <v>-1.4259999999999999</v>
      </c>
      <c r="D659" s="13">
        <v>-1.2413000000000001</v>
      </c>
      <c r="E659" s="13">
        <v>-1.6108</v>
      </c>
    </row>
    <row r="660" spans="1:5" x14ac:dyDescent="0.2">
      <c r="A660">
        <v>13318</v>
      </c>
      <c r="B660">
        <f t="shared" si="10"/>
        <v>13300</v>
      </c>
      <c r="C660" s="13">
        <v>-1.4256</v>
      </c>
      <c r="D660" s="13">
        <v>-1.2379</v>
      </c>
      <c r="E660" s="13">
        <v>-1.6133999999999999</v>
      </c>
    </row>
    <row r="661" spans="1:5" x14ac:dyDescent="0.2">
      <c r="A661">
        <v>13328</v>
      </c>
      <c r="B661">
        <f t="shared" si="10"/>
        <v>13300</v>
      </c>
      <c r="C661" s="13">
        <v>-1.4248000000000001</v>
      </c>
      <c r="D661" s="13">
        <v>-1.2336</v>
      </c>
      <c r="E661" s="13">
        <v>-1.6160000000000001</v>
      </c>
    </row>
    <row r="662" spans="1:5" x14ac:dyDescent="0.2">
      <c r="A662">
        <v>13338</v>
      </c>
      <c r="B662">
        <f t="shared" si="10"/>
        <v>13300</v>
      </c>
      <c r="C662" s="13">
        <v>-1.4236</v>
      </c>
      <c r="D662" s="13">
        <v>-1.2284999999999999</v>
      </c>
      <c r="E662" s="13">
        <v>-1.6187</v>
      </c>
    </row>
    <row r="663" spans="1:5" x14ac:dyDescent="0.2">
      <c r="A663">
        <v>13348</v>
      </c>
      <c r="B663">
        <f t="shared" si="10"/>
        <v>13300</v>
      </c>
      <c r="C663" s="13">
        <v>-1.4220999999999999</v>
      </c>
      <c r="D663" s="13">
        <v>-1.2228000000000001</v>
      </c>
      <c r="E663" s="13">
        <v>-1.6213</v>
      </c>
    </row>
    <row r="664" spans="1:5" x14ac:dyDescent="0.2">
      <c r="A664">
        <v>13359</v>
      </c>
      <c r="B664">
        <f t="shared" si="10"/>
        <v>13400</v>
      </c>
      <c r="C664" s="13">
        <v>-1.4201999999999999</v>
      </c>
      <c r="D664" s="13">
        <v>-1.2164999999999999</v>
      </c>
      <c r="E664" s="13">
        <v>-1.6238999999999999</v>
      </c>
    </row>
    <row r="665" spans="1:5" x14ac:dyDescent="0.2">
      <c r="A665">
        <v>13369</v>
      </c>
      <c r="B665">
        <f t="shared" si="10"/>
        <v>13400</v>
      </c>
      <c r="C665" s="13">
        <v>-1.4179999999999999</v>
      </c>
      <c r="D665" s="13">
        <v>-1.2098</v>
      </c>
      <c r="E665" s="13">
        <v>-1.6262000000000001</v>
      </c>
    </row>
    <row r="666" spans="1:5" x14ac:dyDescent="0.2">
      <c r="A666">
        <v>13379</v>
      </c>
      <c r="B666">
        <f t="shared" si="10"/>
        <v>13400</v>
      </c>
      <c r="C666" s="13">
        <v>-1.4155</v>
      </c>
      <c r="D666" s="13">
        <v>-1.2028000000000001</v>
      </c>
      <c r="E666" s="13">
        <v>-1.6283000000000001</v>
      </c>
    </row>
    <row r="667" spans="1:5" x14ac:dyDescent="0.2">
      <c r="A667">
        <v>13389</v>
      </c>
      <c r="B667">
        <f t="shared" si="10"/>
        <v>13400</v>
      </c>
      <c r="C667" s="13">
        <v>-1.4129</v>
      </c>
      <c r="D667" s="13">
        <v>-1.1956</v>
      </c>
      <c r="E667" s="13">
        <v>-1.6301000000000001</v>
      </c>
    </row>
    <row r="668" spans="1:5" x14ac:dyDescent="0.2">
      <c r="A668">
        <v>13399</v>
      </c>
      <c r="B668">
        <f t="shared" si="10"/>
        <v>13400</v>
      </c>
      <c r="C668" s="13">
        <v>-1.41</v>
      </c>
      <c r="D668" s="13">
        <v>-1.1882999999999999</v>
      </c>
      <c r="E668" s="13">
        <v>-1.6315999999999999</v>
      </c>
    </row>
    <row r="669" spans="1:5" x14ac:dyDescent="0.2">
      <c r="A669">
        <v>13409</v>
      </c>
      <c r="B669">
        <f t="shared" si="10"/>
        <v>13400</v>
      </c>
      <c r="C669" s="13">
        <v>-1.4068000000000001</v>
      </c>
      <c r="D669" s="13">
        <v>-1.1809000000000001</v>
      </c>
      <c r="E669" s="13">
        <v>-1.6327</v>
      </c>
    </row>
    <row r="670" spans="1:5" x14ac:dyDescent="0.2">
      <c r="A670">
        <v>13419</v>
      </c>
      <c r="B670">
        <f t="shared" si="10"/>
        <v>13400</v>
      </c>
      <c r="C670" s="13">
        <v>-1.4035</v>
      </c>
      <c r="D670" s="13">
        <v>-1.1734</v>
      </c>
      <c r="E670" s="13">
        <v>-1.6335</v>
      </c>
    </row>
    <row r="671" spans="1:5" x14ac:dyDescent="0.2">
      <c r="A671">
        <v>13429</v>
      </c>
      <c r="B671">
        <f t="shared" si="10"/>
        <v>13400</v>
      </c>
      <c r="C671" s="13">
        <v>-1.3998999999999999</v>
      </c>
      <c r="D671" s="13">
        <v>-1.1657999999999999</v>
      </c>
      <c r="E671" s="13">
        <v>-1.6338999999999999</v>
      </c>
    </row>
    <row r="672" spans="1:5" x14ac:dyDescent="0.2">
      <c r="A672">
        <v>13439</v>
      </c>
      <c r="B672">
        <f t="shared" si="10"/>
        <v>13400</v>
      </c>
      <c r="C672" s="13">
        <v>-1.3959999999999999</v>
      </c>
      <c r="D672" s="13">
        <v>-1.1579999999999999</v>
      </c>
      <c r="E672" s="13">
        <v>-1.6339999999999999</v>
      </c>
    </row>
    <row r="673" spans="1:5" x14ac:dyDescent="0.2">
      <c r="A673">
        <v>13449</v>
      </c>
      <c r="B673">
        <f t="shared" si="10"/>
        <v>13400</v>
      </c>
      <c r="C673" s="13">
        <v>-1.3917999999999999</v>
      </c>
      <c r="D673" s="13">
        <v>-1.1499999999999999</v>
      </c>
      <c r="E673" s="13">
        <v>-1.6336999999999999</v>
      </c>
    </row>
    <row r="674" spans="1:5" x14ac:dyDescent="0.2">
      <c r="A674">
        <v>13459</v>
      </c>
      <c r="B674">
        <f t="shared" si="10"/>
        <v>13500</v>
      </c>
      <c r="C674" s="13">
        <v>-1.3874</v>
      </c>
      <c r="D674" s="13">
        <v>-1.1417999999999999</v>
      </c>
      <c r="E674" s="13">
        <v>-1.633</v>
      </c>
    </row>
    <row r="675" spans="1:5" x14ac:dyDescent="0.2">
      <c r="A675">
        <v>13469</v>
      </c>
      <c r="B675">
        <f t="shared" si="10"/>
        <v>13500</v>
      </c>
      <c r="C675" s="13">
        <v>-1.3827</v>
      </c>
      <c r="D675" s="13">
        <v>-1.1334</v>
      </c>
      <c r="E675" s="13">
        <v>-1.6319999999999999</v>
      </c>
    </row>
    <row r="676" spans="1:5" x14ac:dyDescent="0.2">
      <c r="A676">
        <v>13479</v>
      </c>
      <c r="B676">
        <f t="shared" si="10"/>
        <v>13500</v>
      </c>
      <c r="C676" s="13">
        <v>-1.3775999999999999</v>
      </c>
      <c r="D676" s="13">
        <v>-1.1247</v>
      </c>
      <c r="E676" s="13">
        <v>-1.6306</v>
      </c>
    </row>
    <row r="677" spans="1:5" x14ac:dyDescent="0.2">
      <c r="A677">
        <v>13489</v>
      </c>
      <c r="B677">
        <f t="shared" si="10"/>
        <v>13500</v>
      </c>
      <c r="C677" s="13">
        <v>-1.3722000000000001</v>
      </c>
      <c r="D677" s="13">
        <v>-1.1157999999999999</v>
      </c>
      <c r="E677" s="13">
        <v>-1.6287</v>
      </c>
    </row>
    <row r="678" spans="1:5" x14ac:dyDescent="0.2">
      <c r="A678">
        <v>13500</v>
      </c>
      <c r="B678">
        <f t="shared" si="10"/>
        <v>13500</v>
      </c>
      <c r="C678" s="13">
        <v>-1.3665</v>
      </c>
      <c r="D678" s="13">
        <v>-1.1067</v>
      </c>
      <c r="E678" s="13">
        <v>-1.6263000000000001</v>
      </c>
    </row>
    <row r="679" spans="1:5" x14ac:dyDescent="0.2">
      <c r="A679">
        <v>13510</v>
      </c>
      <c r="B679">
        <f t="shared" si="10"/>
        <v>13500</v>
      </c>
      <c r="C679" s="13">
        <v>-1.3604000000000001</v>
      </c>
      <c r="D679" s="13">
        <v>-1.0974999999999999</v>
      </c>
      <c r="E679" s="13">
        <v>-1.6234</v>
      </c>
    </row>
    <row r="680" spans="1:5" x14ac:dyDescent="0.2">
      <c r="A680">
        <v>13520</v>
      </c>
      <c r="B680">
        <f t="shared" si="10"/>
        <v>13500</v>
      </c>
      <c r="C680" s="13">
        <v>-1.3540000000000001</v>
      </c>
      <c r="D680" s="13">
        <v>-1.0881000000000001</v>
      </c>
      <c r="E680" s="13">
        <v>-1.6198999999999999</v>
      </c>
    </row>
    <row r="681" spans="1:5" x14ac:dyDescent="0.2">
      <c r="A681">
        <v>13530</v>
      </c>
      <c r="B681">
        <f t="shared" si="10"/>
        <v>13500</v>
      </c>
      <c r="C681" s="13">
        <v>-1.3472</v>
      </c>
      <c r="D681" s="13">
        <v>-1.0785</v>
      </c>
      <c r="E681" s="13">
        <v>-1.6157999999999999</v>
      </c>
    </row>
    <row r="682" spans="1:5" x14ac:dyDescent="0.2">
      <c r="A682">
        <v>13540</v>
      </c>
      <c r="B682">
        <f t="shared" si="10"/>
        <v>13500</v>
      </c>
      <c r="C682" s="13">
        <v>-1.3399000000000001</v>
      </c>
      <c r="D682" s="13">
        <v>-1.0689</v>
      </c>
      <c r="E682" s="13">
        <v>-1.6109</v>
      </c>
    </row>
    <row r="683" spans="1:5" x14ac:dyDescent="0.2">
      <c r="A683">
        <v>13550</v>
      </c>
      <c r="B683">
        <f t="shared" si="10"/>
        <v>13600</v>
      </c>
      <c r="C683" s="13">
        <v>-1.3323</v>
      </c>
      <c r="D683" s="13">
        <v>-1.0592999999999999</v>
      </c>
      <c r="E683" s="13">
        <v>-1.6052</v>
      </c>
    </row>
    <row r="684" spans="1:5" x14ac:dyDescent="0.2">
      <c r="A684">
        <v>13560</v>
      </c>
      <c r="B684">
        <f t="shared" si="10"/>
        <v>13600</v>
      </c>
      <c r="C684" s="13">
        <v>-1.3242</v>
      </c>
      <c r="D684" s="13">
        <v>-1.0497000000000001</v>
      </c>
      <c r="E684" s="13">
        <v>-1.5987</v>
      </c>
    </row>
    <row r="685" spans="1:5" x14ac:dyDescent="0.2">
      <c r="A685">
        <v>13570</v>
      </c>
      <c r="B685">
        <f t="shared" si="10"/>
        <v>13600</v>
      </c>
      <c r="C685" s="13">
        <v>-1.3157000000000001</v>
      </c>
      <c r="D685" s="13">
        <v>-1.0403</v>
      </c>
      <c r="E685" s="13">
        <v>-1.5911</v>
      </c>
    </row>
    <row r="686" spans="1:5" x14ac:dyDescent="0.2">
      <c r="A686">
        <v>13580</v>
      </c>
      <c r="B686">
        <f t="shared" si="10"/>
        <v>13600</v>
      </c>
      <c r="C686" s="13">
        <v>-1.3067</v>
      </c>
      <c r="D686" s="13">
        <v>-1.0308999999999999</v>
      </c>
      <c r="E686" s="13">
        <v>-1.5825</v>
      </c>
    </row>
    <row r="687" spans="1:5" x14ac:dyDescent="0.2">
      <c r="A687">
        <v>13590</v>
      </c>
      <c r="B687">
        <f t="shared" si="10"/>
        <v>13600</v>
      </c>
      <c r="C687" s="13">
        <v>-1.2972999999999999</v>
      </c>
      <c r="D687" s="13">
        <v>-1.0218</v>
      </c>
      <c r="E687" s="13">
        <v>-1.5728</v>
      </c>
    </row>
    <row r="688" spans="1:5" x14ac:dyDescent="0.2">
      <c r="A688">
        <v>13600</v>
      </c>
      <c r="B688">
        <f t="shared" si="10"/>
        <v>13600</v>
      </c>
      <c r="C688" s="13">
        <v>-1.2874000000000001</v>
      </c>
      <c r="D688" s="13">
        <v>-1.0128999999999999</v>
      </c>
      <c r="E688" s="13">
        <v>-1.5618000000000001</v>
      </c>
    </row>
    <row r="689" spans="1:5" x14ac:dyDescent="0.2">
      <c r="A689">
        <v>13610</v>
      </c>
      <c r="B689">
        <f t="shared" si="10"/>
        <v>13600</v>
      </c>
      <c r="C689" s="13">
        <v>-1.2769999999999999</v>
      </c>
      <c r="D689" s="13">
        <v>-1.0044</v>
      </c>
      <c r="E689" s="13">
        <v>-1.5496000000000001</v>
      </c>
    </row>
    <row r="690" spans="1:5" x14ac:dyDescent="0.2">
      <c r="A690">
        <v>13620</v>
      </c>
      <c r="B690">
        <f t="shared" si="10"/>
        <v>13600</v>
      </c>
      <c r="C690" s="13">
        <v>-1.2661</v>
      </c>
      <c r="D690" s="13">
        <v>-0.99612999999999996</v>
      </c>
      <c r="E690" s="13">
        <v>-1.5361</v>
      </c>
    </row>
    <row r="691" spans="1:5" x14ac:dyDescent="0.2">
      <c r="A691">
        <v>13630</v>
      </c>
      <c r="B691">
        <f t="shared" si="10"/>
        <v>13600</v>
      </c>
      <c r="C691" s="13">
        <v>-1.2548999999999999</v>
      </c>
      <c r="D691" s="13">
        <v>-0.98823000000000005</v>
      </c>
      <c r="E691" s="13">
        <v>-1.5215000000000001</v>
      </c>
    </row>
    <row r="692" spans="1:5" x14ac:dyDescent="0.2">
      <c r="A692">
        <v>13641</v>
      </c>
      <c r="B692">
        <f t="shared" si="10"/>
        <v>13600</v>
      </c>
      <c r="C692" s="13">
        <v>-1.2433000000000001</v>
      </c>
      <c r="D692" s="13">
        <v>-0.98067000000000004</v>
      </c>
      <c r="E692" s="13">
        <v>-1.5059</v>
      </c>
    </row>
    <row r="693" spans="1:5" x14ac:dyDescent="0.2">
      <c r="A693">
        <v>13651</v>
      </c>
      <c r="B693">
        <f t="shared" si="10"/>
        <v>13700</v>
      </c>
      <c r="C693" s="13">
        <v>-1.2315</v>
      </c>
      <c r="D693" s="13">
        <v>-0.97343000000000002</v>
      </c>
      <c r="E693" s="13">
        <v>-1.4897</v>
      </c>
    </row>
    <row r="694" spans="1:5" x14ac:dyDescent="0.2">
      <c r="A694">
        <v>13661</v>
      </c>
      <c r="B694">
        <f t="shared" si="10"/>
        <v>13700</v>
      </c>
      <c r="C694" s="13">
        <v>-1.2197</v>
      </c>
      <c r="D694" s="13">
        <v>-0.96650999999999998</v>
      </c>
      <c r="E694" s="13">
        <v>-1.4728000000000001</v>
      </c>
    </row>
    <row r="695" spans="1:5" x14ac:dyDescent="0.2">
      <c r="A695">
        <v>13671</v>
      </c>
      <c r="B695">
        <f t="shared" si="10"/>
        <v>13700</v>
      </c>
      <c r="C695" s="13">
        <v>-1.2078</v>
      </c>
      <c r="D695" s="13">
        <v>-0.95989000000000002</v>
      </c>
      <c r="E695" s="13">
        <v>-1.4556</v>
      </c>
    </row>
    <row r="696" spans="1:5" x14ac:dyDescent="0.2">
      <c r="A696">
        <v>13681</v>
      </c>
      <c r="B696">
        <f t="shared" si="10"/>
        <v>13700</v>
      </c>
      <c r="C696" s="13">
        <v>-1.1959</v>
      </c>
      <c r="D696" s="13">
        <v>-0.95355999999999996</v>
      </c>
      <c r="E696" s="13">
        <v>-1.4381999999999999</v>
      </c>
    </row>
    <row r="697" spans="1:5" x14ac:dyDescent="0.2">
      <c r="A697">
        <v>13691</v>
      </c>
      <c r="B697">
        <f t="shared" si="10"/>
        <v>13700</v>
      </c>
      <c r="C697" s="13">
        <v>-1.1841999999999999</v>
      </c>
      <c r="D697" s="13">
        <v>-0.94752000000000003</v>
      </c>
      <c r="E697" s="13">
        <v>-1.4209000000000001</v>
      </c>
    </row>
    <row r="698" spans="1:5" x14ac:dyDescent="0.2">
      <c r="A698">
        <v>13701</v>
      </c>
      <c r="B698">
        <f t="shared" si="10"/>
        <v>13700</v>
      </c>
      <c r="C698" s="13">
        <v>-1.1727000000000001</v>
      </c>
      <c r="D698" s="13">
        <v>-0.94174999999999998</v>
      </c>
      <c r="E698" s="13">
        <v>-1.4036999999999999</v>
      </c>
    </row>
    <row r="699" spans="1:5" x14ac:dyDescent="0.2">
      <c r="A699">
        <v>13711</v>
      </c>
      <c r="B699">
        <f t="shared" si="10"/>
        <v>13700</v>
      </c>
      <c r="C699" s="13">
        <v>-1.1616</v>
      </c>
      <c r="D699" s="13">
        <v>-0.93625000000000003</v>
      </c>
      <c r="E699" s="13">
        <v>-1.3869</v>
      </c>
    </row>
    <row r="700" spans="1:5" x14ac:dyDescent="0.2">
      <c r="A700">
        <v>13721</v>
      </c>
      <c r="B700">
        <f t="shared" si="10"/>
        <v>13700</v>
      </c>
      <c r="C700" s="13">
        <v>-1.1508</v>
      </c>
      <c r="D700" s="13">
        <v>-0.93105000000000004</v>
      </c>
      <c r="E700" s="13">
        <v>-1.3706</v>
      </c>
    </row>
    <row r="701" spans="1:5" x14ac:dyDescent="0.2">
      <c r="A701">
        <v>13731</v>
      </c>
      <c r="B701">
        <f t="shared" si="10"/>
        <v>13700</v>
      </c>
      <c r="C701" s="13">
        <v>-1.1406000000000001</v>
      </c>
      <c r="D701" s="13">
        <v>-0.92615999999999998</v>
      </c>
      <c r="E701" s="13">
        <v>-1.355</v>
      </c>
    </row>
    <row r="702" spans="1:5" x14ac:dyDescent="0.2">
      <c r="A702">
        <v>13741</v>
      </c>
      <c r="B702">
        <f t="shared" si="10"/>
        <v>13700</v>
      </c>
      <c r="C702" s="13">
        <v>-1.1309</v>
      </c>
      <c r="D702" s="13">
        <v>-0.92161999999999999</v>
      </c>
      <c r="E702" s="13">
        <v>-1.3402000000000001</v>
      </c>
    </row>
    <row r="703" spans="1:5" x14ac:dyDescent="0.2">
      <c r="A703">
        <v>13751</v>
      </c>
      <c r="B703">
        <f t="shared" si="10"/>
        <v>13800</v>
      </c>
      <c r="C703" s="13">
        <v>-1.1218999999999999</v>
      </c>
      <c r="D703" s="13">
        <v>-0.91747000000000001</v>
      </c>
      <c r="E703" s="13">
        <v>-1.3264</v>
      </c>
    </row>
    <row r="704" spans="1:5" x14ac:dyDescent="0.2">
      <c r="A704">
        <v>13761</v>
      </c>
      <c r="B704">
        <f t="shared" si="10"/>
        <v>13800</v>
      </c>
      <c r="C704" s="13">
        <v>-1.1136999999999999</v>
      </c>
      <c r="D704" s="13">
        <v>-0.91378000000000004</v>
      </c>
      <c r="E704" s="13">
        <v>-1.3136000000000001</v>
      </c>
    </row>
    <row r="705" spans="1:5" x14ac:dyDescent="0.2">
      <c r="A705">
        <v>13772</v>
      </c>
      <c r="B705">
        <f t="shared" si="10"/>
        <v>13800</v>
      </c>
      <c r="C705" s="13">
        <v>-1.1063000000000001</v>
      </c>
      <c r="D705" s="13">
        <v>-0.91063000000000005</v>
      </c>
      <c r="E705" s="13">
        <v>-1.302</v>
      </c>
    </row>
    <row r="706" spans="1:5" x14ac:dyDescent="0.2">
      <c r="A706">
        <v>13782</v>
      </c>
      <c r="B706">
        <f t="shared" si="10"/>
        <v>13800</v>
      </c>
      <c r="C706" s="13">
        <v>-1.0999000000000001</v>
      </c>
      <c r="D706" s="13">
        <v>-0.90812999999999999</v>
      </c>
      <c r="E706" s="13">
        <v>-1.2917000000000001</v>
      </c>
    </row>
    <row r="707" spans="1:5" x14ac:dyDescent="0.2">
      <c r="A707">
        <v>13792</v>
      </c>
      <c r="B707">
        <f t="shared" si="10"/>
        <v>13800</v>
      </c>
      <c r="C707" s="13">
        <v>-1.0945</v>
      </c>
      <c r="D707" s="13">
        <v>-0.90637000000000001</v>
      </c>
      <c r="E707" s="13">
        <v>-1.2826</v>
      </c>
    </row>
    <row r="708" spans="1:5" x14ac:dyDescent="0.2">
      <c r="A708">
        <v>13802</v>
      </c>
      <c r="B708">
        <f t="shared" ref="B708:B771" si="11">MROUND(A708,100)</f>
        <v>13800</v>
      </c>
      <c r="C708" s="13">
        <v>-1.0902000000000001</v>
      </c>
      <c r="D708" s="13">
        <v>-0.90547999999999995</v>
      </c>
      <c r="E708" s="13">
        <v>-1.2748999999999999</v>
      </c>
    </row>
    <row r="709" spans="1:5" x14ac:dyDescent="0.2">
      <c r="A709">
        <v>13812</v>
      </c>
      <c r="B709">
        <f t="shared" si="11"/>
        <v>13800</v>
      </c>
      <c r="C709" s="13">
        <v>-1.0871</v>
      </c>
      <c r="D709" s="13">
        <v>-0.90556999999999999</v>
      </c>
      <c r="E709" s="13">
        <v>-1.2685999999999999</v>
      </c>
    </row>
    <row r="710" spans="1:5" x14ac:dyDescent="0.2">
      <c r="A710">
        <v>13822</v>
      </c>
      <c r="B710">
        <f t="shared" si="11"/>
        <v>13800</v>
      </c>
      <c r="C710" s="13">
        <v>-1.0852999999999999</v>
      </c>
      <c r="D710" s="13">
        <v>-0.90676999999999996</v>
      </c>
      <c r="E710" s="13">
        <v>-1.2638</v>
      </c>
    </row>
    <row r="711" spans="1:5" x14ac:dyDescent="0.2">
      <c r="A711">
        <v>13832</v>
      </c>
      <c r="B711">
        <f t="shared" si="11"/>
        <v>13800</v>
      </c>
      <c r="C711" s="13">
        <v>-1.0849</v>
      </c>
      <c r="D711" s="13">
        <v>-0.90917999999999999</v>
      </c>
      <c r="E711" s="13">
        <v>-1.2605999999999999</v>
      </c>
    </row>
    <row r="712" spans="1:5" x14ac:dyDescent="0.2">
      <c r="A712">
        <v>13842</v>
      </c>
      <c r="B712">
        <f t="shared" si="11"/>
        <v>13800</v>
      </c>
      <c r="C712" s="13">
        <v>-1.0859000000000001</v>
      </c>
      <c r="D712" s="13">
        <v>-0.91288000000000002</v>
      </c>
      <c r="E712" s="13">
        <v>-1.2589999999999999</v>
      </c>
    </row>
    <row r="713" spans="1:5" x14ac:dyDescent="0.2">
      <c r="A713">
        <v>13852</v>
      </c>
      <c r="B713">
        <f t="shared" si="11"/>
        <v>13900</v>
      </c>
      <c r="C713" s="13">
        <v>-1.0884</v>
      </c>
      <c r="D713" s="13">
        <v>-0.91778999999999999</v>
      </c>
      <c r="E713" s="13">
        <v>-1.2589999999999999</v>
      </c>
    </row>
    <row r="714" spans="1:5" x14ac:dyDescent="0.2">
      <c r="A714">
        <v>13862</v>
      </c>
      <c r="B714">
        <f t="shared" si="11"/>
        <v>13900</v>
      </c>
      <c r="C714" s="13">
        <v>-1.0923</v>
      </c>
      <c r="D714" s="13">
        <v>-0.92378000000000005</v>
      </c>
      <c r="E714" s="13">
        <v>-1.2607999999999999</v>
      </c>
    </row>
    <row r="715" spans="1:5" x14ac:dyDescent="0.2">
      <c r="A715">
        <v>13872</v>
      </c>
      <c r="B715">
        <f t="shared" si="11"/>
        <v>13900</v>
      </c>
      <c r="C715" s="13">
        <v>-1.0974999999999999</v>
      </c>
      <c r="D715" s="13">
        <v>-0.93071000000000004</v>
      </c>
      <c r="E715" s="13">
        <v>-1.2642</v>
      </c>
    </row>
    <row r="716" spans="1:5" x14ac:dyDescent="0.2">
      <c r="A716">
        <v>13882</v>
      </c>
      <c r="B716">
        <f t="shared" si="11"/>
        <v>13900</v>
      </c>
      <c r="C716" s="13">
        <v>-1.1039000000000001</v>
      </c>
      <c r="D716" s="13">
        <v>-0.93849000000000005</v>
      </c>
      <c r="E716" s="13">
        <v>-1.2694000000000001</v>
      </c>
    </row>
    <row r="717" spans="1:5" x14ac:dyDescent="0.2">
      <c r="A717">
        <v>13892</v>
      </c>
      <c r="B717">
        <f t="shared" si="11"/>
        <v>13900</v>
      </c>
      <c r="C717" s="13">
        <v>-1.1115999999999999</v>
      </c>
      <c r="D717" s="13">
        <v>-0.94701999999999997</v>
      </c>
      <c r="E717" s="13">
        <v>-1.2762</v>
      </c>
    </row>
    <row r="718" spans="1:5" x14ac:dyDescent="0.2">
      <c r="A718">
        <v>13902</v>
      </c>
      <c r="B718">
        <f t="shared" si="11"/>
        <v>13900</v>
      </c>
      <c r="C718" s="13">
        <v>-1.1204000000000001</v>
      </c>
      <c r="D718" s="13">
        <v>-0.95628000000000002</v>
      </c>
      <c r="E718" s="13">
        <v>-1.2846</v>
      </c>
    </row>
    <row r="719" spans="1:5" x14ac:dyDescent="0.2">
      <c r="A719">
        <v>13913</v>
      </c>
      <c r="B719">
        <f t="shared" si="11"/>
        <v>13900</v>
      </c>
      <c r="C719" s="13">
        <v>-1.1303000000000001</v>
      </c>
      <c r="D719" s="13">
        <v>-0.96628000000000003</v>
      </c>
      <c r="E719" s="13">
        <v>-1.2944</v>
      </c>
    </row>
    <row r="720" spans="1:5" x14ac:dyDescent="0.2">
      <c r="A720">
        <v>13923</v>
      </c>
      <c r="B720">
        <f t="shared" si="11"/>
        <v>13900</v>
      </c>
      <c r="C720" s="13">
        <v>-1.1413</v>
      </c>
      <c r="D720" s="13">
        <v>-0.97702999999999995</v>
      </c>
      <c r="E720" s="13">
        <v>-1.3055000000000001</v>
      </c>
    </row>
    <row r="721" spans="1:5" x14ac:dyDescent="0.2">
      <c r="A721">
        <v>13933</v>
      </c>
      <c r="B721">
        <f t="shared" si="11"/>
        <v>13900</v>
      </c>
      <c r="C721" s="13">
        <v>-1.1532</v>
      </c>
      <c r="D721" s="13">
        <v>-0.98863000000000001</v>
      </c>
      <c r="E721" s="13">
        <v>-1.3177000000000001</v>
      </c>
    </row>
    <row r="722" spans="1:5" x14ac:dyDescent="0.2">
      <c r="A722">
        <v>13943</v>
      </c>
      <c r="B722">
        <f t="shared" si="11"/>
        <v>13900</v>
      </c>
      <c r="C722" s="13">
        <v>-1.1659999999999999</v>
      </c>
      <c r="D722" s="13">
        <v>-1.0011000000000001</v>
      </c>
      <c r="E722" s="13">
        <v>-1.3308</v>
      </c>
    </row>
    <row r="723" spans="1:5" x14ac:dyDescent="0.2">
      <c r="A723">
        <v>13953</v>
      </c>
      <c r="B723">
        <f t="shared" si="11"/>
        <v>14000</v>
      </c>
      <c r="C723" s="13">
        <v>-1.1797</v>
      </c>
      <c r="D723" s="13">
        <v>-1.0145999999999999</v>
      </c>
      <c r="E723" s="13">
        <v>-1.3447</v>
      </c>
    </row>
    <row r="724" spans="1:5" x14ac:dyDescent="0.2">
      <c r="A724">
        <v>13963</v>
      </c>
      <c r="B724">
        <f t="shared" si="11"/>
        <v>14000</v>
      </c>
      <c r="C724" s="13">
        <v>-1.1940999999999999</v>
      </c>
      <c r="D724" s="13">
        <v>-1.0291999999999999</v>
      </c>
      <c r="E724" s="13">
        <v>-1.359</v>
      </c>
    </row>
    <row r="725" spans="1:5" x14ac:dyDescent="0.2">
      <c r="A725">
        <v>13973</v>
      </c>
      <c r="B725">
        <f t="shared" si="11"/>
        <v>14000</v>
      </c>
      <c r="C725" s="13">
        <v>-1.2092000000000001</v>
      </c>
      <c r="D725" s="13">
        <v>-1.0448</v>
      </c>
      <c r="E725" s="13">
        <v>-1.3735999999999999</v>
      </c>
    </row>
    <row r="726" spans="1:5" x14ac:dyDescent="0.2">
      <c r="A726">
        <v>13983</v>
      </c>
      <c r="B726">
        <f t="shared" si="11"/>
        <v>14000</v>
      </c>
      <c r="C726" s="13">
        <v>-1.2245999999999999</v>
      </c>
      <c r="D726" s="13">
        <v>-1.0609</v>
      </c>
      <c r="E726" s="13">
        <v>-1.3883000000000001</v>
      </c>
    </row>
    <row r="727" spans="1:5" x14ac:dyDescent="0.2">
      <c r="A727">
        <v>13993</v>
      </c>
      <c r="B727">
        <f t="shared" si="11"/>
        <v>14000</v>
      </c>
      <c r="C727" s="13">
        <v>-1.2402</v>
      </c>
      <c r="D727" s="13">
        <v>-1.0772999999999999</v>
      </c>
      <c r="E727" s="13">
        <v>-1.403</v>
      </c>
    </row>
    <row r="728" spans="1:5" x14ac:dyDescent="0.2">
      <c r="A728">
        <v>14003</v>
      </c>
      <c r="B728">
        <f t="shared" si="11"/>
        <v>14000</v>
      </c>
      <c r="C728" s="13">
        <v>-1.2555000000000001</v>
      </c>
      <c r="D728" s="13">
        <v>-1.0934999999999999</v>
      </c>
      <c r="E728" s="13">
        <v>-1.4175</v>
      </c>
    </row>
    <row r="729" spans="1:5" x14ac:dyDescent="0.2">
      <c r="A729">
        <v>14013</v>
      </c>
      <c r="B729">
        <f t="shared" si="11"/>
        <v>14000</v>
      </c>
      <c r="C729" s="13">
        <v>-1.2704</v>
      </c>
      <c r="D729" s="13">
        <v>-1.1092</v>
      </c>
      <c r="E729" s="13">
        <v>-1.4317</v>
      </c>
    </row>
    <row r="730" spans="1:5" x14ac:dyDescent="0.2">
      <c r="A730">
        <v>14023</v>
      </c>
      <c r="B730">
        <f t="shared" si="11"/>
        <v>14000</v>
      </c>
      <c r="C730" s="13">
        <v>-1.2846</v>
      </c>
      <c r="D730" s="13">
        <v>-1.1238999999999999</v>
      </c>
      <c r="E730" s="13">
        <v>-1.4452</v>
      </c>
    </row>
    <row r="731" spans="1:5" x14ac:dyDescent="0.2">
      <c r="A731">
        <v>14033</v>
      </c>
      <c r="B731">
        <f t="shared" si="11"/>
        <v>14000</v>
      </c>
      <c r="C731" s="13">
        <v>-1.2977000000000001</v>
      </c>
      <c r="D731" s="13">
        <v>-1.1374</v>
      </c>
      <c r="E731" s="13">
        <v>-1.458</v>
      </c>
    </row>
    <row r="732" spans="1:5" x14ac:dyDescent="0.2">
      <c r="A732">
        <v>14043</v>
      </c>
      <c r="B732">
        <f t="shared" si="11"/>
        <v>14000</v>
      </c>
      <c r="C732" s="13">
        <v>-1.3096000000000001</v>
      </c>
      <c r="D732" s="13">
        <v>-1.1494</v>
      </c>
      <c r="E732" s="13">
        <v>-1.4698</v>
      </c>
    </row>
    <row r="733" spans="1:5" x14ac:dyDescent="0.2">
      <c r="A733">
        <v>14054</v>
      </c>
      <c r="B733">
        <f t="shared" si="11"/>
        <v>14100</v>
      </c>
      <c r="C733" s="13">
        <v>-1.3198000000000001</v>
      </c>
      <c r="D733" s="13">
        <v>-1.1594</v>
      </c>
      <c r="E733" s="13">
        <v>-1.4802999999999999</v>
      </c>
    </row>
    <row r="734" spans="1:5" x14ac:dyDescent="0.2">
      <c r="A734">
        <v>14064</v>
      </c>
      <c r="B734">
        <f t="shared" si="11"/>
        <v>14100</v>
      </c>
      <c r="C734" s="13">
        <v>-1.3283</v>
      </c>
      <c r="D734" s="13">
        <v>-1.1674</v>
      </c>
      <c r="E734" s="13">
        <v>-1.4892000000000001</v>
      </c>
    </row>
    <row r="735" spans="1:5" x14ac:dyDescent="0.2">
      <c r="A735">
        <v>14074</v>
      </c>
      <c r="B735">
        <f t="shared" si="11"/>
        <v>14100</v>
      </c>
      <c r="C735" s="13">
        <v>-1.3346</v>
      </c>
      <c r="D735" s="13">
        <v>-1.173</v>
      </c>
      <c r="E735" s="13">
        <v>-1.4962</v>
      </c>
    </row>
    <row r="736" spans="1:5" x14ac:dyDescent="0.2">
      <c r="A736">
        <v>14084</v>
      </c>
      <c r="B736">
        <f t="shared" si="11"/>
        <v>14100</v>
      </c>
      <c r="C736" s="13">
        <v>-1.3386</v>
      </c>
      <c r="D736" s="13">
        <v>-1.1759999999999999</v>
      </c>
      <c r="E736" s="13">
        <v>-1.5012000000000001</v>
      </c>
    </row>
    <row r="737" spans="1:5" x14ac:dyDescent="0.2">
      <c r="A737">
        <v>14094</v>
      </c>
      <c r="B737">
        <f t="shared" si="11"/>
        <v>14100</v>
      </c>
      <c r="C737" s="13">
        <v>-1.3404</v>
      </c>
      <c r="D737" s="13">
        <v>-1.1765000000000001</v>
      </c>
      <c r="E737" s="13">
        <v>-1.5042</v>
      </c>
    </row>
    <row r="738" spans="1:5" x14ac:dyDescent="0.2">
      <c r="A738">
        <v>14104</v>
      </c>
      <c r="B738">
        <f t="shared" si="11"/>
        <v>14100</v>
      </c>
      <c r="C738" s="13">
        <v>-1.3402000000000001</v>
      </c>
      <c r="D738" s="13">
        <v>-1.1748000000000001</v>
      </c>
      <c r="E738" s="13">
        <v>-1.5055000000000001</v>
      </c>
    </row>
    <row r="739" spans="1:5" x14ac:dyDescent="0.2">
      <c r="A739">
        <v>14114</v>
      </c>
      <c r="B739">
        <f t="shared" si="11"/>
        <v>14100</v>
      </c>
      <c r="C739" s="13">
        <v>-1.3382000000000001</v>
      </c>
      <c r="D739" s="13">
        <v>-1.1709000000000001</v>
      </c>
      <c r="E739" s="13">
        <v>-1.5055000000000001</v>
      </c>
    </row>
    <row r="740" spans="1:5" x14ac:dyDescent="0.2">
      <c r="A740">
        <v>14124</v>
      </c>
      <c r="B740">
        <f t="shared" si="11"/>
        <v>14100</v>
      </c>
      <c r="C740" s="13">
        <v>-1.3347</v>
      </c>
      <c r="D740" s="13">
        <v>-1.1651</v>
      </c>
      <c r="E740" s="13">
        <v>-1.5044</v>
      </c>
    </row>
    <row r="741" spans="1:5" x14ac:dyDescent="0.2">
      <c r="A741">
        <v>14134</v>
      </c>
      <c r="B741">
        <f t="shared" si="11"/>
        <v>14100</v>
      </c>
      <c r="C741" s="13">
        <v>-1.33</v>
      </c>
      <c r="D741" s="13">
        <v>-1.1576</v>
      </c>
      <c r="E741" s="13">
        <v>-1.5024</v>
      </c>
    </row>
    <row r="742" spans="1:5" x14ac:dyDescent="0.2">
      <c r="A742">
        <v>14144</v>
      </c>
      <c r="B742">
        <f t="shared" si="11"/>
        <v>14100</v>
      </c>
      <c r="C742" s="13">
        <v>-1.3242</v>
      </c>
      <c r="D742" s="13">
        <v>-1.1486000000000001</v>
      </c>
      <c r="E742" s="13">
        <v>-1.4998</v>
      </c>
    </row>
    <row r="743" spans="1:5" x14ac:dyDescent="0.2">
      <c r="A743">
        <v>14154</v>
      </c>
      <c r="B743">
        <f t="shared" si="11"/>
        <v>14200</v>
      </c>
      <c r="C743" s="13">
        <v>-1.3176000000000001</v>
      </c>
      <c r="D743" s="13">
        <v>-1.1385000000000001</v>
      </c>
      <c r="E743" s="13">
        <v>-1.4966999999999999</v>
      </c>
    </row>
    <row r="744" spans="1:5" x14ac:dyDescent="0.2">
      <c r="A744">
        <v>14164</v>
      </c>
      <c r="B744">
        <f t="shared" si="11"/>
        <v>14200</v>
      </c>
      <c r="C744" s="13">
        <v>-1.3104</v>
      </c>
      <c r="D744" s="13">
        <v>-1.1274</v>
      </c>
      <c r="E744" s="13">
        <v>-1.4934000000000001</v>
      </c>
    </row>
    <row r="745" spans="1:5" x14ac:dyDescent="0.2">
      <c r="A745">
        <v>14174</v>
      </c>
      <c r="B745">
        <f t="shared" si="11"/>
        <v>14200</v>
      </c>
      <c r="C745" s="13">
        <v>-1.3028999999999999</v>
      </c>
      <c r="D745" s="13">
        <v>-1.1158999999999999</v>
      </c>
      <c r="E745" s="13">
        <v>-1.4899</v>
      </c>
    </row>
    <row r="746" spans="1:5" x14ac:dyDescent="0.2">
      <c r="A746">
        <v>14185</v>
      </c>
      <c r="B746">
        <f t="shared" si="11"/>
        <v>14200</v>
      </c>
      <c r="C746" s="13">
        <v>-1.2951999999999999</v>
      </c>
      <c r="D746" s="13">
        <v>-1.1040000000000001</v>
      </c>
      <c r="E746" s="13">
        <v>-1.4863999999999999</v>
      </c>
    </row>
    <row r="747" spans="1:5" x14ac:dyDescent="0.2">
      <c r="A747">
        <v>14195</v>
      </c>
      <c r="B747">
        <f t="shared" si="11"/>
        <v>14200</v>
      </c>
      <c r="C747" s="13">
        <v>-1.2876000000000001</v>
      </c>
      <c r="D747" s="13">
        <v>-1.0922000000000001</v>
      </c>
      <c r="E747" s="13">
        <v>-1.4831000000000001</v>
      </c>
    </row>
    <row r="748" spans="1:5" x14ac:dyDescent="0.2">
      <c r="A748">
        <v>14205</v>
      </c>
      <c r="B748">
        <f t="shared" si="11"/>
        <v>14200</v>
      </c>
      <c r="C748" s="13">
        <v>-1.2803</v>
      </c>
      <c r="D748" s="13">
        <v>-1.0806</v>
      </c>
      <c r="E748" s="13">
        <v>-1.4801</v>
      </c>
    </row>
    <row r="749" spans="1:5" x14ac:dyDescent="0.2">
      <c r="A749">
        <v>14215</v>
      </c>
      <c r="B749">
        <f t="shared" si="11"/>
        <v>14200</v>
      </c>
      <c r="C749" s="13">
        <v>-1.2733000000000001</v>
      </c>
      <c r="D749" s="13">
        <v>-1.0692999999999999</v>
      </c>
      <c r="E749" s="13">
        <v>-1.4773000000000001</v>
      </c>
    </row>
    <row r="750" spans="1:5" x14ac:dyDescent="0.2">
      <c r="A750">
        <v>14225</v>
      </c>
      <c r="B750">
        <f t="shared" si="11"/>
        <v>14200</v>
      </c>
      <c r="C750" s="13">
        <v>-1.2665</v>
      </c>
      <c r="D750" s="13">
        <v>-1.0582</v>
      </c>
      <c r="E750" s="13">
        <v>-1.4748000000000001</v>
      </c>
    </row>
    <row r="751" spans="1:5" x14ac:dyDescent="0.2">
      <c r="A751">
        <v>14235</v>
      </c>
      <c r="B751">
        <f t="shared" si="11"/>
        <v>14200</v>
      </c>
      <c r="C751" s="13">
        <v>-1.2598</v>
      </c>
      <c r="D751" s="13">
        <v>-1.0474000000000001</v>
      </c>
      <c r="E751" s="13">
        <v>-1.4722999999999999</v>
      </c>
    </row>
    <row r="752" spans="1:5" x14ac:dyDescent="0.2">
      <c r="A752">
        <v>14245</v>
      </c>
      <c r="B752">
        <f t="shared" si="11"/>
        <v>14200</v>
      </c>
      <c r="C752" s="13">
        <v>-1.2533000000000001</v>
      </c>
      <c r="D752" s="13">
        <v>-1.0367</v>
      </c>
      <c r="E752" s="13">
        <v>-1.4698</v>
      </c>
    </row>
    <row r="753" spans="1:5" x14ac:dyDescent="0.2">
      <c r="A753">
        <v>14255</v>
      </c>
      <c r="B753">
        <f t="shared" si="11"/>
        <v>14300</v>
      </c>
      <c r="C753" s="13">
        <v>-1.2466999999999999</v>
      </c>
      <c r="D753" s="13">
        <v>-1.0262</v>
      </c>
      <c r="E753" s="13">
        <v>-1.4673</v>
      </c>
    </row>
    <row r="754" spans="1:5" x14ac:dyDescent="0.2">
      <c r="A754">
        <v>14265</v>
      </c>
      <c r="B754">
        <f t="shared" si="11"/>
        <v>14300</v>
      </c>
      <c r="C754" s="13">
        <v>-1.2402</v>
      </c>
      <c r="D754" s="13">
        <v>-1.016</v>
      </c>
      <c r="E754" s="13">
        <v>-1.4643999999999999</v>
      </c>
    </row>
    <row r="755" spans="1:5" x14ac:dyDescent="0.2">
      <c r="A755">
        <v>14275</v>
      </c>
      <c r="B755">
        <f t="shared" si="11"/>
        <v>14300</v>
      </c>
      <c r="C755" s="13">
        <v>-1.2336</v>
      </c>
      <c r="D755" s="13">
        <v>-1.0062</v>
      </c>
      <c r="E755" s="13">
        <v>-1.4611000000000001</v>
      </c>
    </row>
    <row r="756" spans="1:5" x14ac:dyDescent="0.2">
      <c r="A756">
        <v>14285</v>
      </c>
      <c r="B756">
        <f t="shared" si="11"/>
        <v>14300</v>
      </c>
      <c r="C756" s="13">
        <v>-1.2270000000000001</v>
      </c>
      <c r="D756" s="13">
        <v>-0.99665999999999999</v>
      </c>
      <c r="E756" s="13">
        <v>-1.4573</v>
      </c>
    </row>
    <row r="757" spans="1:5" x14ac:dyDescent="0.2">
      <c r="A757">
        <v>14295</v>
      </c>
      <c r="B757">
        <f t="shared" si="11"/>
        <v>14300</v>
      </c>
      <c r="C757" s="13">
        <v>-1.2201</v>
      </c>
      <c r="D757" s="13">
        <v>-0.98763000000000001</v>
      </c>
      <c r="E757" s="13">
        <v>-1.4525999999999999</v>
      </c>
    </row>
    <row r="758" spans="1:5" x14ac:dyDescent="0.2">
      <c r="A758">
        <v>14305</v>
      </c>
      <c r="B758">
        <f t="shared" si="11"/>
        <v>14300</v>
      </c>
      <c r="C758" s="13">
        <v>-1.2131000000000001</v>
      </c>
      <c r="D758" s="13">
        <v>-0.97914000000000001</v>
      </c>
      <c r="E758" s="13">
        <v>-1.4470000000000001</v>
      </c>
    </row>
    <row r="759" spans="1:5" x14ac:dyDescent="0.2">
      <c r="A759">
        <v>14315</v>
      </c>
      <c r="B759">
        <f t="shared" si="11"/>
        <v>14300</v>
      </c>
      <c r="C759" s="13">
        <v>-1.2058</v>
      </c>
      <c r="D759" s="13">
        <v>-0.97124999999999995</v>
      </c>
      <c r="E759" s="13">
        <v>-1.4402999999999999</v>
      </c>
    </row>
    <row r="760" spans="1:5" x14ac:dyDescent="0.2">
      <c r="A760">
        <v>14326</v>
      </c>
      <c r="B760">
        <f t="shared" si="11"/>
        <v>14300</v>
      </c>
      <c r="C760" s="13">
        <v>-1.1981999999999999</v>
      </c>
      <c r="D760" s="13">
        <v>-0.96391000000000004</v>
      </c>
      <c r="E760" s="13">
        <v>-1.4325000000000001</v>
      </c>
    </row>
    <row r="761" spans="1:5" x14ac:dyDescent="0.2">
      <c r="A761">
        <v>14336</v>
      </c>
      <c r="B761">
        <f t="shared" si="11"/>
        <v>14300</v>
      </c>
      <c r="C761" s="13">
        <v>-1.1903999999999999</v>
      </c>
      <c r="D761" s="13">
        <v>-0.95704999999999996</v>
      </c>
      <c r="E761" s="13">
        <v>-1.4237</v>
      </c>
    </row>
    <row r="762" spans="1:5" x14ac:dyDescent="0.2">
      <c r="A762">
        <v>14346</v>
      </c>
      <c r="B762">
        <f t="shared" si="11"/>
        <v>14300</v>
      </c>
      <c r="C762" s="13">
        <v>-1.1822999999999999</v>
      </c>
      <c r="D762" s="13">
        <v>-0.95057000000000003</v>
      </c>
      <c r="E762" s="13">
        <v>-1.4140999999999999</v>
      </c>
    </row>
    <row r="763" spans="1:5" x14ac:dyDescent="0.2">
      <c r="A763">
        <v>14356</v>
      </c>
      <c r="B763">
        <f t="shared" si="11"/>
        <v>14400</v>
      </c>
      <c r="C763" s="13">
        <v>-1.1740999999999999</v>
      </c>
      <c r="D763" s="13">
        <v>-0.94438</v>
      </c>
      <c r="E763" s="13">
        <v>-1.4037999999999999</v>
      </c>
    </row>
    <row r="764" spans="1:5" x14ac:dyDescent="0.2">
      <c r="A764">
        <v>14366</v>
      </c>
      <c r="B764">
        <f t="shared" si="11"/>
        <v>14400</v>
      </c>
      <c r="C764" s="13">
        <v>-1.1656</v>
      </c>
      <c r="D764" s="13">
        <v>-0.93842000000000003</v>
      </c>
      <c r="E764" s="13">
        <v>-1.3927</v>
      </c>
    </row>
    <row r="765" spans="1:5" x14ac:dyDescent="0.2">
      <c r="A765">
        <v>14376</v>
      </c>
      <c r="B765">
        <f t="shared" si="11"/>
        <v>14400</v>
      </c>
      <c r="C765" s="13">
        <v>-1.1569</v>
      </c>
      <c r="D765" s="13">
        <v>-0.93259999999999998</v>
      </c>
      <c r="E765" s="13">
        <v>-1.3812</v>
      </c>
    </row>
    <row r="766" spans="1:5" x14ac:dyDescent="0.2">
      <c r="A766">
        <v>14386</v>
      </c>
      <c r="B766">
        <f t="shared" si="11"/>
        <v>14400</v>
      </c>
      <c r="C766" s="13">
        <v>-1.1479999999999999</v>
      </c>
      <c r="D766" s="13">
        <v>-0.92688999999999999</v>
      </c>
      <c r="E766" s="13">
        <v>-1.3691</v>
      </c>
    </row>
    <row r="767" spans="1:5" x14ac:dyDescent="0.2">
      <c r="A767">
        <v>14396</v>
      </c>
      <c r="B767">
        <f t="shared" si="11"/>
        <v>14400</v>
      </c>
      <c r="C767" s="13">
        <v>-1.1389</v>
      </c>
      <c r="D767" s="13">
        <v>-0.92122999999999999</v>
      </c>
      <c r="E767" s="13">
        <v>-1.3565</v>
      </c>
    </row>
    <row r="768" spans="1:5" x14ac:dyDescent="0.2">
      <c r="A768">
        <v>14406</v>
      </c>
      <c r="B768">
        <f t="shared" si="11"/>
        <v>14400</v>
      </c>
      <c r="C768" s="13">
        <v>-1.1295999999999999</v>
      </c>
      <c r="D768" s="13">
        <v>-0.91559000000000001</v>
      </c>
      <c r="E768" s="13">
        <v>-1.3435999999999999</v>
      </c>
    </row>
    <row r="769" spans="1:5" x14ac:dyDescent="0.2">
      <c r="A769">
        <v>14416</v>
      </c>
      <c r="B769">
        <f t="shared" si="11"/>
        <v>14400</v>
      </c>
      <c r="C769" s="13">
        <v>-1.1202000000000001</v>
      </c>
      <c r="D769" s="13">
        <v>-0.90993999999999997</v>
      </c>
      <c r="E769" s="13">
        <v>-1.3304</v>
      </c>
    </row>
    <row r="770" spans="1:5" x14ac:dyDescent="0.2">
      <c r="A770">
        <v>14426</v>
      </c>
      <c r="B770">
        <f t="shared" si="11"/>
        <v>14400</v>
      </c>
      <c r="C770" s="13">
        <v>-1.1106</v>
      </c>
      <c r="D770" s="13">
        <v>-0.90422000000000002</v>
      </c>
      <c r="E770" s="13">
        <v>-1.3169</v>
      </c>
    </row>
    <row r="771" spans="1:5" x14ac:dyDescent="0.2">
      <c r="A771">
        <v>14436</v>
      </c>
      <c r="B771">
        <f t="shared" si="11"/>
        <v>14400</v>
      </c>
      <c r="C771" s="13">
        <v>-1.1008</v>
      </c>
      <c r="D771" s="13">
        <v>-0.89831000000000005</v>
      </c>
      <c r="E771" s="13">
        <v>-1.3032999999999999</v>
      </c>
    </row>
    <row r="772" spans="1:5" x14ac:dyDescent="0.2">
      <c r="A772">
        <v>14446</v>
      </c>
      <c r="B772">
        <f t="shared" ref="B772:B835" si="12">MROUND(A772,100)</f>
        <v>14400</v>
      </c>
      <c r="C772" s="13">
        <v>-1.0909</v>
      </c>
      <c r="D772" s="13">
        <v>-0.89210999999999996</v>
      </c>
      <c r="E772" s="13">
        <v>-1.2896000000000001</v>
      </c>
    </row>
    <row r="773" spans="1:5" x14ac:dyDescent="0.2">
      <c r="A773">
        <v>14457</v>
      </c>
      <c r="B773">
        <f t="shared" si="12"/>
        <v>14500</v>
      </c>
      <c r="C773" s="13">
        <v>-1.0808</v>
      </c>
      <c r="D773" s="13">
        <v>-0.88551000000000002</v>
      </c>
      <c r="E773" s="13">
        <v>-1.276</v>
      </c>
    </row>
    <row r="774" spans="1:5" x14ac:dyDescent="0.2">
      <c r="A774">
        <v>14467</v>
      </c>
      <c r="B774">
        <f t="shared" si="12"/>
        <v>14500</v>
      </c>
      <c r="C774" s="13">
        <v>-1.0705</v>
      </c>
      <c r="D774" s="13">
        <v>-0.87843000000000004</v>
      </c>
      <c r="E774" s="13">
        <v>-1.2625999999999999</v>
      </c>
    </row>
    <row r="775" spans="1:5" x14ac:dyDescent="0.2">
      <c r="A775">
        <v>14477</v>
      </c>
      <c r="B775">
        <f t="shared" si="12"/>
        <v>14500</v>
      </c>
      <c r="C775" s="13">
        <v>-1.0601</v>
      </c>
      <c r="D775" s="13">
        <v>-0.87080999999999997</v>
      </c>
      <c r="E775" s="13">
        <v>-1.2494000000000001</v>
      </c>
    </row>
    <row r="776" spans="1:5" x14ac:dyDescent="0.2">
      <c r="A776">
        <v>14487</v>
      </c>
      <c r="B776">
        <f t="shared" si="12"/>
        <v>14500</v>
      </c>
      <c r="C776" s="13">
        <v>-1.0495000000000001</v>
      </c>
      <c r="D776" s="13">
        <v>-0.86260000000000003</v>
      </c>
      <c r="E776" s="13">
        <v>-1.2363999999999999</v>
      </c>
    </row>
    <row r="777" spans="1:5" x14ac:dyDescent="0.2">
      <c r="A777">
        <v>14497</v>
      </c>
      <c r="B777">
        <f t="shared" si="12"/>
        <v>14500</v>
      </c>
      <c r="C777" s="13">
        <v>-1.0387</v>
      </c>
      <c r="D777" s="13">
        <v>-0.85380999999999996</v>
      </c>
      <c r="E777" s="13">
        <v>-1.2237</v>
      </c>
    </row>
    <row r="778" spans="1:5" x14ac:dyDescent="0.2">
      <c r="A778">
        <v>14507</v>
      </c>
      <c r="B778">
        <f t="shared" si="12"/>
        <v>14500</v>
      </c>
      <c r="C778" s="13">
        <v>-1.0278</v>
      </c>
      <c r="D778" s="13">
        <v>-0.84443000000000001</v>
      </c>
      <c r="E778" s="13">
        <v>-1.2112000000000001</v>
      </c>
    </row>
    <row r="779" spans="1:5" x14ac:dyDescent="0.2">
      <c r="A779">
        <v>14517</v>
      </c>
      <c r="B779">
        <f t="shared" si="12"/>
        <v>14500</v>
      </c>
      <c r="C779" s="13">
        <v>-1.0166999999999999</v>
      </c>
      <c r="D779" s="13">
        <v>-0.83447000000000005</v>
      </c>
      <c r="E779" s="13">
        <v>-1.1990000000000001</v>
      </c>
    </row>
    <row r="780" spans="1:5" x14ac:dyDescent="0.2">
      <c r="A780">
        <v>14527</v>
      </c>
      <c r="B780">
        <f t="shared" si="12"/>
        <v>14500</v>
      </c>
      <c r="C780" s="13">
        <v>-1.0055000000000001</v>
      </c>
      <c r="D780" s="13">
        <v>-0.82396999999999998</v>
      </c>
      <c r="E780" s="13">
        <v>-1.1870000000000001</v>
      </c>
    </row>
    <row r="781" spans="1:5" x14ac:dyDescent="0.2">
      <c r="A781">
        <v>14537</v>
      </c>
      <c r="B781">
        <f t="shared" si="12"/>
        <v>14500</v>
      </c>
      <c r="C781" s="13">
        <v>-0.99421999999999999</v>
      </c>
      <c r="D781" s="13">
        <v>-0.81306999999999996</v>
      </c>
      <c r="E781" s="13">
        <v>-1.1754</v>
      </c>
    </row>
    <row r="782" spans="1:5" x14ac:dyDescent="0.2">
      <c r="A782">
        <v>14547</v>
      </c>
      <c r="B782">
        <f t="shared" si="12"/>
        <v>14500</v>
      </c>
      <c r="C782" s="13">
        <v>-0.98316999999999999</v>
      </c>
      <c r="D782" s="13">
        <v>-0.80200000000000005</v>
      </c>
      <c r="E782" s="13">
        <v>-1.1642999999999999</v>
      </c>
    </row>
    <row r="783" spans="1:5" x14ac:dyDescent="0.2">
      <c r="A783">
        <v>14557</v>
      </c>
      <c r="B783">
        <f t="shared" si="12"/>
        <v>14600</v>
      </c>
      <c r="C783" s="13">
        <v>-0.97253999999999996</v>
      </c>
      <c r="D783" s="13">
        <v>-0.79096999999999995</v>
      </c>
      <c r="E783" s="13">
        <v>-1.1540999999999999</v>
      </c>
    </row>
    <row r="784" spans="1:5" x14ac:dyDescent="0.2">
      <c r="A784">
        <v>14567</v>
      </c>
      <c r="B784">
        <f t="shared" si="12"/>
        <v>14600</v>
      </c>
      <c r="C784" s="13">
        <v>-0.96255999999999997</v>
      </c>
      <c r="D784" s="13">
        <v>-0.7802</v>
      </c>
      <c r="E784" s="13">
        <v>-1.1449</v>
      </c>
    </row>
    <row r="785" spans="1:5" x14ac:dyDescent="0.2">
      <c r="A785">
        <v>14577</v>
      </c>
      <c r="B785">
        <f t="shared" si="12"/>
        <v>14600</v>
      </c>
      <c r="C785" s="13">
        <v>-0.95343999999999995</v>
      </c>
      <c r="D785" s="13">
        <v>-0.76993</v>
      </c>
      <c r="E785" s="13">
        <v>-1.1369</v>
      </c>
    </row>
    <row r="786" spans="1:5" x14ac:dyDescent="0.2">
      <c r="A786">
        <v>14587</v>
      </c>
      <c r="B786">
        <f t="shared" si="12"/>
        <v>14600</v>
      </c>
      <c r="C786" s="13">
        <v>-0.94540000000000002</v>
      </c>
      <c r="D786" s="13">
        <v>-0.76041000000000003</v>
      </c>
      <c r="E786" s="13">
        <v>-1.1304000000000001</v>
      </c>
    </row>
    <row r="787" spans="1:5" x14ac:dyDescent="0.2">
      <c r="A787">
        <v>14598</v>
      </c>
      <c r="B787">
        <f t="shared" si="12"/>
        <v>14600</v>
      </c>
      <c r="C787" s="13">
        <v>-0.93866000000000005</v>
      </c>
      <c r="D787" s="13">
        <v>-0.75188999999999995</v>
      </c>
      <c r="E787" s="13">
        <v>-1.1254</v>
      </c>
    </row>
    <row r="788" spans="1:5" x14ac:dyDescent="0.2">
      <c r="A788">
        <v>14608</v>
      </c>
      <c r="B788">
        <f t="shared" si="12"/>
        <v>14600</v>
      </c>
      <c r="C788" s="13">
        <v>-0.93345</v>
      </c>
      <c r="D788" s="13">
        <v>-0.74465999999999999</v>
      </c>
      <c r="E788" s="13">
        <v>-1.1222000000000001</v>
      </c>
    </row>
    <row r="789" spans="1:5" x14ac:dyDescent="0.2">
      <c r="A789">
        <v>14618</v>
      </c>
      <c r="B789">
        <f t="shared" si="12"/>
        <v>14600</v>
      </c>
      <c r="C789" s="13">
        <v>-0.92996999999999996</v>
      </c>
      <c r="D789" s="13">
        <v>-0.73902000000000001</v>
      </c>
      <c r="E789" s="13">
        <v>-1.1209</v>
      </c>
    </row>
    <row r="790" spans="1:5" x14ac:dyDescent="0.2">
      <c r="A790">
        <v>14628</v>
      </c>
      <c r="B790">
        <f t="shared" si="12"/>
        <v>14600</v>
      </c>
      <c r="C790" s="13">
        <v>-0.92845</v>
      </c>
      <c r="D790" s="13">
        <v>-0.73528000000000004</v>
      </c>
      <c r="E790" s="13">
        <v>-1.1215999999999999</v>
      </c>
    </row>
    <row r="791" spans="1:5" x14ac:dyDescent="0.2">
      <c r="A791">
        <v>14638</v>
      </c>
      <c r="B791">
        <f t="shared" si="12"/>
        <v>14600</v>
      </c>
      <c r="C791" s="13">
        <v>-0.92910999999999999</v>
      </c>
      <c r="D791" s="13">
        <v>-0.73370999999999997</v>
      </c>
      <c r="E791" s="13">
        <v>-1.1245000000000001</v>
      </c>
    </row>
    <row r="792" spans="1:5" x14ac:dyDescent="0.2">
      <c r="A792">
        <v>14648</v>
      </c>
      <c r="B792">
        <f t="shared" si="12"/>
        <v>14600</v>
      </c>
      <c r="C792" s="13">
        <v>-0.93193999999999999</v>
      </c>
      <c r="D792" s="13">
        <v>-0.73436000000000001</v>
      </c>
      <c r="E792" s="13">
        <v>-1.1294999999999999</v>
      </c>
    </row>
    <row r="793" spans="1:5" x14ac:dyDescent="0.2">
      <c r="A793">
        <v>14658</v>
      </c>
      <c r="B793">
        <f t="shared" si="12"/>
        <v>14700</v>
      </c>
      <c r="C793" s="13">
        <v>-0.93676999999999999</v>
      </c>
      <c r="D793" s="13">
        <v>-0.73707</v>
      </c>
      <c r="E793" s="13">
        <v>-1.1365000000000001</v>
      </c>
    </row>
    <row r="794" spans="1:5" x14ac:dyDescent="0.2">
      <c r="A794">
        <v>14668</v>
      </c>
      <c r="B794">
        <f t="shared" si="12"/>
        <v>14700</v>
      </c>
      <c r="C794" s="13">
        <v>-0.94342999999999999</v>
      </c>
      <c r="D794" s="13">
        <v>-0.74165000000000003</v>
      </c>
      <c r="E794" s="13">
        <v>-1.1452</v>
      </c>
    </row>
    <row r="795" spans="1:5" x14ac:dyDescent="0.2">
      <c r="A795">
        <v>14678</v>
      </c>
      <c r="B795">
        <f t="shared" si="12"/>
        <v>14700</v>
      </c>
      <c r="C795" s="13">
        <v>-0.95172999999999996</v>
      </c>
      <c r="D795" s="13">
        <v>-0.74795</v>
      </c>
      <c r="E795" s="13">
        <v>-1.1555</v>
      </c>
    </row>
    <row r="796" spans="1:5" x14ac:dyDescent="0.2">
      <c r="A796">
        <v>14688</v>
      </c>
      <c r="B796">
        <f t="shared" si="12"/>
        <v>14700</v>
      </c>
      <c r="C796" s="13">
        <v>-0.96148999999999996</v>
      </c>
      <c r="D796" s="13">
        <v>-0.75582000000000005</v>
      </c>
      <c r="E796" s="13">
        <v>-1.1672</v>
      </c>
    </row>
    <row r="797" spans="1:5" x14ac:dyDescent="0.2">
      <c r="A797">
        <v>14698</v>
      </c>
      <c r="B797">
        <f t="shared" si="12"/>
        <v>14700</v>
      </c>
      <c r="C797" s="13">
        <v>-0.97253999999999996</v>
      </c>
      <c r="D797" s="13">
        <v>-0.76515999999999995</v>
      </c>
      <c r="E797" s="13">
        <v>-1.1798999999999999</v>
      </c>
    </row>
    <row r="798" spans="1:5" x14ac:dyDescent="0.2">
      <c r="A798">
        <v>14708</v>
      </c>
      <c r="B798">
        <f t="shared" si="12"/>
        <v>14700</v>
      </c>
      <c r="C798" s="13">
        <v>-0.98468999999999995</v>
      </c>
      <c r="D798" s="13">
        <v>-0.77583999999999997</v>
      </c>
      <c r="E798" s="13">
        <v>-1.1935</v>
      </c>
    </row>
    <row r="799" spans="1:5" x14ac:dyDescent="0.2">
      <c r="A799">
        <v>14718</v>
      </c>
      <c r="B799">
        <f t="shared" si="12"/>
        <v>14700</v>
      </c>
      <c r="C799" s="13">
        <v>-0.99777000000000005</v>
      </c>
      <c r="D799" s="13">
        <v>-0.78778000000000004</v>
      </c>
      <c r="E799" s="13">
        <v>-1.2078</v>
      </c>
    </row>
    <row r="800" spans="1:5" x14ac:dyDescent="0.2">
      <c r="A800">
        <v>14728</v>
      </c>
      <c r="B800">
        <f t="shared" si="12"/>
        <v>14700</v>
      </c>
      <c r="C800" s="13">
        <v>-1.0116000000000001</v>
      </c>
      <c r="D800" s="13">
        <v>-0.80088000000000004</v>
      </c>
      <c r="E800" s="13">
        <v>-1.2222999999999999</v>
      </c>
    </row>
    <row r="801" spans="1:5" x14ac:dyDescent="0.2">
      <c r="A801">
        <v>14739</v>
      </c>
      <c r="B801">
        <f t="shared" si="12"/>
        <v>14700</v>
      </c>
      <c r="C801" s="13">
        <v>-1.026</v>
      </c>
      <c r="D801" s="13">
        <v>-0.81503999999999999</v>
      </c>
      <c r="E801" s="13">
        <v>-1.2369000000000001</v>
      </c>
    </row>
    <row r="802" spans="1:5" x14ac:dyDescent="0.2">
      <c r="A802">
        <v>14749</v>
      </c>
      <c r="B802">
        <f t="shared" si="12"/>
        <v>14700</v>
      </c>
      <c r="C802" s="13">
        <v>-1.0407</v>
      </c>
      <c r="D802" s="13">
        <v>-0.83013999999999999</v>
      </c>
      <c r="E802" s="13">
        <v>-1.2513000000000001</v>
      </c>
    </row>
    <row r="803" spans="1:5" x14ac:dyDescent="0.2">
      <c r="A803">
        <v>14759</v>
      </c>
      <c r="B803">
        <f t="shared" si="12"/>
        <v>14800</v>
      </c>
      <c r="C803" s="13">
        <v>-1.0557000000000001</v>
      </c>
      <c r="D803" s="13">
        <v>-0.84604000000000001</v>
      </c>
      <c r="E803" s="13">
        <v>-1.2654000000000001</v>
      </c>
    </row>
    <row r="804" spans="1:5" x14ac:dyDescent="0.2">
      <c r="A804">
        <v>14769</v>
      </c>
      <c r="B804">
        <f t="shared" si="12"/>
        <v>14800</v>
      </c>
      <c r="C804" s="13">
        <v>-1.0707</v>
      </c>
      <c r="D804" s="13">
        <v>-0.86245000000000005</v>
      </c>
      <c r="E804" s="13">
        <v>-1.2789999999999999</v>
      </c>
    </row>
    <row r="805" spans="1:5" x14ac:dyDescent="0.2">
      <c r="A805">
        <v>14779</v>
      </c>
      <c r="B805">
        <f t="shared" si="12"/>
        <v>14800</v>
      </c>
      <c r="C805" s="13">
        <v>-1.0855999999999999</v>
      </c>
      <c r="D805" s="13">
        <v>-0.87892000000000003</v>
      </c>
      <c r="E805" s="13">
        <v>-1.2923</v>
      </c>
    </row>
    <row r="806" spans="1:5" x14ac:dyDescent="0.2">
      <c r="A806">
        <v>14789</v>
      </c>
      <c r="B806">
        <f t="shared" si="12"/>
        <v>14800</v>
      </c>
      <c r="C806" s="13">
        <v>-1.1002000000000001</v>
      </c>
      <c r="D806" s="13">
        <v>-0.89503999999999995</v>
      </c>
      <c r="E806" s="13">
        <v>-1.3052999999999999</v>
      </c>
    </row>
    <row r="807" spans="1:5" x14ac:dyDescent="0.2">
      <c r="A807">
        <v>14799</v>
      </c>
      <c r="B807">
        <f t="shared" si="12"/>
        <v>14800</v>
      </c>
      <c r="C807" s="13">
        <v>-1.1142000000000001</v>
      </c>
      <c r="D807" s="13">
        <v>-0.91041000000000005</v>
      </c>
      <c r="E807" s="13">
        <v>-1.3181</v>
      </c>
    </row>
    <row r="808" spans="1:5" x14ac:dyDescent="0.2">
      <c r="A808">
        <v>14809</v>
      </c>
      <c r="B808">
        <f t="shared" si="12"/>
        <v>14800</v>
      </c>
      <c r="C808" s="13">
        <v>-1.1276999999999999</v>
      </c>
      <c r="D808" s="13">
        <v>-0.92467999999999995</v>
      </c>
      <c r="E808" s="13">
        <v>-1.3307</v>
      </c>
    </row>
    <row r="809" spans="1:5" x14ac:dyDescent="0.2">
      <c r="A809">
        <v>14819</v>
      </c>
      <c r="B809">
        <f t="shared" si="12"/>
        <v>14800</v>
      </c>
      <c r="C809" s="13">
        <v>-1.1403000000000001</v>
      </c>
      <c r="D809" s="13">
        <v>-0.93759000000000003</v>
      </c>
      <c r="E809" s="13">
        <v>-1.343</v>
      </c>
    </row>
    <row r="810" spans="1:5" x14ac:dyDescent="0.2">
      <c r="A810">
        <v>14829</v>
      </c>
      <c r="B810">
        <f t="shared" si="12"/>
        <v>14800</v>
      </c>
      <c r="C810" s="13">
        <v>-1.1518999999999999</v>
      </c>
      <c r="D810" s="13">
        <v>-0.94891999999999999</v>
      </c>
      <c r="E810" s="13">
        <v>-1.355</v>
      </c>
    </row>
    <row r="811" spans="1:5" x14ac:dyDescent="0.2">
      <c r="A811">
        <v>14839</v>
      </c>
      <c r="B811">
        <f t="shared" si="12"/>
        <v>14800</v>
      </c>
      <c r="C811" s="13">
        <v>-1.1624000000000001</v>
      </c>
      <c r="D811" s="13">
        <v>-0.95855000000000001</v>
      </c>
      <c r="E811" s="13">
        <v>-1.3663000000000001</v>
      </c>
    </row>
    <row r="812" spans="1:5" x14ac:dyDescent="0.2">
      <c r="A812">
        <v>14849</v>
      </c>
      <c r="B812">
        <f t="shared" si="12"/>
        <v>14800</v>
      </c>
      <c r="C812" s="13">
        <v>-1.1716</v>
      </c>
      <c r="D812" s="13">
        <v>-0.96640999999999999</v>
      </c>
      <c r="E812" s="13">
        <v>-1.3768</v>
      </c>
    </row>
    <row r="813" spans="1:5" x14ac:dyDescent="0.2">
      <c r="A813">
        <v>14859</v>
      </c>
      <c r="B813">
        <f t="shared" si="12"/>
        <v>14900</v>
      </c>
      <c r="C813" s="13">
        <v>-1.1793</v>
      </c>
      <c r="D813" s="13">
        <v>-0.97245999999999999</v>
      </c>
      <c r="E813" s="13">
        <v>-1.3861000000000001</v>
      </c>
    </row>
    <row r="814" spans="1:5" x14ac:dyDescent="0.2">
      <c r="A814">
        <v>14870</v>
      </c>
      <c r="B814">
        <f t="shared" si="12"/>
        <v>14900</v>
      </c>
      <c r="C814" s="13">
        <v>-1.1853</v>
      </c>
      <c r="D814" s="13">
        <v>-0.97670999999999997</v>
      </c>
      <c r="E814" s="13">
        <v>-1.3938999999999999</v>
      </c>
    </row>
    <row r="815" spans="1:5" x14ac:dyDescent="0.2">
      <c r="A815">
        <v>14880</v>
      </c>
      <c r="B815">
        <f t="shared" si="12"/>
        <v>14900</v>
      </c>
      <c r="C815" s="13">
        <v>-1.1895</v>
      </c>
      <c r="D815" s="13">
        <v>-0.97914000000000001</v>
      </c>
      <c r="E815" s="13">
        <v>-1.3998999999999999</v>
      </c>
    </row>
    <row r="816" spans="1:5" x14ac:dyDescent="0.2">
      <c r="A816">
        <v>14890</v>
      </c>
      <c r="B816">
        <f t="shared" si="12"/>
        <v>14900</v>
      </c>
      <c r="C816" s="13">
        <v>-1.1919999999999999</v>
      </c>
      <c r="D816" s="13">
        <v>-0.97985999999999995</v>
      </c>
      <c r="E816" s="13">
        <v>-1.4040999999999999</v>
      </c>
    </row>
    <row r="817" spans="1:5" x14ac:dyDescent="0.2">
      <c r="A817">
        <v>14900</v>
      </c>
      <c r="B817">
        <f t="shared" si="12"/>
        <v>14900</v>
      </c>
      <c r="C817" s="13">
        <v>-1.1928000000000001</v>
      </c>
      <c r="D817" s="13">
        <v>-0.97902999999999996</v>
      </c>
      <c r="E817" s="13">
        <v>-1.4066000000000001</v>
      </c>
    </row>
    <row r="818" spans="1:5" x14ac:dyDescent="0.2">
      <c r="A818">
        <v>14910</v>
      </c>
      <c r="B818">
        <f t="shared" si="12"/>
        <v>14900</v>
      </c>
      <c r="C818" s="13">
        <v>-1.1922999999999999</v>
      </c>
      <c r="D818" s="13">
        <v>-0.97677000000000003</v>
      </c>
      <c r="E818" s="13">
        <v>-1.4077999999999999</v>
      </c>
    </row>
    <row r="819" spans="1:5" x14ac:dyDescent="0.2">
      <c r="A819">
        <v>14920</v>
      </c>
      <c r="B819">
        <f t="shared" si="12"/>
        <v>14900</v>
      </c>
      <c r="C819" s="13">
        <v>-1.1906000000000001</v>
      </c>
      <c r="D819" s="13">
        <v>-0.97319999999999995</v>
      </c>
      <c r="E819" s="13">
        <v>-1.4078999999999999</v>
      </c>
    </row>
    <row r="820" spans="1:5" x14ac:dyDescent="0.2">
      <c r="A820">
        <v>14930</v>
      </c>
      <c r="B820">
        <f t="shared" si="12"/>
        <v>14900</v>
      </c>
      <c r="C820" s="13">
        <v>-1.1878</v>
      </c>
      <c r="D820" s="13">
        <v>-0.96841999999999995</v>
      </c>
      <c r="E820" s="13">
        <v>-1.4071</v>
      </c>
    </row>
    <row r="821" spans="1:5" x14ac:dyDescent="0.2">
      <c r="A821">
        <v>14940</v>
      </c>
      <c r="B821">
        <f t="shared" si="12"/>
        <v>14900</v>
      </c>
      <c r="C821" s="13">
        <v>-1.1840999999999999</v>
      </c>
      <c r="D821" s="13">
        <v>-0.96255000000000002</v>
      </c>
      <c r="E821" s="13">
        <v>-1.4056999999999999</v>
      </c>
    </row>
    <row r="822" spans="1:5" x14ac:dyDescent="0.2">
      <c r="A822">
        <v>14950</v>
      </c>
      <c r="B822">
        <f t="shared" si="12"/>
        <v>15000</v>
      </c>
      <c r="C822" s="13">
        <v>-1.1798</v>
      </c>
      <c r="D822" s="13">
        <v>-0.95576000000000005</v>
      </c>
      <c r="E822" s="13">
        <v>-1.4038999999999999</v>
      </c>
    </row>
    <row r="823" spans="1:5" x14ac:dyDescent="0.2">
      <c r="A823">
        <v>14960</v>
      </c>
      <c r="B823">
        <f t="shared" si="12"/>
        <v>15000</v>
      </c>
      <c r="C823" s="13">
        <v>-1.175</v>
      </c>
      <c r="D823" s="13">
        <v>-0.94821999999999995</v>
      </c>
      <c r="E823" s="13">
        <v>-1.4017999999999999</v>
      </c>
    </row>
    <row r="824" spans="1:5" x14ac:dyDescent="0.2">
      <c r="A824">
        <v>14970</v>
      </c>
      <c r="B824">
        <f t="shared" si="12"/>
        <v>15000</v>
      </c>
      <c r="C824" s="13">
        <v>-1.1698999999999999</v>
      </c>
      <c r="D824" s="13">
        <v>-0.94013000000000002</v>
      </c>
      <c r="E824" s="13">
        <v>-1.3996999999999999</v>
      </c>
    </row>
    <row r="825" spans="1:5" x14ac:dyDescent="0.2">
      <c r="A825">
        <v>14980</v>
      </c>
      <c r="B825">
        <f t="shared" si="12"/>
        <v>15000</v>
      </c>
      <c r="C825" s="13">
        <v>-1.1647000000000001</v>
      </c>
      <c r="D825" s="13">
        <v>-0.93174999999999997</v>
      </c>
      <c r="E825" s="13">
        <v>-1.3976</v>
      </c>
    </row>
    <row r="826" spans="1:5" x14ac:dyDescent="0.2">
      <c r="A826">
        <v>14990</v>
      </c>
      <c r="B826">
        <f t="shared" si="12"/>
        <v>15000</v>
      </c>
      <c r="C826" s="13">
        <v>-1.1595</v>
      </c>
      <c r="D826" s="13">
        <v>-0.92332000000000003</v>
      </c>
      <c r="E826" s="13">
        <v>-1.3957999999999999</v>
      </c>
    </row>
    <row r="827" spans="1:5" x14ac:dyDescent="0.2">
      <c r="A827">
        <v>15000</v>
      </c>
      <c r="B827">
        <f t="shared" si="12"/>
        <v>15000</v>
      </c>
      <c r="C827" s="13">
        <v>-1.1546000000000001</v>
      </c>
      <c r="D827" s="13">
        <v>-0.91513999999999995</v>
      </c>
      <c r="E827" s="13">
        <v>-1.3940999999999999</v>
      </c>
    </row>
    <row r="828" spans="1:5" x14ac:dyDescent="0.2">
      <c r="A828">
        <v>15011</v>
      </c>
      <c r="B828">
        <f t="shared" si="12"/>
        <v>15000</v>
      </c>
      <c r="C828" s="13">
        <v>-1.1500999999999999</v>
      </c>
      <c r="D828" s="13">
        <v>-0.90742</v>
      </c>
      <c r="E828" s="13">
        <v>-1.3928</v>
      </c>
    </row>
    <row r="829" spans="1:5" x14ac:dyDescent="0.2">
      <c r="A829">
        <v>15021</v>
      </c>
      <c r="B829">
        <f t="shared" si="12"/>
        <v>15000</v>
      </c>
      <c r="C829" s="13">
        <v>-1.1462000000000001</v>
      </c>
      <c r="D829" s="13">
        <v>-0.90037</v>
      </c>
      <c r="E829" s="13">
        <v>-1.3919999999999999</v>
      </c>
    </row>
    <row r="830" spans="1:5" x14ac:dyDescent="0.2">
      <c r="A830">
        <v>15031</v>
      </c>
      <c r="B830">
        <f t="shared" si="12"/>
        <v>15000</v>
      </c>
      <c r="C830" s="13">
        <v>-1.143</v>
      </c>
      <c r="D830" s="13">
        <v>-0.89417999999999997</v>
      </c>
      <c r="E830" s="13">
        <v>-1.3917999999999999</v>
      </c>
    </row>
    <row r="831" spans="1:5" x14ac:dyDescent="0.2">
      <c r="A831">
        <v>15041</v>
      </c>
      <c r="B831">
        <f t="shared" si="12"/>
        <v>15000</v>
      </c>
      <c r="C831" s="13">
        <v>-1.1406000000000001</v>
      </c>
      <c r="D831" s="13">
        <v>-0.88902999999999999</v>
      </c>
      <c r="E831" s="13">
        <v>-1.3923000000000001</v>
      </c>
    </row>
    <row r="832" spans="1:5" x14ac:dyDescent="0.2">
      <c r="A832">
        <v>15051</v>
      </c>
      <c r="B832">
        <f t="shared" si="12"/>
        <v>15100</v>
      </c>
      <c r="C832" s="13">
        <v>-1.1393</v>
      </c>
      <c r="D832" s="13">
        <v>-0.88514000000000004</v>
      </c>
      <c r="E832" s="13">
        <v>-1.3935999999999999</v>
      </c>
    </row>
    <row r="833" spans="1:5" x14ac:dyDescent="0.2">
      <c r="A833">
        <v>15061</v>
      </c>
      <c r="B833">
        <f t="shared" si="12"/>
        <v>15100</v>
      </c>
      <c r="C833" s="13">
        <v>-1.1392</v>
      </c>
      <c r="D833" s="13">
        <v>-0.88271999999999995</v>
      </c>
      <c r="E833" s="13">
        <v>-1.3957999999999999</v>
      </c>
    </row>
    <row r="834" spans="1:5" x14ac:dyDescent="0.2">
      <c r="A834">
        <v>15071</v>
      </c>
      <c r="B834">
        <f t="shared" si="12"/>
        <v>15100</v>
      </c>
      <c r="C834" s="13">
        <v>-1.1405000000000001</v>
      </c>
      <c r="D834" s="13">
        <v>-0.88200999999999996</v>
      </c>
      <c r="E834" s="13">
        <v>-1.399</v>
      </c>
    </row>
    <row r="835" spans="1:5" x14ac:dyDescent="0.2">
      <c r="A835">
        <v>15081</v>
      </c>
      <c r="B835">
        <f t="shared" si="12"/>
        <v>15100</v>
      </c>
      <c r="C835" s="13">
        <v>-1.1432</v>
      </c>
      <c r="D835" s="13">
        <v>-0.88324000000000003</v>
      </c>
      <c r="E835" s="13">
        <v>-1.4032</v>
      </c>
    </row>
    <row r="836" spans="1:5" x14ac:dyDescent="0.2">
      <c r="A836">
        <v>15091</v>
      </c>
      <c r="B836">
        <f t="shared" ref="B836:B899" si="13">MROUND(A836,100)</f>
        <v>15100</v>
      </c>
      <c r="C836" s="13">
        <v>-1.1476999999999999</v>
      </c>
      <c r="D836" s="13">
        <v>-0.88665000000000005</v>
      </c>
      <c r="E836" s="13">
        <v>-1.4086000000000001</v>
      </c>
    </row>
    <row r="837" spans="1:5" x14ac:dyDescent="0.2">
      <c r="A837">
        <v>15101</v>
      </c>
      <c r="B837">
        <f t="shared" si="13"/>
        <v>15100</v>
      </c>
      <c r="C837" s="13">
        <v>-1.1538999999999999</v>
      </c>
      <c r="D837" s="13">
        <v>-0.89251000000000003</v>
      </c>
      <c r="E837" s="13">
        <v>-1.4152</v>
      </c>
    </row>
    <row r="838" spans="1:5" x14ac:dyDescent="0.2">
      <c r="A838">
        <v>15111</v>
      </c>
      <c r="B838">
        <f t="shared" si="13"/>
        <v>15100</v>
      </c>
      <c r="C838" s="13">
        <v>-1.1620999999999999</v>
      </c>
      <c r="D838" s="13">
        <v>-0.90103999999999995</v>
      </c>
      <c r="E838" s="13">
        <v>-1.4231</v>
      </c>
    </row>
    <row r="839" spans="1:5" x14ac:dyDescent="0.2">
      <c r="A839">
        <v>15121</v>
      </c>
      <c r="B839">
        <f t="shared" si="13"/>
        <v>15100</v>
      </c>
      <c r="C839" s="13">
        <v>-1.1724000000000001</v>
      </c>
      <c r="D839" s="13">
        <v>-0.91247999999999996</v>
      </c>
      <c r="E839" s="13">
        <v>-1.4322999999999999</v>
      </c>
    </row>
    <row r="840" spans="1:5" x14ac:dyDescent="0.2">
      <c r="A840">
        <v>15131</v>
      </c>
      <c r="B840">
        <f t="shared" si="13"/>
        <v>15100</v>
      </c>
      <c r="C840" s="13">
        <v>-1.1847000000000001</v>
      </c>
      <c r="D840" s="13">
        <v>-0.92674000000000001</v>
      </c>
      <c r="E840" s="13">
        <v>-1.4427000000000001</v>
      </c>
    </row>
    <row r="841" spans="1:5" x14ac:dyDescent="0.2">
      <c r="A841">
        <v>15141</v>
      </c>
      <c r="B841">
        <f t="shared" si="13"/>
        <v>15100</v>
      </c>
      <c r="C841" s="13">
        <v>-1.1989000000000001</v>
      </c>
      <c r="D841" s="13">
        <v>-0.94343999999999995</v>
      </c>
      <c r="E841" s="13">
        <v>-1.4542999999999999</v>
      </c>
    </row>
    <row r="842" spans="1:5" x14ac:dyDescent="0.2">
      <c r="A842">
        <v>15152</v>
      </c>
      <c r="B842">
        <f t="shared" si="13"/>
        <v>15200</v>
      </c>
      <c r="C842" s="13">
        <v>-1.2145999999999999</v>
      </c>
      <c r="D842" s="13">
        <v>-0.96223999999999998</v>
      </c>
      <c r="E842" s="13">
        <v>-1.4669000000000001</v>
      </c>
    </row>
    <row r="843" spans="1:5" x14ac:dyDescent="0.2">
      <c r="A843">
        <v>15162</v>
      </c>
      <c r="B843">
        <f t="shared" si="13"/>
        <v>15200</v>
      </c>
      <c r="C843" s="13">
        <v>-1.2315</v>
      </c>
      <c r="D843" s="13">
        <v>-0.98275000000000001</v>
      </c>
      <c r="E843" s="13">
        <v>-1.4802999999999999</v>
      </c>
    </row>
    <row r="844" spans="1:5" x14ac:dyDescent="0.2">
      <c r="A844">
        <v>15172</v>
      </c>
      <c r="B844">
        <f t="shared" si="13"/>
        <v>15200</v>
      </c>
      <c r="C844" s="13">
        <v>-1.2495000000000001</v>
      </c>
      <c r="D844" s="13">
        <v>-1.0045999999999999</v>
      </c>
      <c r="E844" s="13">
        <v>-1.4944999999999999</v>
      </c>
    </row>
    <row r="845" spans="1:5" x14ac:dyDescent="0.2">
      <c r="A845">
        <v>15182</v>
      </c>
      <c r="B845">
        <f t="shared" si="13"/>
        <v>15200</v>
      </c>
      <c r="C845" s="13">
        <v>-1.2683</v>
      </c>
      <c r="D845" s="13">
        <v>-1.0275000000000001</v>
      </c>
      <c r="E845" s="13">
        <v>-1.5092000000000001</v>
      </c>
    </row>
    <row r="846" spans="1:5" x14ac:dyDescent="0.2">
      <c r="A846">
        <v>15192</v>
      </c>
      <c r="B846">
        <f t="shared" si="13"/>
        <v>15200</v>
      </c>
      <c r="C846" s="13">
        <v>-1.2877000000000001</v>
      </c>
      <c r="D846" s="13">
        <v>-1.0510999999999999</v>
      </c>
      <c r="E846" s="13">
        <v>-1.5242</v>
      </c>
    </row>
    <row r="847" spans="1:5" x14ac:dyDescent="0.2">
      <c r="A847">
        <v>15202</v>
      </c>
      <c r="B847">
        <f t="shared" si="13"/>
        <v>15200</v>
      </c>
      <c r="C847" s="13">
        <v>-1.3072999999999999</v>
      </c>
      <c r="D847" s="13">
        <v>-1.075</v>
      </c>
      <c r="E847" s="13">
        <v>-1.5395000000000001</v>
      </c>
    </row>
    <row r="848" spans="1:5" x14ac:dyDescent="0.2">
      <c r="A848">
        <v>15212</v>
      </c>
      <c r="B848">
        <f t="shared" si="13"/>
        <v>15200</v>
      </c>
      <c r="C848" s="13">
        <v>-1.3269</v>
      </c>
      <c r="D848" s="13">
        <v>-1.099</v>
      </c>
      <c r="E848" s="13">
        <v>-1.5547</v>
      </c>
    </row>
    <row r="849" spans="1:5" x14ac:dyDescent="0.2">
      <c r="A849">
        <v>15222</v>
      </c>
      <c r="B849">
        <f t="shared" si="13"/>
        <v>15200</v>
      </c>
      <c r="C849" s="13">
        <v>-1.3463000000000001</v>
      </c>
      <c r="D849" s="13">
        <v>-1.1228</v>
      </c>
      <c r="E849" s="13">
        <v>-1.5697000000000001</v>
      </c>
    </row>
    <row r="850" spans="1:5" x14ac:dyDescent="0.2">
      <c r="A850">
        <v>15232</v>
      </c>
      <c r="B850">
        <f t="shared" si="13"/>
        <v>15200</v>
      </c>
      <c r="C850" s="13">
        <v>-1.3652</v>
      </c>
      <c r="D850" s="13">
        <v>-1.1462000000000001</v>
      </c>
      <c r="E850" s="13">
        <v>-1.5842000000000001</v>
      </c>
    </row>
    <row r="851" spans="1:5" x14ac:dyDescent="0.2">
      <c r="A851">
        <v>15242</v>
      </c>
      <c r="B851">
        <f t="shared" si="13"/>
        <v>15200</v>
      </c>
      <c r="C851" s="13">
        <v>-1.3833</v>
      </c>
      <c r="D851" s="13">
        <v>-1.1688000000000001</v>
      </c>
      <c r="E851" s="13">
        <v>-1.5979000000000001</v>
      </c>
    </row>
    <row r="852" spans="1:5" x14ac:dyDescent="0.2">
      <c r="A852">
        <v>15252</v>
      </c>
      <c r="B852">
        <f t="shared" si="13"/>
        <v>15300</v>
      </c>
      <c r="C852" s="13">
        <v>-1.4007000000000001</v>
      </c>
      <c r="D852" s="13">
        <v>-1.1904999999999999</v>
      </c>
      <c r="E852" s="13">
        <v>-1.6109</v>
      </c>
    </row>
    <row r="853" spans="1:5" x14ac:dyDescent="0.2">
      <c r="A853">
        <v>15262</v>
      </c>
      <c r="B853">
        <f t="shared" si="13"/>
        <v>15300</v>
      </c>
      <c r="C853" s="13">
        <v>-1.4173</v>
      </c>
      <c r="D853" s="13">
        <v>-1.2114</v>
      </c>
      <c r="E853" s="13">
        <v>-1.6231</v>
      </c>
    </row>
    <row r="854" spans="1:5" x14ac:dyDescent="0.2">
      <c r="A854">
        <v>15272</v>
      </c>
      <c r="B854">
        <f t="shared" si="13"/>
        <v>15300</v>
      </c>
      <c r="C854" s="13">
        <v>-1.4331</v>
      </c>
      <c r="D854" s="13">
        <v>-1.2314000000000001</v>
      </c>
      <c r="E854" s="13">
        <v>-1.6348</v>
      </c>
    </row>
    <row r="855" spans="1:5" x14ac:dyDescent="0.2">
      <c r="A855">
        <v>15283</v>
      </c>
      <c r="B855">
        <f t="shared" si="13"/>
        <v>15300</v>
      </c>
      <c r="C855" s="13">
        <v>-1.4482999999999999</v>
      </c>
      <c r="D855" s="13">
        <v>-1.2505999999999999</v>
      </c>
      <c r="E855" s="13">
        <v>-1.6459999999999999</v>
      </c>
    </row>
    <row r="856" spans="1:5" x14ac:dyDescent="0.2">
      <c r="A856">
        <v>15293</v>
      </c>
      <c r="B856">
        <f t="shared" si="13"/>
        <v>15300</v>
      </c>
      <c r="C856" s="13">
        <v>-1.4628000000000001</v>
      </c>
      <c r="D856" s="13">
        <v>-1.2687999999999999</v>
      </c>
      <c r="E856" s="13">
        <v>-1.6568000000000001</v>
      </c>
    </row>
    <row r="857" spans="1:5" x14ac:dyDescent="0.2">
      <c r="A857">
        <v>15303</v>
      </c>
      <c r="B857">
        <f t="shared" si="13"/>
        <v>15300</v>
      </c>
      <c r="C857" s="13">
        <v>-1.4766999999999999</v>
      </c>
      <c r="D857" s="13">
        <v>-1.2861</v>
      </c>
      <c r="E857" s="13">
        <v>-1.6673</v>
      </c>
    </row>
    <row r="858" spans="1:5" x14ac:dyDescent="0.2">
      <c r="A858">
        <v>15313</v>
      </c>
      <c r="B858">
        <f t="shared" si="13"/>
        <v>15300</v>
      </c>
      <c r="C858" s="13">
        <v>-1.4901</v>
      </c>
      <c r="D858" s="13">
        <v>-1.3026</v>
      </c>
      <c r="E858" s="13">
        <v>-1.6776</v>
      </c>
    </row>
    <row r="859" spans="1:5" x14ac:dyDescent="0.2">
      <c r="A859">
        <v>15323</v>
      </c>
      <c r="B859">
        <f t="shared" si="13"/>
        <v>15300</v>
      </c>
      <c r="C859" s="13">
        <v>-1.5029999999999999</v>
      </c>
      <c r="D859" s="13">
        <v>-1.3181</v>
      </c>
      <c r="E859" s="13">
        <v>-1.6879</v>
      </c>
    </row>
    <row r="860" spans="1:5" x14ac:dyDescent="0.2">
      <c r="A860">
        <v>15333</v>
      </c>
      <c r="B860">
        <f t="shared" si="13"/>
        <v>15300</v>
      </c>
      <c r="C860" s="13">
        <v>-1.5155000000000001</v>
      </c>
      <c r="D860" s="13">
        <v>-1.3329</v>
      </c>
      <c r="E860" s="13">
        <v>-1.698</v>
      </c>
    </row>
    <row r="861" spans="1:5" x14ac:dyDescent="0.2">
      <c r="A861">
        <v>15343</v>
      </c>
      <c r="B861">
        <f t="shared" si="13"/>
        <v>15300</v>
      </c>
      <c r="C861" s="13">
        <v>-1.5275000000000001</v>
      </c>
      <c r="D861" s="13">
        <v>-1.347</v>
      </c>
      <c r="E861" s="13">
        <v>-1.708</v>
      </c>
    </row>
    <row r="862" spans="1:5" x14ac:dyDescent="0.2">
      <c r="A862">
        <v>15353</v>
      </c>
      <c r="B862">
        <f t="shared" si="13"/>
        <v>15400</v>
      </c>
      <c r="C862" s="13">
        <v>-1.5391999999999999</v>
      </c>
      <c r="D862" s="13">
        <v>-1.3605</v>
      </c>
      <c r="E862" s="13">
        <v>-1.718</v>
      </c>
    </row>
    <row r="863" spans="1:5" x14ac:dyDescent="0.2">
      <c r="A863">
        <v>15363</v>
      </c>
      <c r="B863">
        <f t="shared" si="13"/>
        <v>15400</v>
      </c>
      <c r="C863" s="13">
        <v>-1.5506</v>
      </c>
      <c r="D863" s="13">
        <v>-1.3734</v>
      </c>
      <c r="E863" s="13">
        <v>-1.7279</v>
      </c>
    </row>
    <row r="864" spans="1:5" x14ac:dyDescent="0.2">
      <c r="A864">
        <v>15373</v>
      </c>
      <c r="B864">
        <f t="shared" si="13"/>
        <v>15400</v>
      </c>
      <c r="C864" s="13">
        <v>-1.5618000000000001</v>
      </c>
      <c r="D864" s="13">
        <v>-1.3857999999999999</v>
      </c>
      <c r="E864" s="13">
        <v>-1.7378</v>
      </c>
    </row>
    <row r="865" spans="1:5" x14ac:dyDescent="0.2">
      <c r="A865">
        <v>15383</v>
      </c>
      <c r="B865">
        <f t="shared" si="13"/>
        <v>15400</v>
      </c>
      <c r="C865" s="13">
        <v>-1.5727</v>
      </c>
      <c r="D865" s="13">
        <v>-1.3977999999999999</v>
      </c>
      <c r="E865" s="13">
        <v>-1.7475000000000001</v>
      </c>
    </row>
    <row r="866" spans="1:5" x14ac:dyDescent="0.2">
      <c r="A866">
        <v>15393</v>
      </c>
      <c r="B866">
        <f t="shared" si="13"/>
        <v>15400</v>
      </c>
      <c r="C866" s="13">
        <v>-1.5831999999999999</v>
      </c>
      <c r="D866" s="13">
        <v>-1.4092</v>
      </c>
      <c r="E866" s="13">
        <v>-1.7572000000000001</v>
      </c>
    </row>
    <row r="867" spans="1:5" x14ac:dyDescent="0.2">
      <c r="A867">
        <v>15403</v>
      </c>
      <c r="B867">
        <f t="shared" si="13"/>
        <v>15400</v>
      </c>
      <c r="C867" s="13">
        <v>-1.5933999999999999</v>
      </c>
      <c r="D867" s="13">
        <v>-1.4198999999999999</v>
      </c>
      <c r="E867" s="13">
        <v>-1.7667999999999999</v>
      </c>
    </row>
    <row r="868" spans="1:5" x14ac:dyDescent="0.2">
      <c r="A868">
        <v>15413</v>
      </c>
      <c r="B868">
        <f t="shared" si="13"/>
        <v>15400</v>
      </c>
      <c r="C868" s="13">
        <v>-1.603</v>
      </c>
      <c r="D868" s="13">
        <v>-1.4298</v>
      </c>
      <c r="E868" s="13">
        <v>-1.7763</v>
      </c>
    </row>
    <row r="869" spans="1:5" x14ac:dyDescent="0.2">
      <c r="A869">
        <v>15424</v>
      </c>
      <c r="B869">
        <f t="shared" si="13"/>
        <v>15400</v>
      </c>
      <c r="C869" s="13">
        <v>-1.6122000000000001</v>
      </c>
      <c r="D869" s="13">
        <v>-1.4388000000000001</v>
      </c>
      <c r="E869" s="13">
        <v>-1.7856000000000001</v>
      </c>
    </row>
    <row r="870" spans="1:5" x14ac:dyDescent="0.2">
      <c r="A870">
        <v>15434</v>
      </c>
      <c r="B870">
        <f t="shared" si="13"/>
        <v>15400</v>
      </c>
      <c r="C870" s="13">
        <v>-1.6207</v>
      </c>
      <c r="D870" s="13">
        <v>-1.4468000000000001</v>
      </c>
      <c r="E870" s="13">
        <v>-1.7947</v>
      </c>
    </row>
    <row r="871" spans="1:5" x14ac:dyDescent="0.2">
      <c r="A871">
        <v>15444</v>
      </c>
      <c r="B871">
        <f t="shared" si="13"/>
        <v>15400</v>
      </c>
      <c r="C871" s="13">
        <v>-1.6286</v>
      </c>
      <c r="D871" s="13">
        <v>-1.4538</v>
      </c>
      <c r="E871" s="13">
        <v>-1.8035000000000001</v>
      </c>
    </row>
    <row r="872" spans="1:5" x14ac:dyDescent="0.2">
      <c r="A872">
        <v>15454</v>
      </c>
      <c r="B872">
        <f t="shared" si="13"/>
        <v>15500</v>
      </c>
      <c r="C872" s="13">
        <v>-1.6357999999999999</v>
      </c>
      <c r="D872" s="13">
        <v>-1.4597</v>
      </c>
      <c r="E872" s="13">
        <v>-1.8119000000000001</v>
      </c>
    </row>
    <row r="873" spans="1:5" x14ac:dyDescent="0.2">
      <c r="A873">
        <v>15464</v>
      </c>
      <c r="B873">
        <f t="shared" si="13"/>
        <v>15500</v>
      </c>
      <c r="C873" s="13">
        <v>-1.6420999999999999</v>
      </c>
      <c r="D873" s="13">
        <v>-1.4644999999999999</v>
      </c>
      <c r="E873" s="13">
        <v>-1.8197000000000001</v>
      </c>
    </row>
    <row r="874" spans="1:5" x14ac:dyDescent="0.2">
      <c r="A874">
        <v>15474</v>
      </c>
      <c r="B874">
        <f t="shared" si="13"/>
        <v>15500</v>
      </c>
      <c r="C874" s="13">
        <v>-1.6476999999999999</v>
      </c>
      <c r="D874" s="13">
        <v>-1.4682999999999999</v>
      </c>
      <c r="E874" s="13">
        <v>-1.827</v>
      </c>
    </row>
    <row r="875" spans="1:5" x14ac:dyDescent="0.2">
      <c r="A875">
        <v>15484</v>
      </c>
      <c r="B875">
        <f t="shared" si="13"/>
        <v>15500</v>
      </c>
      <c r="C875" s="13">
        <v>-1.6521999999999999</v>
      </c>
      <c r="D875" s="13">
        <v>-1.4711000000000001</v>
      </c>
      <c r="E875" s="13">
        <v>-1.8333999999999999</v>
      </c>
    </row>
    <row r="876" spans="1:5" x14ac:dyDescent="0.2">
      <c r="A876">
        <v>15494</v>
      </c>
      <c r="B876">
        <f t="shared" si="13"/>
        <v>15500</v>
      </c>
      <c r="C876" s="13">
        <v>-1.6558999999999999</v>
      </c>
      <c r="D876" s="13">
        <v>-1.4729000000000001</v>
      </c>
      <c r="E876" s="13">
        <v>-1.8388</v>
      </c>
    </row>
    <row r="877" spans="1:5" x14ac:dyDescent="0.2">
      <c r="A877">
        <v>15504</v>
      </c>
      <c r="B877">
        <f t="shared" si="13"/>
        <v>15500</v>
      </c>
      <c r="C877" s="13">
        <v>-1.6584000000000001</v>
      </c>
      <c r="D877" s="13">
        <v>-1.4737</v>
      </c>
      <c r="E877" s="13">
        <v>-1.8431999999999999</v>
      </c>
    </row>
    <row r="878" spans="1:5" x14ac:dyDescent="0.2">
      <c r="A878">
        <v>15514</v>
      </c>
      <c r="B878">
        <f t="shared" si="13"/>
        <v>15500</v>
      </c>
      <c r="C878" s="13">
        <v>-1.6598999999999999</v>
      </c>
      <c r="D878" s="13">
        <v>-1.4735</v>
      </c>
      <c r="E878" s="13">
        <v>-1.8463000000000001</v>
      </c>
    </row>
    <row r="879" spans="1:5" x14ac:dyDescent="0.2">
      <c r="A879">
        <v>15524</v>
      </c>
      <c r="B879">
        <f t="shared" si="13"/>
        <v>15500</v>
      </c>
      <c r="C879" s="13">
        <v>-1.6603000000000001</v>
      </c>
      <c r="D879" s="13">
        <v>-1.4722999999999999</v>
      </c>
      <c r="E879" s="13">
        <v>-1.8483000000000001</v>
      </c>
    </row>
    <row r="880" spans="1:5" x14ac:dyDescent="0.2">
      <c r="A880">
        <v>15534</v>
      </c>
      <c r="B880">
        <f t="shared" si="13"/>
        <v>15500</v>
      </c>
      <c r="C880" s="13">
        <v>-1.6598999999999999</v>
      </c>
      <c r="D880" s="13">
        <v>-1.4702999999999999</v>
      </c>
      <c r="E880" s="13">
        <v>-1.8494999999999999</v>
      </c>
    </row>
    <row r="881" spans="1:5" x14ac:dyDescent="0.2">
      <c r="A881">
        <v>15544</v>
      </c>
      <c r="B881">
        <f t="shared" si="13"/>
        <v>15500</v>
      </c>
      <c r="C881" s="13">
        <v>-1.6588000000000001</v>
      </c>
      <c r="D881" s="13">
        <v>-1.4675</v>
      </c>
      <c r="E881" s="13">
        <v>-1.85</v>
      </c>
    </row>
    <row r="882" spans="1:5" x14ac:dyDescent="0.2">
      <c r="A882">
        <v>15555</v>
      </c>
      <c r="B882">
        <f t="shared" si="13"/>
        <v>15600</v>
      </c>
      <c r="C882" s="13">
        <v>-1.6572</v>
      </c>
      <c r="D882" s="13">
        <v>-1.464</v>
      </c>
      <c r="E882" s="13">
        <v>-1.8503000000000001</v>
      </c>
    </row>
    <row r="883" spans="1:5" x14ac:dyDescent="0.2">
      <c r="A883">
        <v>15565</v>
      </c>
      <c r="B883">
        <f t="shared" si="13"/>
        <v>15600</v>
      </c>
      <c r="C883" s="13">
        <v>-1.6551</v>
      </c>
      <c r="D883" s="13">
        <v>-1.4599</v>
      </c>
      <c r="E883" s="13">
        <v>-1.8504</v>
      </c>
    </row>
    <row r="884" spans="1:5" x14ac:dyDescent="0.2">
      <c r="A884">
        <v>15575</v>
      </c>
      <c r="B884">
        <f t="shared" si="13"/>
        <v>15600</v>
      </c>
      <c r="C884" s="13">
        <v>-1.6529</v>
      </c>
      <c r="D884" s="13">
        <v>-1.4553</v>
      </c>
      <c r="E884" s="13">
        <v>-1.8505</v>
      </c>
    </row>
    <row r="885" spans="1:5" x14ac:dyDescent="0.2">
      <c r="A885">
        <v>15585</v>
      </c>
      <c r="B885">
        <f t="shared" si="13"/>
        <v>15600</v>
      </c>
      <c r="C885" s="13">
        <v>-1.6506000000000001</v>
      </c>
      <c r="D885" s="13">
        <v>-1.4501999999999999</v>
      </c>
      <c r="E885" s="13">
        <v>-1.851</v>
      </c>
    </row>
    <row r="886" spans="1:5" x14ac:dyDescent="0.2">
      <c r="A886">
        <v>15595</v>
      </c>
      <c r="B886">
        <f t="shared" si="13"/>
        <v>15600</v>
      </c>
      <c r="C886" s="13">
        <v>-1.6484000000000001</v>
      </c>
      <c r="D886" s="13">
        <v>-1.4450000000000001</v>
      </c>
      <c r="E886" s="13">
        <v>-1.8519000000000001</v>
      </c>
    </row>
    <row r="887" spans="1:5" x14ac:dyDescent="0.2">
      <c r="A887">
        <v>15605</v>
      </c>
      <c r="B887">
        <f t="shared" si="13"/>
        <v>15600</v>
      </c>
      <c r="C887" s="13">
        <v>-1.6465000000000001</v>
      </c>
      <c r="D887" s="13">
        <v>-1.4397</v>
      </c>
      <c r="E887" s="13">
        <v>-1.8532999999999999</v>
      </c>
    </row>
    <row r="888" spans="1:5" x14ac:dyDescent="0.2">
      <c r="A888">
        <v>15615</v>
      </c>
      <c r="B888">
        <f t="shared" si="13"/>
        <v>15600</v>
      </c>
      <c r="C888" s="13">
        <v>-1.645</v>
      </c>
      <c r="D888" s="13">
        <v>-1.4346000000000001</v>
      </c>
      <c r="E888" s="13">
        <v>-1.8554999999999999</v>
      </c>
    </row>
    <row r="889" spans="1:5" x14ac:dyDescent="0.2">
      <c r="A889">
        <v>15625</v>
      </c>
      <c r="B889">
        <f t="shared" si="13"/>
        <v>15600</v>
      </c>
      <c r="C889" s="13">
        <v>-1.6440999999999999</v>
      </c>
      <c r="D889" s="13">
        <v>-1.4298</v>
      </c>
      <c r="E889" s="13">
        <v>-1.8585</v>
      </c>
    </row>
    <row r="890" spans="1:5" x14ac:dyDescent="0.2">
      <c r="A890">
        <v>15635</v>
      </c>
      <c r="B890">
        <f t="shared" si="13"/>
        <v>15600</v>
      </c>
      <c r="C890" s="13">
        <v>-1.6439999999999999</v>
      </c>
      <c r="D890" s="13">
        <v>-1.4256</v>
      </c>
      <c r="E890" s="13">
        <v>-1.8624000000000001</v>
      </c>
    </row>
    <row r="891" spans="1:5" x14ac:dyDescent="0.2">
      <c r="A891">
        <v>15645</v>
      </c>
      <c r="B891">
        <f t="shared" si="13"/>
        <v>15600</v>
      </c>
      <c r="C891" s="13">
        <v>-1.6448</v>
      </c>
      <c r="D891" s="13">
        <v>-1.4222999999999999</v>
      </c>
      <c r="E891" s="13">
        <v>-1.8672</v>
      </c>
    </row>
    <row r="892" spans="1:5" x14ac:dyDescent="0.2">
      <c r="A892">
        <v>15655</v>
      </c>
      <c r="B892">
        <f t="shared" si="13"/>
        <v>15700</v>
      </c>
      <c r="C892" s="13">
        <v>-1.6466000000000001</v>
      </c>
      <c r="D892" s="13">
        <v>-1.4198999999999999</v>
      </c>
      <c r="E892" s="13">
        <v>-1.8732</v>
      </c>
    </row>
    <row r="893" spans="1:5" x14ac:dyDescent="0.2">
      <c r="A893">
        <v>15665</v>
      </c>
      <c r="B893">
        <f t="shared" si="13"/>
        <v>15700</v>
      </c>
      <c r="C893" s="13">
        <v>-1.6496</v>
      </c>
      <c r="D893" s="13">
        <v>-1.4188000000000001</v>
      </c>
      <c r="E893" s="13">
        <v>-1.8805000000000001</v>
      </c>
    </row>
    <row r="894" spans="1:5" x14ac:dyDescent="0.2">
      <c r="A894">
        <v>15675</v>
      </c>
      <c r="B894">
        <f t="shared" si="13"/>
        <v>15700</v>
      </c>
      <c r="C894" s="13">
        <v>-1.6537999999999999</v>
      </c>
      <c r="D894" s="13">
        <v>-1.4187000000000001</v>
      </c>
      <c r="E894" s="13">
        <v>-1.8889</v>
      </c>
    </row>
    <row r="895" spans="1:5" x14ac:dyDescent="0.2">
      <c r="A895">
        <v>15685</v>
      </c>
      <c r="B895">
        <f t="shared" si="13"/>
        <v>15700</v>
      </c>
      <c r="C895" s="13">
        <v>-1.6592</v>
      </c>
      <c r="D895" s="13">
        <v>-1.4198</v>
      </c>
      <c r="E895" s="13">
        <v>-1.8986000000000001</v>
      </c>
    </row>
    <row r="896" spans="1:5" x14ac:dyDescent="0.2">
      <c r="A896">
        <v>15696</v>
      </c>
      <c r="B896">
        <f t="shared" si="13"/>
        <v>15700</v>
      </c>
      <c r="C896" s="13">
        <v>-1.6657</v>
      </c>
      <c r="D896" s="13">
        <v>-1.4218</v>
      </c>
      <c r="E896" s="13">
        <v>-1.9095</v>
      </c>
    </row>
    <row r="897" spans="1:5" x14ac:dyDescent="0.2">
      <c r="A897">
        <v>15706</v>
      </c>
      <c r="B897">
        <f t="shared" si="13"/>
        <v>15700</v>
      </c>
      <c r="C897" s="13">
        <v>-1.6733</v>
      </c>
      <c r="D897" s="13">
        <v>-1.4248000000000001</v>
      </c>
      <c r="E897" s="13">
        <v>-1.9217</v>
      </c>
    </row>
    <row r="898" spans="1:5" x14ac:dyDescent="0.2">
      <c r="A898">
        <v>15716</v>
      </c>
      <c r="B898">
        <f t="shared" si="13"/>
        <v>15700</v>
      </c>
      <c r="C898" s="13">
        <v>-1.6819</v>
      </c>
      <c r="D898" s="13">
        <v>-1.4287000000000001</v>
      </c>
      <c r="E898" s="13">
        <v>-1.9352</v>
      </c>
    </row>
    <row r="899" spans="1:5" x14ac:dyDescent="0.2">
      <c r="A899">
        <v>15726</v>
      </c>
      <c r="B899">
        <f t="shared" si="13"/>
        <v>15700</v>
      </c>
      <c r="C899" s="13">
        <v>-1.6916</v>
      </c>
      <c r="D899" s="13">
        <v>-1.4335</v>
      </c>
      <c r="E899" s="13">
        <v>-1.9497</v>
      </c>
    </row>
    <row r="900" spans="1:5" x14ac:dyDescent="0.2">
      <c r="A900">
        <v>15736</v>
      </c>
      <c r="B900">
        <f t="shared" ref="B900:B963" si="14">MROUND(A900,100)</f>
        <v>15700</v>
      </c>
      <c r="C900" s="13">
        <v>-1.7023999999999999</v>
      </c>
      <c r="D900" s="13">
        <v>-1.4393</v>
      </c>
      <c r="E900" s="13">
        <v>-1.9654</v>
      </c>
    </row>
    <row r="901" spans="1:5" x14ac:dyDescent="0.2">
      <c r="A901">
        <v>15746</v>
      </c>
      <c r="B901">
        <f t="shared" si="14"/>
        <v>15700</v>
      </c>
      <c r="C901" s="13">
        <v>-1.7141</v>
      </c>
      <c r="D901" s="13">
        <v>-1.4460999999999999</v>
      </c>
      <c r="E901" s="13">
        <v>-1.9821</v>
      </c>
    </row>
    <row r="902" spans="1:5" x14ac:dyDescent="0.2">
      <c r="A902">
        <v>15756</v>
      </c>
      <c r="B902">
        <f t="shared" si="14"/>
        <v>15800</v>
      </c>
      <c r="C902" s="13">
        <v>-1.7266999999999999</v>
      </c>
      <c r="D902" s="13">
        <v>-1.4538</v>
      </c>
      <c r="E902" s="13">
        <v>-1.9996</v>
      </c>
    </row>
    <row r="903" spans="1:5" x14ac:dyDescent="0.2">
      <c r="A903">
        <v>15766</v>
      </c>
      <c r="B903">
        <f t="shared" si="14"/>
        <v>15800</v>
      </c>
      <c r="C903" s="13">
        <v>-1.7403</v>
      </c>
      <c r="D903" s="13">
        <v>-1.4625999999999999</v>
      </c>
      <c r="E903" s="13">
        <v>-2.0179999999999998</v>
      </c>
    </row>
    <row r="904" spans="1:5" x14ac:dyDescent="0.2">
      <c r="A904">
        <v>15776</v>
      </c>
      <c r="B904">
        <f t="shared" si="14"/>
        <v>15800</v>
      </c>
      <c r="C904" s="13">
        <v>-1.7547999999999999</v>
      </c>
      <c r="D904" s="13">
        <v>-1.4725999999999999</v>
      </c>
      <c r="E904" s="13">
        <v>-2.0369999999999999</v>
      </c>
    </row>
    <row r="905" spans="1:5" x14ac:dyDescent="0.2">
      <c r="A905">
        <v>15786</v>
      </c>
      <c r="B905">
        <f t="shared" si="14"/>
        <v>15800</v>
      </c>
      <c r="C905" s="13">
        <v>-1.7701</v>
      </c>
      <c r="D905" s="13">
        <v>-1.4838</v>
      </c>
      <c r="E905" s="13">
        <v>-2.0565000000000002</v>
      </c>
    </row>
    <row r="906" spans="1:5" x14ac:dyDescent="0.2">
      <c r="A906">
        <v>15796</v>
      </c>
      <c r="B906">
        <f t="shared" si="14"/>
        <v>15800</v>
      </c>
      <c r="C906" s="13">
        <v>-1.7863</v>
      </c>
      <c r="D906" s="13">
        <v>-1.4963</v>
      </c>
      <c r="E906" s="13">
        <v>-2.0764</v>
      </c>
    </row>
    <row r="907" spans="1:5" x14ac:dyDescent="0.2">
      <c r="A907">
        <v>15806</v>
      </c>
      <c r="B907">
        <f t="shared" si="14"/>
        <v>15800</v>
      </c>
      <c r="C907" s="13">
        <v>-1.8032999999999999</v>
      </c>
      <c r="D907" s="13">
        <v>-1.5101</v>
      </c>
      <c r="E907" s="13">
        <v>-2.0966</v>
      </c>
    </row>
    <row r="908" spans="1:5" x14ac:dyDescent="0.2">
      <c r="A908">
        <v>15816</v>
      </c>
      <c r="B908">
        <f t="shared" si="14"/>
        <v>15800</v>
      </c>
      <c r="C908" s="13">
        <v>-1.8210999999999999</v>
      </c>
      <c r="D908" s="13">
        <v>-1.5254000000000001</v>
      </c>
      <c r="E908" s="13">
        <v>-2.1168999999999998</v>
      </c>
    </row>
    <row r="909" spans="1:5" x14ac:dyDescent="0.2">
      <c r="A909">
        <v>15826</v>
      </c>
      <c r="B909">
        <f t="shared" si="14"/>
        <v>15800</v>
      </c>
      <c r="C909" s="13">
        <v>-1.8395999999999999</v>
      </c>
      <c r="D909" s="13">
        <v>-1.5419</v>
      </c>
      <c r="E909" s="13">
        <v>-2.1374</v>
      </c>
    </row>
    <row r="910" spans="1:5" x14ac:dyDescent="0.2">
      <c r="A910">
        <v>15837</v>
      </c>
      <c r="B910">
        <f t="shared" si="14"/>
        <v>15800</v>
      </c>
      <c r="C910" s="13">
        <v>-1.8586</v>
      </c>
      <c r="D910" s="13">
        <v>-1.5593999999999999</v>
      </c>
      <c r="E910" s="13">
        <v>-2.1577999999999999</v>
      </c>
    </row>
    <row r="911" spans="1:5" x14ac:dyDescent="0.2">
      <c r="A911">
        <v>15847</v>
      </c>
      <c r="B911">
        <f t="shared" si="14"/>
        <v>15800</v>
      </c>
      <c r="C911" s="13">
        <v>-1.8779999999999999</v>
      </c>
      <c r="D911" s="13">
        <v>-1.5778000000000001</v>
      </c>
      <c r="E911" s="13">
        <v>-2.1781999999999999</v>
      </c>
    </row>
    <row r="912" spans="1:5" x14ac:dyDescent="0.2">
      <c r="A912">
        <v>15857</v>
      </c>
      <c r="B912">
        <f t="shared" si="14"/>
        <v>15900</v>
      </c>
      <c r="C912" s="13">
        <v>-1.8976</v>
      </c>
      <c r="D912" s="13">
        <v>-1.5967</v>
      </c>
      <c r="E912" s="13">
        <v>-2.1985000000000001</v>
      </c>
    </row>
    <row r="913" spans="1:5" x14ac:dyDescent="0.2">
      <c r="A913">
        <v>15867</v>
      </c>
      <c r="B913">
        <f t="shared" si="14"/>
        <v>15900</v>
      </c>
      <c r="C913" s="13">
        <v>-1.9173</v>
      </c>
      <c r="D913" s="13">
        <v>-1.6161000000000001</v>
      </c>
      <c r="E913" s="13">
        <v>-2.2185000000000001</v>
      </c>
    </row>
    <row r="914" spans="1:5" x14ac:dyDescent="0.2">
      <c r="A914">
        <v>15877</v>
      </c>
      <c r="B914">
        <f t="shared" si="14"/>
        <v>15900</v>
      </c>
      <c r="C914" s="13">
        <v>-1.9369000000000001</v>
      </c>
      <c r="D914" s="13">
        <v>-1.6355999999999999</v>
      </c>
      <c r="E914" s="13">
        <v>-2.2382</v>
      </c>
    </row>
    <row r="915" spans="1:5" x14ac:dyDescent="0.2">
      <c r="A915">
        <v>15887</v>
      </c>
      <c r="B915">
        <f t="shared" si="14"/>
        <v>15900</v>
      </c>
      <c r="C915" s="13">
        <v>-1.9562999999999999</v>
      </c>
      <c r="D915" s="13">
        <v>-1.6551</v>
      </c>
      <c r="E915" s="13">
        <v>-2.2574999999999998</v>
      </c>
    </row>
    <row r="916" spans="1:5" x14ac:dyDescent="0.2">
      <c r="A916">
        <v>15897</v>
      </c>
      <c r="B916">
        <f t="shared" si="14"/>
        <v>15900</v>
      </c>
      <c r="C916" s="13">
        <v>-1.9754</v>
      </c>
      <c r="D916" s="13">
        <v>-1.6745000000000001</v>
      </c>
      <c r="E916" s="13">
        <v>-2.2763</v>
      </c>
    </row>
    <row r="917" spans="1:5" x14ac:dyDescent="0.2">
      <c r="A917">
        <v>15907</v>
      </c>
      <c r="B917">
        <f t="shared" si="14"/>
        <v>15900</v>
      </c>
      <c r="C917" s="13">
        <v>-1.9939</v>
      </c>
      <c r="D917" s="13">
        <v>-1.6935</v>
      </c>
      <c r="E917" s="13">
        <v>-2.2942999999999998</v>
      </c>
    </row>
    <row r="918" spans="1:5" x14ac:dyDescent="0.2">
      <c r="A918">
        <v>15917</v>
      </c>
      <c r="B918">
        <f t="shared" si="14"/>
        <v>15900</v>
      </c>
      <c r="C918" s="13">
        <v>-2.0118</v>
      </c>
      <c r="D918" s="13">
        <v>-1.7121</v>
      </c>
      <c r="E918" s="13">
        <v>-2.3113999999999999</v>
      </c>
    </row>
    <row r="919" spans="1:5" x14ac:dyDescent="0.2">
      <c r="A919">
        <v>15927</v>
      </c>
      <c r="B919">
        <f t="shared" si="14"/>
        <v>15900</v>
      </c>
      <c r="C919" s="13">
        <v>-2.0287999999999999</v>
      </c>
      <c r="D919" s="13">
        <v>-1.7302</v>
      </c>
      <c r="E919" s="13">
        <v>-2.3273999999999999</v>
      </c>
    </row>
    <row r="920" spans="1:5" x14ac:dyDescent="0.2">
      <c r="A920">
        <v>15937</v>
      </c>
      <c r="B920">
        <f t="shared" si="14"/>
        <v>15900</v>
      </c>
      <c r="C920" s="13">
        <v>-2.0449000000000002</v>
      </c>
      <c r="D920" s="13">
        <v>-1.7477</v>
      </c>
      <c r="E920" s="13">
        <v>-2.3422000000000001</v>
      </c>
    </row>
    <row r="921" spans="1:5" x14ac:dyDescent="0.2">
      <c r="A921">
        <v>15947</v>
      </c>
      <c r="B921">
        <f t="shared" si="14"/>
        <v>15900</v>
      </c>
      <c r="C921" s="13">
        <v>-2.0598999999999998</v>
      </c>
      <c r="D921" s="13">
        <v>-1.7644</v>
      </c>
      <c r="E921" s="13">
        <v>-2.3553000000000002</v>
      </c>
    </row>
    <row r="922" spans="1:5" x14ac:dyDescent="0.2">
      <c r="A922">
        <v>15957</v>
      </c>
      <c r="B922">
        <f t="shared" si="14"/>
        <v>16000</v>
      </c>
      <c r="C922" s="13">
        <v>-2.0735999999999999</v>
      </c>
      <c r="D922" s="13">
        <v>-1.7805</v>
      </c>
      <c r="E922" s="13">
        <v>-2.3666999999999998</v>
      </c>
    </row>
    <row r="923" spans="1:5" x14ac:dyDescent="0.2">
      <c r="A923">
        <v>15968</v>
      </c>
      <c r="B923">
        <f t="shared" si="14"/>
        <v>16000</v>
      </c>
      <c r="C923" s="13">
        <v>-2.0859000000000001</v>
      </c>
      <c r="D923" s="13">
        <v>-1.7958000000000001</v>
      </c>
      <c r="E923" s="13">
        <v>-2.3761000000000001</v>
      </c>
    </row>
    <row r="924" spans="1:5" x14ac:dyDescent="0.2">
      <c r="A924">
        <v>15978</v>
      </c>
      <c r="B924">
        <f t="shared" si="14"/>
        <v>16000</v>
      </c>
      <c r="C924" s="13">
        <v>-2.0966999999999998</v>
      </c>
      <c r="D924" s="13">
        <v>-1.8102</v>
      </c>
      <c r="E924" s="13">
        <v>-2.3832</v>
      </c>
    </row>
    <row r="925" spans="1:5" x14ac:dyDescent="0.2">
      <c r="A925">
        <v>15988</v>
      </c>
      <c r="B925">
        <f t="shared" si="14"/>
        <v>16000</v>
      </c>
      <c r="C925" s="13">
        <v>-2.1059999999999999</v>
      </c>
      <c r="D925" s="13">
        <v>-1.8239000000000001</v>
      </c>
      <c r="E925" s="13">
        <v>-2.3881999999999999</v>
      </c>
    </row>
    <row r="926" spans="1:5" x14ac:dyDescent="0.2">
      <c r="A926">
        <v>15998</v>
      </c>
      <c r="B926">
        <f t="shared" si="14"/>
        <v>16000</v>
      </c>
      <c r="C926" s="13">
        <v>-2.1139999999999999</v>
      </c>
      <c r="D926" s="13">
        <v>-1.8368</v>
      </c>
      <c r="E926" s="13">
        <v>-2.3912</v>
      </c>
    </row>
    <row r="927" spans="1:5" x14ac:dyDescent="0.2">
      <c r="A927">
        <v>16008</v>
      </c>
      <c r="B927">
        <f t="shared" si="14"/>
        <v>16000</v>
      </c>
      <c r="C927" s="13">
        <v>-2.1206</v>
      </c>
      <c r="D927" s="13">
        <v>-1.8488</v>
      </c>
      <c r="E927" s="13">
        <v>-2.3925000000000001</v>
      </c>
    </row>
    <row r="928" spans="1:5" x14ac:dyDescent="0.2">
      <c r="A928">
        <v>16018</v>
      </c>
      <c r="B928">
        <f t="shared" si="14"/>
        <v>16000</v>
      </c>
      <c r="C928" s="13">
        <v>-2.1259999999999999</v>
      </c>
      <c r="D928" s="13">
        <v>-1.8599000000000001</v>
      </c>
      <c r="E928" s="13">
        <v>-2.3921000000000001</v>
      </c>
    </row>
    <row r="929" spans="1:5" x14ac:dyDescent="0.2">
      <c r="A929">
        <v>16028</v>
      </c>
      <c r="B929">
        <f t="shared" si="14"/>
        <v>16000</v>
      </c>
      <c r="C929" s="13">
        <v>-2.1301999999999999</v>
      </c>
      <c r="D929" s="13">
        <v>-1.8701000000000001</v>
      </c>
      <c r="E929" s="13">
        <v>-2.3904000000000001</v>
      </c>
    </row>
    <row r="930" spans="1:5" x14ac:dyDescent="0.2">
      <c r="A930">
        <v>16038</v>
      </c>
      <c r="B930">
        <f t="shared" si="14"/>
        <v>16000</v>
      </c>
      <c r="C930" s="13">
        <v>-2.1334</v>
      </c>
      <c r="D930" s="13">
        <v>-1.8794</v>
      </c>
      <c r="E930" s="13">
        <v>-2.3874</v>
      </c>
    </row>
    <row r="931" spans="1:5" x14ac:dyDescent="0.2">
      <c r="A931">
        <v>16048</v>
      </c>
      <c r="B931">
        <f t="shared" si="14"/>
        <v>16000</v>
      </c>
      <c r="C931" s="13">
        <v>-2.1356000000000002</v>
      </c>
      <c r="D931" s="13">
        <v>-1.8876999999999999</v>
      </c>
      <c r="E931" s="13">
        <v>-2.3835000000000002</v>
      </c>
    </row>
    <row r="932" spans="1:5" x14ac:dyDescent="0.2">
      <c r="A932">
        <v>16058</v>
      </c>
      <c r="B932">
        <f t="shared" si="14"/>
        <v>16100</v>
      </c>
      <c r="C932" s="13">
        <v>-2.1368</v>
      </c>
      <c r="D932" s="13">
        <v>-1.8949</v>
      </c>
      <c r="E932" s="13">
        <v>-2.3788</v>
      </c>
    </row>
    <row r="933" spans="1:5" x14ac:dyDescent="0.2">
      <c r="A933">
        <v>16068</v>
      </c>
      <c r="B933">
        <f t="shared" si="14"/>
        <v>16100</v>
      </c>
      <c r="C933" s="13">
        <v>-2.1373000000000002</v>
      </c>
      <c r="D933" s="13">
        <v>-1.9011</v>
      </c>
      <c r="E933" s="13">
        <v>-2.3734000000000002</v>
      </c>
    </row>
    <row r="934" spans="1:5" x14ac:dyDescent="0.2">
      <c r="A934">
        <v>16078</v>
      </c>
      <c r="B934">
        <f t="shared" si="14"/>
        <v>16100</v>
      </c>
      <c r="C934" s="13">
        <v>-2.1368999999999998</v>
      </c>
      <c r="D934" s="13">
        <v>-1.9061999999999999</v>
      </c>
      <c r="E934" s="13">
        <v>-2.3677000000000001</v>
      </c>
    </row>
    <row r="935" spans="1:5" x14ac:dyDescent="0.2">
      <c r="A935">
        <v>16088</v>
      </c>
      <c r="B935">
        <f t="shared" si="14"/>
        <v>16100</v>
      </c>
      <c r="C935" s="13">
        <v>-2.1358999999999999</v>
      </c>
      <c r="D935" s="13">
        <v>-1.9100999999999999</v>
      </c>
      <c r="E935" s="13">
        <v>-2.3616000000000001</v>
      </c>
    </row>
    <row r="936" spans="1:5" x14ac:dyDescent="0.2">
      <c r="A936">
        <v>16098</v>
      </c>
      <c r="B936">
        <f t="shared" si="14"/>
        <v>16100</v>
      </c>
      <c r="C936" s="13">
        <v>-2.1341999999999999</v>
      </c>
      <c r="D936" s="13">
        <v>-1.9131</v>
      </c>
      <c r="E936" s="13">
        <v>-2.3553999999999999</v>
      </c>
    </row>
    <row r="937" spans="1:5" x14ac:dyDescent="0.2">
      <c r="A937">
        <v>16109</v>
      </c>
      <c r="B937">
        <f t="shared" si="14"/>
        <v>16100</v>
      </c>
      <c r="C937" s="13">
        <v>-2.1320999999999999</v>
      </c>
      <c r="D937" s="13">
        <v>-1.915</v>
      </c>
      <c r="E937" s="13">
        <v>-2.3492000000000002</v>
      </c>
    </row>
    <row r="938" spans="1:5" x14ac:dyDescent="0.2">
      <c r="A938">
        <v>16119</v>
      </c>
      <c r="B938">
        <f t="shared" si="14"/>
        <v>16100</v>
      </c>
      <c r="C938" s="13">
        <v>-2.1295000000000002</v>
      </c>
      <c r="D938" s="13">
        <v>-1.9158999999999999</v>
      </c>
      <c r="E938" s="13">
        <v>-2.3431000000000002</v>
      </c>
    </row>
    <row r="939" spans="1:5" x14ac:dyDescent="0.2">
      <c r="A939">
        <v>16129</v>
      </c>
      <c r="B939">
        <f t="shared" si="14"/>
        <v>16100</v>
      </c>
      <c r="C939" s="13">
        <v>-2.1265000000000001</v>
      </c>
      <c r="D939" s="13">
        <v>-1.9158999999999999</v>
      </c>
      <c r="E939" s="13">
        <v>-2.3372000000000002</v>
      </c>
    </row>
    <row r="940" spans="1:5" x14ac:dyDescent="0.2">
      <c r="A940">
        <v>16139</v>
      </c>
      <c r="B940">
        <f t="shared" si="14"/>
        <v>16100</v>
      </c>
      <c r="C940" s="13">
        <v>-2.1233</v>
      </c>
      <c r="D940" s="13">
        <v>-1.9151</v>
      </c>
      <c r="E940" s="13">
        <v>-2.3315000000000001</v>
      </c>
    </row>
    <row r="941" spans="1:5" x14ac:dyDescent="0.2">
      <c r="A941">
        <v>16149</v>
      </c>
      <c r="B941">
        <f t="shared" si="14"/>
        <v>16100</v>
      </c>
      <c r="C941" s="13">
        <v>-2.1198000000000001</v>
      </c>
      <c r="D941" s="13">
        <v>-1.9136</v>
      </c>
      <c r="E941" s="13">
        <v>-2.3260000000000001</v>
      </c>
    </row>
    <row r="942" spans="1:5" x14ac:dyDescent="0.2">
      <c r="A942">
        <v>16159</v>
      </c>
      <c r="B942">
        <f t="shared" si="14"/>
        <v>16200</v>
      </c>
      <c r="C942" s="13">
        <v>-2.1162000000000001</v>
      </c>
      <c r="D942" s="13">
        <v>-1.9115</v>
      </c>
      <c r="E942" s="13">
        <v>-2.3209</v>
      </c>
    </row>
    <row r="943" spans="1:5" x14ac:dyDescent="0.2">
      <c r="A943">
        <v>16169</v>
      </c>
      <c r="B943">
        <f t="shared" si="14"/>
        <v>16200</v>
      </c>
      <c r="C943" s="13">
        <v>-2.1124999999999998</v>
      </c>
      <c r="D943" s="13">
        <v>-1.909</v>
      </c>
      <c r="E943" s="13">
        <v>-2.3161</v>
      </c>
    </row>
    <row r="944" spans="1:5" x14ac:dyDescent="0.2">
      <c r="A944">
        <v>16179</v>
      </c>
      <c r="B944">
        <f t="shared" si="14"/>
        <v>16200</v>
      </c>
      <c r="C944" s="13">
        <v>-2.1089000000000002</v>
      </c>
      <c r="D944" s="13">
        <v>-1.9060999999999999</v>
      </c>
      <c r="E944" s="13">
        <v>-2.3117000000000001</v>
      </c>
    </row>
    <row r="945" spans="1:5" x14ac:dyDescent="0.2">
      <c r="A945">
        <v>16189</v>
      </c>
      <c r="B945">
        <f t="shared" si="14"/>
        <v>16200</v>
      </c>
      <c r="C945" s="13">
        <v>-2.1053000000000002</v>
      </c>
      <c r="D945" s="13">
        <v>-1.9029</v>
      </c>
      <c r="E945" s="13">
        <v>-2.3077000000000001</v>
      </c>
    </row>
    <row r="946" spans="1:5" x14ac:dyDescent="0.2">
      <c r="A946">
        <v>16199</v>
      </c>
      <c r="B946">
        <f t="shared" si="14"/>
        <v>16200</v>
      </c>
      <c r="C946" s="13">
        <v>-2.1017999999999999</v>
      </c>
      <c r="D946" s="13">
        <v>-1.8994</v>
      </c>
      <c r="E946" s="13">
        <v>-2.3041999999999998</v>
      </c>
    </row>
    <row r="947" spans="1:5" x14ac:dyDescent="0.2">
      <c r="A947">
        <v>16209</v>
      </c>
      <c r="B947">
        <f t="shared" si="14"/>
        <v>16200</v>
      </c>
      <c r="C947" s="13">
        <v>-2.0983000000000001</v>
      </c>
      <c r="D947" s="13">
        <v>-1.8955</v>
      </c>
      <c r="E947" s="13">
        <v>-2.3010999999999999</v>
      </c>
    </row>
    <row r="948" spans="1:5" x14ac:dyDescent="0.2">
      <c r="A948">
        <v>16219</v>
      </c>
      <c r="B948">
        <f t="shared" si="14"/>
        <v>16200</v>
      </c>
      <c r="C948" s="13">
        <v>-2.0948000000000002</v>
      </c>
      <c r="D948" s="13">
        <v>-1.8912</v>
      </c>
      <c r="E948" s="13">
        <v>-2.2984</v>
      </c>
    </row>
    <row r="949" spans="1:5" x14ac:dyDescent="0.2">
      <c r="A949">
        <v>16229</v>
      </c>
      <c r="B949">
        <f t="shared" si="14"/>
        <v>16200</v>
      </c>
      <c r="C949" s="13">
        <v>-2.0914000000000001</v>
      </c>
      <c r="D949" s="13">
        <v>-1.8865000000000001</v>
      </c>
      <c r="E949" s="13">
        <v>-2.2963</v>
      </c>
    </row>
    <row r="950" spans="1:5" x14ac:dyDescent="0.2">
      <c r="A950">
        <v>16239</v>
      </c>
      <c r="B950">
        <f t="shared" si="14"/>
        <v>16200</v>
      </c>
      <c r="C950" s="13">
        <v>-2.0880000000000001</v>
      </c>
      <c r="D950" s="13">
        <v>-1.8813</v>
      </c>
      <c r="E950" s="13">
        <v>-2.2947000000000002</v>
      </c>
    </row>
    <row r="951" spans="1:5" x14ac:dyDescent="0.2">
      <c r="A951">
        <v>16250</v>
      </c>
      <c r="B951">
        <f t="shared" si="14"/>
        <v>16300</v>
      </c>
      <c r="C951" s="13">
        <v>-2.0847000000000002</v>
      </c>
      <c r="D951" s="13">
        <v>-1.8756999999999999</v>
      </c>
      <c r="E951" s="13">
        <v>-2.2936999999999999</v>
      </c>
    </row>
    <row r="952" spans="1:5" x14ac:dyDescent="0.2">
      <c r="A952">
        <v>16260</v>
      </c>
      <c r="B952">
        <f t="shared" si="14"/>
        <v>16300</v>
      </c>
      <c r="C952" s="13">
        <v>-2.0813999999999999</v>
      </c>
      <c r="D952" s="13">
        <v>-1.8695999999999999</v>
      </c>
      <c r="E952" s="13">
        <v>-2.2932000000000001</v>
      </c>
    </row>
    <row r="953" spans="1:5" x14ac:dyDescent="0.2">
      <c r="A953">
        <v>16270</v>
      </c>
      <c r="B953">
        <f t="shared" si="14"/>
        <v>16300</v>
      </c>
      <c r="C953" s="13">
        <v>-2.0781999999999998</v>
      </c>
      <c r="D953" s="13">
        <v>-1.8631</v>
      </c>
      <c r="E953" s="13">
        <v>-2.2932999999999999</v>
      </c>
    </row>
    <row r="954" spans="1:5" x14ac:dyDescent="0.2">
      <c r="A954">
        <v>16280</v>
      </c>
      <c r="B954">
        <f t="shared" si="14"/>
        <v>16300</v>
      </c>
      <c r="C954" s="13">
        <v>-2.0750000000000002</v>
      </c>
      <c r="D954" s="13">
        <v>-1.8563000000000001</v>
      </c>
      <c r="E954" s="13">
        <v>-2.2938000000000001</v>
      </c>
    </row>
    <row r="955" spans="1:5" x14ac:dyDescent="0.2">
      <c r="A955">
        <v>16290</v>
      </c>
      <c r="B955">
        <f t="shared" si="14"/>
        <v>16300</v>
      </c>
      <c r="C955" s="13">
        <v>-2.0718999999999999</v>
      </c>
      <c r="D955" s="13">
        <v>-1.849</v>
      </c>
      <c r="E955" s="13">
        <v>-2.2948</v>
      </c>
    </row>
    <row r="956" spans="1:5" x14ac:dyDescent="0.2">
      <c r="A956">
        <v>16300</v>
      </c>
      <c r="B956">
        <f t="shared" si="14"/>
        <v>16300</v>
      </c>
      <c r="C956" s="13">
        <v>-2.0688</v>
      </c>
      <c r="D956" s="13">
        <v>-1.8413999999999999</v>
      </c>
      <c r="E956" s="13">
        <v>-2.2961999999999998</v>
      </c>
    </row>
    <row r="957" spans="1:5" x14ac:dyDescent="0.2">
      <c r="A957">
        <v>16310</v>
      </c>
      <c r="B957">
        <f t="shared" si="14"/>
        <v>16300</v>
      </c>
      <c r="C957" s="13">
        <v>-2.0657999999999999</v>
      </c>
      <c r="D957" s="13">
        <v>-1.8335999999999999</v>
      </c>
      <c r="E957" s="13">
        <v>-2.298</v>
      </c>
    </row>
    <row r="958" spans="1:5" x14ac:dyDescent="0.2">
      <c r="A958">
        <v>16320</v>
      </c>
      <c r="B958">
        <f t="shared" si="14"/>
        <v>16300</v>
      </c>
      <c r="C958" s="13">
        <v>-2.0629</v>
      </c>
      <c r="D958" s="13">
        <v>-1.8255999999999999</v>
      </c>
      <c r="E958" s="13">
        <v>-2.3001</v>
      </c>
    </row>
    <row r="959" spans="1:5" x14ac:dyDescent="0.2">
      <c r="A959">
        <v>16330</v>
      </c>
      <c r="B959">
        <f t="shared" si="14"/>
        <v>16300</v>
      </c>
      <c r="C959" s="13">
        <v>-2.06</v>
      </c>
      <c r="D959" s="13">
        <v>-1.8174999999999999</v>
      </c>
      <c r="E959" s="13">
        <v>-2.3024</v>
      </c>
    </row>
    <row r="960" spans="1:5" x14ac:dyDescent="0.2">
      <c r="A960">
        <v>16340</v>
      </c>
      <c r="B960">
        <f t="shared" si="14"/>
        <v>16300</v>
      </c>
      <c r="C960" s="13">
        <v>-2.0571000000000002</v>
      </c>
      <c r="D960" s="13">
        <v>-1.8092999999999999</v>
      </c>
      <c r="E960" s="13">
        <v>-2.3050000000000002</v>
      </c>
    </row>
    <row r="961" spans="1:5" x14ac:dyDescent="0.2">
      <c r="A961">
        <v>16350</v>
      </c>
      <c r="B961">
        <f t="shared" si="14"/>
        <v>16400</v>
      </c>
      <c r="C961" s="13">
        <v>-2.0543</v>
      </c>
      <c r="D961" s="13">
        <v>-1.8009999999999999</v>
      </c>
      <c r="E961" s="13">
        <v>-2.3075999999999999</v>
      </c>
    </row>
    <row r="962" spans="1:5" x14ac:dyDescent="0.2">
      <c r="A962">
        <v>16360</v>
      </c>
      <c r="B962">
        <f t="shared" si="14"/>
        <v>16400</v>
      </c>
      <c r="C962" s="13">
        <v>-2.0516000000000001</v>
      </c>
      <c r="D962" s="13">
        <v>-1.7927</v>
      </c>
      <c r="E962" s="13">
        <v>-2.3105000000000002</v>
      </c>
    </row>
    <row r="963" spans="1:5" x14ac:dyDescent="0.2">
      <c r="A963">
        <v>16370</v>
      </c>
      <c r="B963">
        <f t="shared" si="14"/>
        <v>16400</v>
      </c>
      <c r="C963" s="13">
        <v>-2.0489000000000002</v>
      </c>
      <c r="D963" s="13">
        <v>-1.7844</v>
      </c>
      <c r="E963" s="13">
        <v>-2.3134000000000001</v>
      </c>
    </row>
    <row r="964" spans="1:5" x14ac:dyDescent="0.2">
      <c r="A964">
        <v>16381</v>
      </c>
      <c r="B964">
        <f t="shared" ref="B964:B1027" si="15">MROUND(A964,100)</f>
        <v>16400</v>
      </c>
      <c r="C964" s="13">
        <v>-2.0463</v>
      </c>
      <c r="D964" s="13">
        <v>-1.776</v>
      </c>
      <c r="E964" s="13">
        <v>-2.3166000000000002</v>
      </c>
    </row>
    <row r="965" spans="1:5" x14ac:dyDescent="0.2">
      <c r="A965">
        <v>16391</v>
      </c>
      <c r="B965">
        <f t="shared" si="15"/>
        <v>16400</v>
      </c>
      <c r="C965" s="13">
        <v>-2.0436999999999999</v>
      </c>
      <c r="D965" s="13">
        <v>-1.7676000000000001</v>
      </c>
      <c r="E965" s="13">
        <v>-2.3199000000000001</v>
      </c>
    </row>
    <row r="966" spans="1:5" x14ac:dyDescent="0.2">
      <c r="A966">
        <v>16401</v>
      </c>
      <c r="B966">
        <f t="shared" si="15"/>
        <v>16400</v>
      </c>
      <c r="C966" s="13">
        <v>-2.0411999999999999</v>
      </c>
      <c r="D966" s="13">
        <v>-1.7592000000000001</v>
      </c>
      <c r="E966" s="13">
        <v>-2.3233000000000001</v>
      </c>
    </row>
    <row r="967" spans="1:5" x14ac:dyDescent="0.2">
      <c r="A967">
        <v>16411</v>
      </c>
      <c r="B967">
        <f t="shared" si="15"/>
        <v>16400</v>
      </c>
      <c r="C967" s="13">
        <v>-2.0387</v>
      </c>
      <c r="D967" s="13">
        <v>-1.7507999999999999</v>
      </c>
      <c r="E967" s="13">
        <v>-2.3267000000000002</v>
      </c>
    </row>
    <row r="968" spans="1:5" x14ac:dyDescent="0.2">
      <c r="A968">
        <v>16421</v>
      </c>
      <c r="B968">
        <f t="shared" si="15"/>
        <v>16400</v>
      </c>
      <c r="C968" s="13">
        <v>-2.0363000000000002</v>
      </c>
      <c r="D968" s="13">
        <v>-1.7424999999999999</v>
      </c>
      <c r="E968" s="13">
        <v>-2.3302</v>
      </c>
    </row>
    <row r="969" spans="1:5" x14ac:dyDescent="0.2">
      <c r="A969">
        <v>16431</v>
      </c>
      <c r="B969">
        <f t="shared" si="15"/>
        <v>16400</v>
      </c>
      <c r="C969" s="13">
        <v>-2.0339999999999998</v>
      </c>
      <c r="D969" s="13">
        <v>-1.7343999999999999</v>
      </c>
      <c r="E969" s="13">
        <v>-2.3334999999999999</v>
      </c>
    </row>
    <row r="970" spans="1:5" x14ac:dyDescent="0.2">
      <c r="A970">
        <v>16441</v>
      </c>
      <c r="B970">
        <f t="shared" si="15"/>
        <v>16400</v>
      </c>
      <c r="C970" s="13">
        <v>-2.0316000000000001</v>
      </c>
      <c r="D970" s="13">
        <v>-1.7264999999999999</v>
      </c>
      <c r="E970" s="13">
        <v>-2.3367</v>
      </c>
    </row>
    <row r="971" spans="1:5" x14ac:dyDescent="0.2">
      <c r="A971">
        <v>16451</v>
      </c>
      <c r="B971">
        <f t="shared" si="15"/>
        <v>16500</v>
      </c>
      <c r="C971" s="13">
        <v>-2.0293000000000001</v>
      </c>
      <c r="D971" s="13">
        <v>-1.7190000000000001</v>
      </c>
      <c r="E971" s="13">
        <v>-2.3397000000000001</v>
      </c>
    </row>
    <row r="972" spans="1:5" x14ac:dyDescent="0.2">
      <c r="A972">
        <v>16461</v>
      </c>
      <c r="B972">
        <f t="shared" si="15"/>
        <v>16500</v>
      </c>
      <c r="C972" s="13">
        <v>-2.0270999999999999</v>
      </c>
      <c r="D972" s="13">
        <v>-1.712</v>
      </c>
      <c r="E972" s="13">
        <v>-2.3422000000000001</v>
      </c>
    </row>
    <row r="973" spans="1:5" x14ac:dyDescent="0.2">
      <c r="A973">
        <v>16471</v>
      </c>
      <c r="B973">
        <f t="shared" si="15"/>
        <v>16500</v>
      </c>
      <c r="C973" s="13">
        <v>-2.0249000000000001</v>
      </c>
      <c r="D973" s="13">
        <v>-1.7055</v>
      </c>
      <c r="E973" s="13">
        <v>-2.3443000000000001</v>
      </c>
    </row>
    <row r="974" spans="1:5" x14ac:dyDescent="0.2">
      <c r="A974">
        <v>16481</v>
      </c>
      <c r="B974">
        <f t="shared" si="15"/>
        <v>16500</v>
      </c>
      <c r="C974" s="13">
        <v>-2.0228000000000002</v>
      </c>
      <c r="D974" s="13">
        <v>-1.6998</v>
      </c>
      <c r="E974" s="13">
        <v>-2.3458000000000001</v>
      </c>
    </row>
    <row r="975" spans="1:5" x14ac:dyDescent="0.2">
      <c r="A975">
        <v>16491</v>
      </c>
      <c r="B975">
        <f t="shared" si="15"/>
        <v>16500</v>
      </c>
      <c r="C975" s="13">
        <v>-2.0207000000000002</v>
      </c>
      <c r="D975" s="13">
        <v>-1.6948000000000001</v>
      </c>
      <c r="E975" s="13">
        <v>-2.3464999999999998</v>
      </c>
    </row>
    <row r="976" spans="1:5" x14ac:dyDescent="0.2">
      <c r="A976">
        <v>16501</v>
      </c>
      <c r="B976">
        <f t="shared" si="15"/>
        <v>16500</v>
      </c>
      <c r="C976" s="13">
        <v>-2.0186000000000002</v>
      </c>
      <c r="D976" s="13">
        <v>-1.6908000000000001</v>
      </c>
      <c r="E976" s="13">
        <v>-2.3462999999999998</v>
      </c>
    </row>
    <row r="977" spans="1:5" x14ac:dyDescent="0.2">
      <c r="A977">
        <v>16511</v>
      </c>
      <c r="B977">
        <f t="shared" si="15"/>
        <v>16500</v>
      </c>
      <c r="C977" s="13">
        <v>-2.0165000000000002</v>
      </c>
      <c r="D977" s="13">
        <v>-1.6878</v>
      </c>
      <c r="E977" s="13">
        <v>-2.3452000000000002</v>
      </c>
    </row>
    <row r="978" spans="1:5" x14ac:dyDescent="0.2">
      <c r="A978">
        <v>16522</v>
      </c>
      <c r="B978">
        <f t="shared" si="15"/>
        <v>16500</v>
      </c>
      <c r="C978" s="13">
        <v>-2.0145</v>
      </c>
      <c r="D978" s="13">
        <v>-1.6859999999999999</v>
      </c>
      <c r="E978" s="13">
        <v>-2.3431000000000002</v>
      </c>
    </row>
    <row r="979" spans="1:5" x14ac:dyDescent="0.2">
      <c r="A979">
        <v>16532</v>
      </c>
      <c r="B979">
        <f t="shared" si="15"/>
        <v>16500</v>
      </c>
      <c r="C979" s="13">
        <v>-2.0125999999999999</v>
      </c>
      <c r="D979" s="13">
        <v>-1.6854</v>
      </c>
      <c r="E979" s="13">
        <v>-2.3397000000000001</v>
      </c>
    </row>
    <row r="980" spans="1:5" x14ac:dyDescent="0.2">
      <c r="A980">
        <v>16542</v>
      </c>
      <c r="B980">
        <f t="shared" si="15"/>
        <v>16500</v>
      </c>
      <c r="C980" s="13">
        <v>-2.0106000000000002</v>
      </c>
      <c r="D980" s="13">
        <v>-1.6860999999999999</v>
      </c>
      <c r="E980" s="13">
        <v>-2.3351000000000002</v>
      </c>
    </row>
    <row r="981" spans="1:5" x14ac:dyDescent="0.2">
      <c r="A981">
        <v>16552</v>
      </c>
      <c r="B981">
        <f t="shared" si="15"/>
        <v>16600</v>
      </c>
      <c r="C981" s="13">
        <v>-2.0087000000000002</v>
      </c>
      <c r="D981" s="13">
        <v>-1.6881999999999999</v>
      </c>
      <c r="E981" s="13">
        <v>-2.3292999999999999</v>
      </c>
    </row>
    <row r="982" spans="1:5" x14ac:dyDescent="0.2">
      <c r="A982">
        <v>16562</v>
      </c>
      <c r="B982">
        <f t="shared" si="15"/>
        <v>16600</v>
      </c>
      <c r="C982" s="13">
        <v>-2.0070000000000001</v>
      </c>
      <c r="D982" s="13">
        <v>-1.6914</v>
      </c>
      <c r="E982" s="13">
        <v>-2.3226</v>
      </c>
    </row>
    <row r="983" spans="1:5" x14ac:dyDescent="0.2">
      <c r="A983">
        <v>16572</v>
      </c>
      <c r="B983">
        <f t="shared" si="15"/>
        <v>16600</v>
      </c>
      <c r="C983" s="13">
        <v>-2.0055000000000001</v>
      </c>
      <c r="D983" s="13">
        <v>-1.6958</v>
      </c>
      <c r="E983" s="13">
        <v>-2.3151000000000002</v>
      </c>
    </row>
    <row r="984" spans="1:5" x14ac:dyDescent="0.2">
      <c r="A984">
        <v>16582</v>
      </c>
      <c r="B984">
        <f t="shared" si="15"/>
        <v>16600</v>
      </c>
      <c r="C984" s="13">
        <v>-2.0042</v>
      </c>
      <c r="D984" s="13">
        <v>-1.7010000000000001</v>
      </c>
      <c r="E984" s="13">
        <v>-2.3073999999999999</v>
      </c>
    </row>
    <row r="985" spans="1:5" x14ac:dyDescent="0.2">
      <c r="A985">
        <v>16592</v>
      </c>
      <c r="B985">
        <f t="shared" si="15"/>
        <v>16600</v>
      </c>
      <c r="C985" s="13">
        <v>-2.0034000000000001</v>
      </c>
      <c r="D985" s="13">
        <v>-1.7070000000000001</v>
      </c>
      <c r="E985" s="13">
        <v>-2.2997999999999998</v>
      </c>
    </row>
    <row r="986" spans="1:5" x14ac:dyDescent="0.2">
      <c r="A986">
        <v>16602</v>
      </c>
      <c r="B986">
        <f t="shared" si="15"/>
        <v>16600</v>
      </c>
      <c r="C986" s="13">
        <v>-2.0030000000000001</v>
      </c>
      <c r="D986" s="13">
        <v>-1.7135</v>
      </c>
      <c r="E986" s="13">
        <v>-2.2925</v>
      </c>
    </row>
    <row r="987" spans="1:5" x14ac:dyDescent="0.2">
      <c r="A987">
        <v>16612</v>
      </c>
      <c r="B987">
        <f t="shared" si="15"/>
        <v>16600</v>
      </c>
      <c r="C987" s="13">
        <v>-2.0032000000000001</v>
      </c>
      <c r="D987" s="13">
        <v>-1.7204999999999999</v>
      </c>
      <c r="E987" s="13">
        <v>-2.2858999999999998</v>
      </c>
    </row>
    <row r="988" spans="1:5" x14ac:dyDescent="0.2">
      <c r="A988">
        <v>16622</v>
      </c>
      <c r="B988">
        <f t="shared" si="15"/>
        <v>16600</v>
      </c>
      <c r="C988" s="13">
        <v>-2.004</v>
      </c>
      <c r="D988" s="13">
        <v>-1.7277</v>
      </c>
      <c r="E988" s="13">
        <v>-2.2804000000000002</v>
      </c>
    </row>
    <row r="989" spans="1:5" x14ac:dyDescent="0.2">
      <c r="A989">
        <v>16632</v>
      </c>
      <c r="B989">
        <f t="shared" si="15"/>
        <v>16600</v>
      </c>
      <c r="C989" s="13">
        <v>-2.0055999999999998</v>
      </c>
      <c r="D989" s="13">
        <v>-1.7350000000000001</v>
      </c>
      <c r="E989" s="13">
        <v>-2.2761999999999998</v>
      </c>
    </row>
    <row r="990" spans="1:5" x14ac:dyDescent="0.2">
      <c r="A990">
        <v>16642</v>
      </c>
      <c r="B990">
        <f t="shared" si="15"/>
        <v>16600</v>
      </c>
      <c r="C990" s="13">
        <v>-2.008</v>
      </c>
      <c r="D990" s="13">
        <v>-1.7423</v>
      </c>
      <c r="E990" s="13">
        <v>-2.2736999999999998</v>
      </c>
    </row>
    <row r="991" spans="1:5" x14ac:dyDescent="0.2">
      <c r="A991">
        <v>16653</v>
      </c>
      <c r="B991">
        <f t="shared" si="15"/>
        <v>16700</v>
      </c>
      <c r="C991" s="13">
        <v>-2.0112999999999999</v>
      </c>
      <c r="D991" s="13">
        <v>-1.7495000000000001</v>
      </c>
      <c r="E991" s="13">
        <v>-2.2730999999999999</v>
      </c>
    </row>
    <row r="992" spans="1:5" x14ac:dyDescent="0.2">
      <c r="A992">
        <v>16663</v>
      </c>
      <c r="B992">
        <f t="shared" si="15"/>
        <v>16700</v>
      </c>
      <c r="C992" s="13">
        <v>-2.0156999999999998</v>
      </c>
      <c r="D992" s="13">
        <v>-1.7566999999999999</v>
      </c>
      <c r="E992" s="13">
        <v>-2.2746</v>
      </c>
    </row>
    <row r="993" spans="1:5" x14ac:dyDescent="0.2">
      <c r="A993">
        <v>16673</v>
      </c>
      <c r="B993">
        <f t="shared" si="15"/>
        <v>16700</v>
      </c>
      <c r="C993" s="13">
        <v>-2.0211000000000001</v>
      </c>
      <c r="D993" s="13">
        <v>-1.7639</v>
      </c>
      <c r="E993" s="13">
        <v>-2.2783000000000002</v>
      </c>
    </row>
    <row r="994" spans="1:5" x14ac:dyDescent="0.2">
      <c r="A994">
        <v>16683</v>
      </c>
      <c r="B994">
        <f t="shared" si="15"/>
        <v>16700</v>
      </c>
      <c r="C994" s="13">
        <v>-2.0276999999999998</v>
      </c>
      <c r="D994" s="13">
        <v>-1.7712000000000001</v>
      </c>
      <c r="E994" s="13">
        <v>-2.2841</v>
      </c>
    </row>
    <row r="995" spans="1:5" x14ac:dyDescent="0.2">
      <c r="A995">
        <v>16693</v>
      </c>
      <c r="B995">
        <f t="shared" si="15"/>
        <v>16700</v>
      </c>
      <c r="C995" s="13">
        <v>-2.0354999999999999</v>
      </c>
      <c r="D995" s="13">
        <v>-1.7787999999999999</v>
      </c>
      <c r="E995" s="13">
        <v>-2.2921999999999998</v>
      </c>
    </row>
    <row r="996" spans="1:5" x14ac:dyDescent="0.2">
      <c r="A996">
        <v>16703</v>
      </c>
      <c r="B996">
        <f t="shared" si="15"/>
        <v>16700</v>
      </c>
      <c r="C996" s="13">
        <v>-2.0447000000000002</v>
      </c>
      <c r="D996" s="13">
        <v>-1.7868999999999999</v>
      </c>
      <c r="E996" s="13">
        <v>-2.3025000000000002</v>
      </c>
    </row>
    <row r="997" spans="1:5" x14ac:dyDescent="0.2">
      <c r="A997">
        <v>16713</v>
      </c>
      <c r="B997">
        <f t="shared" si="15"/>
        <v>16700</v>
      </c>
      <c r="C997" s="13">
        <v>-2.0552999999999999</v>
      </c>
      <c r="D997" s="13">
        <v>-1.7959000000000001</v>
      </c>
      <c r="E997" s="13">
        <v>-2.3147000000000002</v>
      </c>
    </row>
    <row r="998" spans="1:5" x14ac:dyDescent="0.2">
      <c r="A998">
        <v>16723</v>
      </c>
      <c r="B998">
        <f t="shared" si="15"/>
        <v>16700</v>
      </c>
      <c r="C998" s="13">
        <v>-2.0674999999999999</v>
      </c>
      <c r="D998" s="13">
        <v>-1.806</v>
      </c>
      <c r="E998" s="13">
        <v>-2.3289</v>
      </c>
    </row>
    <row r="999" spans="1:5" x14ac:dyDescent="0.2">
      <c r="A999">
        <v>16733</v>
      </c>
      <c r="B999">
        <f t="shared" si="15"/>
        <v>16700</v>
      </c>
      <c r="C999" s="13">
        <v>-2.0811999999999999</v>
      </c>
      <c r="D999" s="13">
        <v>-1.8177000000000001</v>
      </c>
      <c r="E999" s="13">
        <v>-2.3448000000000002</v>
      </c>
    </row>
    <row r="1000" spans="1:5" x14ac:dyDescent="0.2">
      <c r="A1000">
        <v>16743</v>
      </c>
      <c r="B1000">
        <f t="shared" si="15"/>
        <v>16700</v>
      </c>
      <c r="C1000" s="13">
        <v>-2.0966999999999998</v>
      </c>
      <c r="D1000" s="13">
        <v>-1.8310999999999999</v>
      </c>
      <c r="E1000" s="13">
        <v>-2.3622000000000001</v>
      </c>
    </row>
    <row r="1001" spans="1:5" x14ac:dyDescent="0.2">
      <c r="A1001">
        <v>16753</v>
      </c>
      <c r="B1001">
        <f t="shared" si="15"/>
        <v>16800</v>
      </c>
      <c r="C1001" s="13">
        <v>-2.1139000000000001</v>
      </c>
      <c r="D1001" s="13">
        <v>-1.8467</v>
      </c>
      <c r="E1001" s="13">
        <v>-2.3811</v>
      </c>
    </row>
    <row r="1002" spans="1:5" x14ac:dyDescent="0.2">
      <c r="A1002">
        <v>16763</v>
      </c>
      <c r="B1002">
        <f t="shared" si="15"/>
        <v>16800</v>
      </c>
      <c r="C1002" s="13">
        <v>-2.1328999999999998</v>
      </c>
      <c r="D1002" s="13">
        <v>-1.8645</v>
      </c>
      <c r="E1002" s="13">
        <v>-2.4013</v>
      </c>
    </row>
    <row r="1003" spans="1:5" x14ac:dyDescent="0.2">
      <c r="A1003">
        <v>16773</v>
      </c>
      <c r="B1003">
        <f t="shared" si="15"/>
        <v>16800</v>
      </c>
      <c r="C1003" s="13">
        <v>-2.1536</v>
      </c>
      <c r="D1003" s="13">
        <v>-1.8846000000000001</v>
      </c>
      <c r="E1003" s="13">
        <v>-2.4226000000000001</v>
      </c>
    </row>
    <row r="1004" spans="1:5" x14ac:dyDescent="0.2">
      <c r="A1004">
        <v>16783</v>
      </c>
      <c r="B1004">
        <f t="shared" si="15"/>
        <v>16800</v>
      </c>
      <c r="C1004" s="13">
        <v>-2.1757</v>
      </c>
      <c r="D1004" s="13">
        <v>-1.9067000000000001</v>
      </c>
      <c r="E1004" s="13">
        <v>-2.4447999999999999</v>
      </c>
    </row>
    <row r="1005" spans="1:5" x14ac:dyDescent="0.2">
      <c r="A1005">
        <v>16794</v>
      </c>
      <c r="B1005">
        <f t="shared" si="15"/>
        <v>16800</v>
      </c>
      <c r="C1005" s="13">
        <v>-2.1991999999999998</v>
      </c>
      <c r="D1005" s="13">
        <v>-1.9306000000000001</v>
      </c>
      <c r="E1005" s="13">
        <v>-2.4678</v>
      </c>
    </row>
    <row r="1006" spans="1:5" x14ac:dyDescent="0.2">
      <c r="A1006">
        <v>16804</v>
      </c>
      <c r="B1006">
        <f t="shared" si="15"/>
        <v>16800</v>
      </c>
      <c r="C1006" s="13">
        <v>-2.2238000000000002</v>
      </c>
      <c r="D1006" s="13">
        <v>-1.9561999999999999</v>
      </c>
      <c r="E1006" s="13">
        <v>-2.4914999999999998</v>
      </c>
    </row>
    <row r="1007" spans="1:5" x14ac:dyDescent="0.2">
      <c r="A1007">
        <v>16814</v>
      </c>
      <c r="B1007">
        <f t="shared" si="15"/>
        <v>16800</v>
      </c>
      <c r="C1007" s="13">
        <v>-2.2494999999999998</v>
      </c>
      <c r="D1007" s="13">
        <v>-1.9831000000000001</v>
      </c>
      <c r="E1007" s="13">
        <v>-2.5158999999999998</v>
      </c>
    </row>
    <row r="1008" spans="1:5" x14ac:dyDescent="0.2">
      <c r="A1008">
        <v>16824</v>
      </c>
      <c r="B1008">
        <f t="shared" si="15"/>
        <v>16800</v>
      </c>
      <c r="C1008" s="13">
        <v>-2.2759999999999998</v>
      </c>
      <c r="D1008" s="13">
        <v>-2.0112000000000001</v>
      </c>
      <c r="E1008" s="13">
        <v>-2.5407999999999999</v>
      </c>
    </row>
    <row r="1009" spans="1:5" x14ac:dyDescent="0.2">
      <c r="A1009">
        <v>16834</v>
      </c>
      <c r="B1009">
        <f t="shared" si="15"/>
        <v>16800</v>
      </c>
      <c r="C1009" s="13">
        <v>-2.3031999999999999</v>
      </c>
      <c r="D1009" s="13">
        <v>-2.0400999999999998</v>
      </c>
      <c r="E1009" s="13">
        <v>-2.5663</v>
      </c>
    </row>
    <row r="1010" spans="1:5" x14ac:dyDescent="0.2">
      <c r="A1010">
        <v>16844</v>
      </c>
      <c r="B1010">
        <f t="shared" si="15"/>
        <v>16800</v>
      </c>
      <c r="C1010" s="13">
        <v>-2.331</v>
      </c>
      <c r="D1010" s="13">
        <v>-2.0697000000000001</v>
      </c>
      <c r="E1010" s="13">
        <v>-2.5922999999999998</v>
      </c>
    </row>
    <row r="1011" spans="1:5" x14ac:dyDescent="0.2">
      <c r="A1011">
        <v>16854</v>
      </c>
      <c r="B1011">
        <f t="shared" si="15"/>
        <v>16900</v>
      </c>
      <c r="C1011" s="13">
        <v>-2.3591000000000002</v>
      </c>
      <c r="D1011" s="13">
        <v>-2.0994999999999999</v>
      </c>
      <c r="E1011" s="13">
        <v>-2.6187999999999998</v>
      </c>
    </row>
    <row r="1012" spans="1:5" x14ac:dyDescent="0.2">
      <c r="A1012">
        <v>16864</v>
      </c>
      <c r="B1012">
        <f t="shared" si="15"/>
        <v>16900</v>
      </c>
      <c r="C1012" s="13">
        <v>-2.3875000000000002</v>
      </c>
      <c r="D1012" s="13">
        <v>-2.1295000000000002</v>
      </c>
      <c r="E1012" s="13">
        <v>-2.6456</v>
      </c>
    </row>
    <row r="1013" spans="1:5" x14ac:dyDescent="0.2">
      <c r="A1013">
        <v>16874</v>
      </c>
      <c r="B1013">
        <f t="shared" si="15"/>
        <v>16900</v>
      </c>
      <c r="C1013" s="13">
        <v>-2.4159999999999999</v>
      </c>
      <c r="D1013" s="13">
        <v>-2.1593</v>
      </c>
      <c r="E1013" s="13">
        <v>-2.6726999999999999</v>
      </c>
    </row>
    <row r="1014" spans="1:5" x14ac:dyDescent="0.2">
      <c r="A1014">
        <v>16884</v>
      </c>
      <c r="B1014">
        <f t="shared" si="15"/>
        <v>16900</v>
      </c>
      <c r="C1014" s="13">
        <v>-2.4443999999999999</v>
      </c>
      <c r="D1014" s="13">
        <v>-2.1886999999999999</v>
      </c>
      <c r="E1014" s="13">
        <v>-2.7000999999999999</v>
      </c>
    </row>
    <row r="1015" spans="1:5" x14ac:dyDescent="0.2">
      <c r="A1015">
        <v>16894</v>
      </c>
      <c r="B1015">
        <f t="shared" si="15"/>
        <v>16900</v>
      </c>
      <c r="C1015" s="13">
        <v>-2.4725999999999999</v>
      </c>
      <c r="D1015" s="13">
        <v>-2.2174</v>
      </c>
      <c r="E1015" s="13">
        <v>-2.7277</v>
      </c>
    </row>
    <row r="1016" spans="1:5" x14ac:dyDescent="0.2">
      <c r="A1016">
        <v>16904</v>
      </c>
      <c r="B1016">
        <f t="shared" si="15"/>
        <v>16900</v>
      </c>
      <c r="C1016" s="13">
        <v>-2.5003000000000002</v>
      </c>
      <c r="D1016" s="13">
        <v>-2.2454000000000001</v>
      </c>
      <c r="E1016" s="13">
        <v>-2.7551999999999999</v>
      </c>
    </row>
    <row r="1017" spans="1:5" x14ac:dyDescent="0.2">
      <c r="A1017">
        <v>16914</v>
      </c>
      <c r="B1017">
        <f t="shared" si="15"/>
        <v>16900</v>
      </c>
      <c r="C1017" s="13">
        <v>-2.5274999999999999</v>
      </c>
      <c r="D1017" s="13">
        <v>-2.2725</v>
      </c>
      <c r="E1017" s="13">
        <v>-2.7826</v>
      </c>
    </row>
    <row r="1018" spans="1:5" x14ac:dyDescent="0.2">
      <c r="A1018">
        <v>16924</v>
      </c>
      <c r="B1018">
        <f t="shared" si="15"/>
        <v>16900</v>
      </c>
      <c r="C1018" s="13">
        <v>-2.5541</v>
      </c>
      <c r="D1018" s="13">
        <v>-2.2984</v>
      </c>
      <c r="E1018" s="13">
        <v>-2.8098000000000001</v>
      </c>
    </row>
    <row r="1019" spans="1:5" x14ac:dyDescent="0.2">
      <c r="A1019">
        <v>16935</v>
      </c>
      <c r="B1019">
        <f t="shared" si="15"/>
        <v>16900</v>
      </c>
      <c r="C1019" s="13">
        <v>-2.5796999999999999</v>
      </c>
      <c r="D1019" s="13">
        <v>-2.323</v>
      </c>
      <c r="E1019" s="13">
        <v>-2.8363999999999998</v>
      </c>
    </row>
    <row r="1020" spans="1:5" x14ac:dyDescent="0.2">
      <c r="A1020">
        <v>16945</v>
      </c>
      <c r="B1020">
        <f t="shared" si="15"/>
        <v>16900</v>
      </c>
      <c r="C1020" s="13">
        <v>-2.6044</v>
      </c>
      <c r="D1020" s="13">
        <v>-2.3464</v>
      </c>
      <c r="E1020" s="13">
        <v>-2.8624000000000001</v>
      </c>
    </row>
    <row r="1021" spans="1:5" x14ac:dyDescent="0.2">
      <c r="A1021">
        <v>16955</v>
      </c>
      <c r="B1021">
        <f t="shared" si="15"/>
        <v>17000</v>
      </c>
      <c r="C1021" s="13">
        <v>-2.6278999999999999</v>
      </c>
      <c r="D1021" s="13">
        <v>-2.3683000000000001</v>
      </c>
      <c r="E1021" s="13">
        <v>-2.8875000000000002</v>
      </c>
    </row>
    <row r="1022" spans="1:5" x14ac:dyDescent="0.2">
      <c r="A1022">
        <v>16965</v>
      </c>
      <c r="B1022">
        <f t="shared" si="15"/>
        <v>17000</v>
      </c>
      <c r="C1022" s="13">
        <v>-2.65</v>
      </c>
      <c r="D1022" s="13">
        <v>-2.3887</v>
      </c>
      <c r="E1022" s="13">
        <v>-2.9114</v>
      </c>
    </row>
    <row r="1023" spans="1:5" x14ac:dyDescent="0.2">
      <c r="A1023">
        <v>16975</v>
      </c>
      <c r="B1023">
        <f t="shared" si="15"/>
        <v>17000</v>
      </c>
      <c r="C1023" s="13">
        <v>-2.6707000000000001</v>
      </c>
      <c r="D1023" s="13">
        <v>-2.4075000000000002</v>
      </c>
      <c r="E1023" s="13">
        <v>-2.9339</v>
      </c>
    </row>
    <row r="1024" spans="1:5" x14ac:dyDescent="0.2">
      <c r="A1024">
        <v>16985</v>
      </c>
      <c r="B1024">
        <f t="shared" si="15"/>
        <v>17000</v>
      </c>
      <c r="C1024" s="13">
        <v>-2.6897000000000002</v>
      </c>
      <c r="D1024" s="13">
        <v>-2.4247999999999998</v>
      </c>
      <c r="E1024" s="13">
        <v>-2.9546999999999999</v>
      </c>
    </row>
    <row r="1025" spans="1:5" x14ac:dyDescent="0.2">
      <c r="A1025">
        <v>16995</v>
      </c>
      <c r="B1025">
        <f t="shared" si="15"/>
        <v>17000</v>
      </c>
      <c r="C1025" s="13">
        <v>-2.7069999999999999</v>
      </c>
      <c r="D1025" s="13">
        <v>-2.4403000000000001</v>
      </c>
      <c r="E1025" s="13">
        <v>-2.9737</v>
      </c>
    </row>
    <row r="1026" spans="1:5" x14ac:dyDescent="0.2">
      <c r="A1026">
        <v>17005</v>
      </c>
      <c r="B1026">
        <f t="shared" si="15"/>
        <v>17000</v>
      </c>
      <c r="C1026" s="13">
        <v>-2.7225999999999999</v>
      </c>
      <c r="D1026" s="13">
        <v>-2.4542999999999999</v>
      </c>
      <c r="E1026" s="13">
        <v>-2.9908000000000001</v>
      </c>
    </row>
    <row r="1027" spans="1:5" x14ac:dyDescent="0.2">
      <c r="A1027">
        <v>17015</v>
      </c>
      <c r="B1027">
        <f t="shared" si="15"/>
        <v>17000</v>
      </c>
      <c r="C1027" s="13">
        <v>-2.7364999999999999</v>
      </c>
      <c r="D1027" s="13">
        <v>-2.4668000000000001</v>
      </c>
      <c r="E1027" s="13">
        <v>-3.0062000000000002</v>
      </c>
    </row>
    <row r="1028" spans="1:5" x14ac:dyDescent="0.2">
      <c r="A1028">
        <v>17025</v>
      </c>
      <c r="B1028">
        <f t="shared" ref="B1028:B1091" si="16">MROUND(A1028,100)</f>
        <v>17000</v>
      </c>
      <c r="C1028" s="13">
        <v>-2.7488999999999999</v>
      </c>
      <c r="D1028" s="13">
        <v>-2.4777</v>
      </c>
      <c r="E1028" s="13">
        <v>-3.0200999999999998</v>
      </c>
    </row>
    <row r="1029" spans="1:5" x14ac:dyDescent="0.2">
      <c r="A1029">
        <v>17035</v>
      </c>
      <c r="B1029">
        <f t="shared" si="16"/>
        <v>17000</v>
      </c>
      <c r="C1029" s="13">
        <v>-2.7599</v>
      </c>
      <c r="D1029" s="13">
        <v>-2.4872999999999998</v>
      </c>
      <c r="E1029" s="13">
        <v>-3.0325000000000002</v>
      </c>
    </row>
    <row r="1030" spans="1:5" x14ac:dyDescent="0.2">
      <c r="A1030">
        <v>17045</v>
      </c>
      <c r="B1030">
        <f t="shared" si="16"/>
        <v>17000</v>
      </c>
      <c r="C1030" s="13">
        <v>-2.7696000000000001</v>
      </c>
      <c r="D1030" s="13">
        <v>-2.4954999999999998</v>
      </c>
      <c r="E1030" s="13">
        <v>-3.0436999999999999</v>
      </c>
    </row>
    <row r="1031" spans="1:5" x14ac:dyDescent="0.2">
      <c r="A1031">
        <v>17055</v>
      </c>
      <c r="B1031">
        <f t="shared" si="16"/>
        <v>17100</v>
      </c>
      <c r="C1031" s="13">
        <v>-2.7780999999999998</v>
      </c>
      <c r="D1031" s="13">
        <v>-2.5024999999999999</v>
      </c>
      <c r="E1031" s="13">
        <v>-3.0537000000000001</v>
      </c>
    </row>
    <row r="1032" spans="1:5" x14ac:dyDescent="0.2">
      <c r="A1032">
        <v>17066</v>
      </c>
      <c r="B1032">
        <f t="shared" si="16"/>
        <v>17100</v>
      </c>
      <c r="C1032" s="13">
        <v>-2.7854999999999999</v>
      </c>
      <c r="D1032" s="13">
        <v>-2.5082</v>
      </c>
      <c r="E1032" s="13">
        <v>-3.0628000000000002</v>
      </c>
    </row>
    <row r="1033" spans="1:5" x14ac:dyDescent="0.2">
      <c r="A1033">
        <v>17076</v>
      </c>
      <c r="B1033">
        <f t="shared" si="16"/>
        <v>17100</v>
      </c>
      <c r="C1033" s="13">
        <v>-2.7917999999999998</v>
      </c>
      <c r="D1033" s="13">
        <v>-2.5127000000000002</v>
      </c>
      <c r="E1033" s="13">
        <v>-3.0710000000000002</v>
      </c>
    </row>
    <row r="1034" spans="1:5" x14ac:dyDescent="0.2">
      <c r="A1034">
        <v>17086</v>
      </c>
      <c r="B1034">
        <f t="shared" si="16"/>
        <v>17100</v>
      </c>
      <c r="C1034" s="13">
        <v>-2.7972999999999999</v>
      </c>
      <c r="D1034" s="13">
        <v>-2.5162</v>
      </c>
      <c r="E1034" s="13">
        <v>-3.0783999999999998</v>
      </c>
    </row>
    <row r="1035" spans="1:5" x14ac:dyDescent="0.2">
      <c r="A1035">
        <v>17096</v>
      </c>
      <c r="B1035">
        <f t="shared" si="16"/>
        <v>17100</v>
      </c>
      <c r="C1035" s="13">
        <v>-2.802</v>
      </c>
      <c r="D1035" s="13">
        <v>-2.5186000000000002</v>
      </c>
      <c r="E1035" s="13">
        <v>-3.0853000000000002</v>
      </c>
    </row>
    <row r="1036" spans="1:5" x14ac:dyDescent="0.2">
      <c r="A1036">
        <v>17106</v>
      </c>
      <c r="B1036">
        <f t="shared" si="16"/>
        <v>17100</v>
      </c>
      <c r="C1036" s="13">
        <v>-2.8058999999999998</v>
      </c>
      <c r="D1036" s="13">
        <v>-2.5200999999999998</v>
      </c>
      <c r="E1036" s="13">
        <v>-3.0918000000000001</v>
      </c>
    </row>
    <row r="1037" spans="1:5" x14ac:dyDescent="0.2">
      <c r="A1037">
        <v>17116</v>
      </c>
      <c r="B1037">
        <f t="shared" si="16"/>
        <v>17100</v>
      </c>
      <c r="C1037" s="13">
        <v>-2.8092999999999999</v>
      </c>
      <c r="D1037" s="13">
        <v>-2.5207999999999999</v>
      </c>
      <c r="E1037" s="13">
        <v>-3.0977999999999999</v>
      </c>
    </row>
    <row r="1038" spans="1:5" x14ac:dyDescent="0.2">
      <c r="A1038">
        <v>17126</v>
      </c>
      <c r="B1038">
        <f t="shared" si="16"/>
        <v>17100</v>
      </c>
      <c r="C1038" s="13">
        <v>-2.8121999999999998</v>
      </c>
      <c r="D1038" s="13">
        <v>-2.5207000000000002</v>
      </c>
      <c r="E1038" s="13">
        <v>-3.1036000000000001</v>
      </c>
    </row>
    <row r="1039" spans="1:5" x14ac:dyDescent="0.2">
      <c r="A1039">
        <v>17136</v>
      </c>
      <c r="B1039">
        <f t="shared" si="16"/>
        <v>17100</v>
      </c>
      <c r="C1039" s="13">
        <v>-2.8146</v>
      </c>
      <c r="D1039" s="13">
        <v>-2.5200999999999998</v>
      </c>
      <c r="E1039" s="13">
        <v>-3.1092</v>
      </c>
    </row>
    <row r="1040" spans="1:5" x14ac:dyDescent="0.2">
      <c r="A1040">
        <v>17146</v>
      </c>
      <c r="B1040">
        <f t="shared" si="16"/>
        <v>17100</v>
      </c>
      <c r="C1040" s="13">
        <v>-2.8168000000000002</v>
      </c>
      <c r="D1040" s="13">
        <v>-2.5190000000000001</v>
      </c>
      <c r="E1040" s="13">
        <v>-3.1145999999999998</v>
      </c>
    </row>
    <row r="1041" spans="1:5" x14ac:dyDescent="0.2">
      <c r="A1041">
        <v>17156</v>
      </c>
      <c r="B1041">
        <f t="shared" si="16"/>
        <v>17200</v>
      </c>
      <c r="C1041" s="13">
        <v>-2.8188</v>
      </c>
      <c r="D1041" s="13">
        <v>-2.5175999999999998</v>
      </c>
      <c r="E1041" s="13">
        <v>-3.12</v>
      </c>
    </row>
    <row r="1042" spans="1:5" x14ac:dyDescent="0.2">
      <c r="A1042">
        <v>17166</v>
      </c>
      <c r="B1042">
        <f t="shared" si="16"/>
        <v>17200</v>
      </c>
      <c r="C1042" s="13">
        <v>-2.8207</v>
      </c>
      <c r="D1042" s="13">
        <v>-2.516</v>
      </c>
      <c r="E1042" s="13">
        <v>-3.1254</v>
      </c>
    </row>
    <row r="1043" spans="1:5" x14ac:dyDescent="0.2">
      <c r="A1043">
        <v>17176</v>
      </c>
      <c r="B1043">
        <f t="shared" si="16"/>
        <v>17200</v>
      </c>
      <c r="C1043" s="13">
        <v>-2.8226</v>
      </c>
      <c r="D1043" s="13">
        <v>-2.5144000000000002</v>
      </c>
      <c r="E1043" s="13">
        <v>-3.1309</v>
      </c>
    </row>
    <row r="1044" spans="1:5" x14ac:dyDescent="0.2">
      <c r="A1044">
        <v>17186</v>
      </c>
      <c r="B1044">
        <f t="shared" si="16"/>
        <v>17200</v>
      </c>
      <c r="C1044" s="13">
        <v>-2.8247</v>
      </c>
      <c r="D1044" s="13">
        <v>-2.5127999999999999</v>
      </c>
      <c r="E1044" s="13">
        <v>-3.1364999999999998</v>
      </c>
    </row>
    <row r="1045" spans="1:5" x14ac:dyDescent="0.2">
      <c r="A1045">
        <v>17196</v>
      </c>
      <c r="B1045">
        <f t="shared" si="16"/>
        <v>17200</v>
      </c>
      <c r="C1045" s="13">
        <v>-2.8269000000000002</v>
      </c>
      <c r="D1045" s="13">
        <v>-2.5114999999999998</v>
      </c>
      <c r="E1045" s="13">
        <v>-3.1423000000000001</v>
      </c>
    </row>
    <row r="1046" spans="1:5" x14ac:dyDescent="0.2">
      <c r="A1046">
        <v>17207</v>
      </c>
      <c r="B1046">
        <f t="shared" si="16"/>
        <v>17200</v>
      </c>
      <c r="C1046" s="13">
        <v>-2.8294999999999999</v>
      </c>
      <c r="D1046" s="13">
        <v>-2.5106000000000002</v>
      </c>
      <c r="E1046" s="13">
        <v>-3.1484000000000001</v>
      </c>
    </row>
    <row r="1047" spans="1:5" x14ac:dyDescent="0.2">
      <c r="A1047">
        <v>17217</v>
      </c>
      <c r="B1047">
        <f t="shared" si="16"/>
        <v>17200</v>
      </c>
      <c r="C1047" s="13">
        <v>-2.8325</v>
      </c>
      <c r="D1047" s="13">
        <v>-2.5103</v>
      </c>
      <c r="E1047" s="13">
        <v>-3.1547000000000001</v>
      </c>
    </row>
    <row r="1048" spans="1:5" x14ac:dyDescent="0.2">
      <c r="A1048">
        <v>17227</v>
      </c>
      <c r="B1048">
        <f t="shared" si="16"/>
        <v>17200</v>
      </c>
      <c r="C1048" s="13">
        <v>-2.8359999999999999</v>
      </c>
      <c r="D1048" s="13">
        <v>-2.5106000000000002</v>
      </c>
      <c r="E1048" s="13">
        <v>-3.1614</v>
      </c>
    </row>
    <row r="1049" spans="1:5" x14ac:dyDescent="0.2">
      <c r="A1049">
        <v>17237</v>
      </c>
      <c r="B1049">
        <f t="shared" si="16"/>
        <v>17200</v>
      </c>
      <c r="C1049" s="13">
        <v>-2.8401999999999998</v>
      </c>
      <c r="D1049" s="13">
        <v>-2.5118</v>
      </c>
      <c r="E1049" s="13">
        <v>-3.1684999999999999</v>
      </c>
    </row>
    <row r="1050" spans="1:5" x14ac:dyDescent="0.2">
      <c r="A1050">
        <v>17247</v>
      </c>
      <c r="B1050">
        <f t="shared" si="16"/>
        <v>17200</v>
      </c>
      <c r="C1050" s="13">
        <v>-2.8449</v>
      </c>
      <c r="D1050" s="13">
        <v>-2.5137999999999998</v>
      </c>
      <c r="E1050" s="13">
        <v>-3.1760999999999999</v>
      </c>
    </row>
    <row r="1051" spans="1:5" x14ac:dyDescent="0.2">
      <c r="A1051">
        <v>17257</v>
      </c>
      <c r="B1051">
        <f t="shared" si="16"/>
        <v>17300</v>
      </c>
      <c r="C1051" s="13">
        <v>-2.8502000000000001</v>
      </c>
      <c r="D1051" s="13">
        <v>-2.5164</v>
      </c>
      <c r="E1051" s="13">
        <v>-3.1840000000000002</v>
      </c>
    </row>
    <row r="1052" spans="1:5" x14ac:dyDescent="0.2">
      <c r="A1052">
        <v>17267</v>
      </c>
      <c r="B1052">
        <f t="shared" si="16"/>
        <v>17300</v>
      </c>
      <c r="C1052" s="13">
        <v>-2.8559999999999999</v>
      </c>
      <c r="D1052" s="13">
        <v>-2.5196999999999998</v>
      </c>
      <c r="E1052" s="13">
        <v>-3.1922000000000001</v>
      </c>
    </row>
    <row r="1053" spans="1:5" x14ac:dyDescent="0.2">
      <c r="A1053">
        <v>17277</v>
      </c>
      <c r="B1053">
        <f t="shared" si="16"/>
        <v>17300</v>
      </c>
      <c r="C1053" s="13">
        <v>-2.8620000000000001</v>
      </c>
      <c r="D1053" s="13">
        <v>-2.5232999999999999</v>
      </c>
      <c r="E1053" s="13">
        <v>-3.2006999999999999</v>
      </c>
    </row>
    <row r="1054" spans="1:5" x14ac:dyDescent="0.2">
      <c r="A1054">
        <v>17287</v>
      </c>
      <c r="B1054">
        <f t="shared" si="16"/>
        <v>17300</v>
      </c>
      <c r="C1054" s="13">
        <v>-2.8683000000000001</v>
      </c>
      <c r="D1054" s="13">
        <v>-2.5272000000000001</v>
      </c>
      <c r="E1054" s="13">
        <v>-3.2094</v>
      </c>
    </row>
    <row r="1055" spans="1:5" x14ac:dyDescent="0.2">
      <c r="A1055">
        <v>17297</v>
      </c>
      <c r="B1055">
        <f t="shared" si="16"/>
        <v>17300</v>
      </c>
      <c r="C1055" s="13">
        <v>-2.8746999999999998</v>
      </c>
      <c r="D1055" s="13">
        <v>-2.5312999999999999</v>
      </c>
      <c r="E1055" s="13">
        <v>-3.2181999999999999</v>
      </c>
    </row>
    <row r="1056" spans="1:5" x14ac:dyDescent="0.2">
      <c r="A1056">
        <v>17307</v>
      </c>
      <c r="B1056">
        <f t="shared" si="16"/>
        <v>17300</v>
      </c>
      <c r="C1056" s="13">
        <v>-2.8812000000000002</v>
      </c>
      <c r="D1056" s="13">
        <v>-2.5352999999999999</v>
      </c>
      <c r="E1056" s="13">
        <v>-3.2269999999999999</v>
      </c>
    </row>
    <row r="1057" spans="1:5" x14ac:dyDescent="0.2">
      <c r="A1057">
        <v>17317</v>
      </c>
      <c r="B1057">
        <f t="shared" si="16"/>
        <v>17300</v>
      </c>
      <c r="C1057" s="13">
        <v>-2.8875000000000002</v>
      </c>
      <c r="D1057" s="13">
        <v>-2.5392000000000001</v>
      </c>
      <c r="E1057" s="13">
        <v>-3.2359</v>
      </c>
    </row>
    <row r="1058" spans="1:5" x14ac:dyDescent="0.2">
      <c r="A1058">
        <v>17327</v>
      </c>
      <c r="B1058">
        <f t="shared" si="16"/>
        <v>17300</v>
      </c>
      <c r="C1058" s="13">
        <v>-2.8936999999999999</v>
      </c>
      <c r="D1058" s="13">
        <v>-2.5428000000000002</v>
      </c>
      <c r="E1058" s="13">
        <v>-3.2446000000000002</v>
      </c>
    </row>
    <row r="1059" spans="1:5" x14ac:dyDescent="0.2">
      <c r="A1059">
        <v>17337</v>
      </c>
      <c r="B1059">
        <f t="shared" si="16"/>
        <v>17300</v>
      </c>
      <c r="C1059" s="13">
        <v>-2.8997000000000002</v>
      </c>
      <c r="D1059" s="13">
        <v>-2.5461</v>
      </c>
      <c r="E1059" s="13">
        <v>-3.2532999999999999</v>
      </c>
    </row>
    <row r="1060" spans="1:5" x14ac:dyDescent="0.2">
      <c r="A1060">
        <v>17348</v>
      </c>
      <c r="B1060">
        <f t="shared" si="16"/>
        <v>17300</v>
      </c>
      <c r="C1060" s="13">
        <v>-2.9051999999999998</v>
      </c>
      <c r="D1060" s="13">
        <v>-2.5488</v>
      </c>
      <c r="E1060" s="13">
        <v>-3.2616000000000001</v>
      </c>
    </row>
    <row r="1061" spans="1:5" x14ac:dyDescent="0.2">
      <c r="A1061">
        <v>17358</v>
      </c>
      <c r="B1061">
        <f t="shared" si="16"/>
        <v>17400</v>
      </c>
      <c r="C1061" s="13">
        <v>-2.9102999999999999</v>
      </c>
      <c r="D1061" s="13">
        <v>-2.5508999999999999</v>
      </c>
      <c r="E1061" s="13">
        <v>-3.2696000000000001</v>
      </c>
    </row>
    <row r="1062" spans="1:5" x14ac:dyDescent="0.2">
      <c r="A1062">
        <v>17368</v>
      </c>
      <c r="B1062">
        <f t="shared" si="16"/>
        <v>17400</v>
      </c>
      <c r="C1062" s="13">
        <v>-2.9148000000000001</v>
      </c>
      <c r="D1062" s="13">
        <v>-2.5522999999999998</v>
      </c>
      <c r="E1062" s="13">
        <v>-3.2772000000000001</v>
      </c>
    </row>
    <row r="1063" spans="1:5" x14ac:dyDescent="0.2">
      <c r="A1063">
        <v>17378</v>
      </c>
      <c r="B1063">
        <f t="shared" si="16"/>
        <v>17400</v>
      </c>
      <c r="C1063" s="13">
        <v>-2.9186000000000001</v>
      </c>
      <c r="D1063" s="13">
        <v>-2.5529000000000002</v>
      </c>
      <c r="E1063" s="13">
        <v>-3.2841999999999998</v>
      </c>
    </row>
    <row r="1064" spans="1:5" x14ac:dyDescent="0.2">
      <c r="A1064">
        <v>17388</v>
      </c>
      <c r="B1064">
        <f t="shared" si="16"/>
        <v>17400</v>
      </c>
      <c r="C1064" s="13">
        <v>-2.9216000000000002</v>
      </c>
      <c r="D1064" s="13">
        <v>-2.5526</v>
      </c>
      <c r="E1064" s="13">
        <v>-3.2906</v>
      </c>
    </row>
    <row r="1065" spans="1:5" x14ac:dyDescent="0.2">
      <c r="A1065">
        <v>17398</v>
      </c>
      <c r="B1065">
        <f t="shared" si="16"/>
        <v>17400</v>
      </c>
      <c r="C1065" s="13">
        <v>-2.9238</v>
      </c>
      <c r="D1065" s="13">
        <v>-2.5514000000000001</v>
      </c>
      <c r="E1065" s="13">
        <v>-3.2961</v>
      </c>
    </row>
    <row r="1066" spans="1:5" x14ac:dyDescent="0.2">
      <c r="A1066">
        <v>17408</v>
      </c>
      <c r="B1066">
        <f t="shared" si="16"/>
        <v>17400</v>
      </c>
      <c r="C1066" s="13">
        <v>-2.9249000000000001</v>
      </c>
      <c r="D1066" s="13">
        <v>-2.5491000000000001</v>
      </c>
      <c r="E1066" s="13">
        <v>-3.3007</v>
      </c>
    </row>
    <row r="1067" spans="1:5" x14ac:dyDescent="0.2">
      <c r="A1067">
        <v>17418</v>
      </c>
      <c r="B1067">
        <f t="shared" si="16"/>
        <v>17400</v>
      </c>
      <c r="C1067" s="13">
        <v>-2.9249999999999998</v>
      </c>
      <c r="D1067" s="13">
        <v>-2.5457000000000001</v>
      </c>
      <c r="E1067" s="13">
        <v>-3.3043</v>
      </c>
    </row>
    <row r="1068" spans="1:5" x14ac:dyDescent="0.2">
      <c r="A1068">
        <v>17428</v>
      </c>
      <c r="B1068">
        <f t="shared" si="16"/>
        <v>17400</v>
      </c>
      <c r="C1068" s="13">
        <v>-2.9239000000000002</v>
      </c>
      <c r="D1068" s="13">
        <v>-2.5411999999999999</v>
      </c>
      <c r="E1068" s="13">
        <v>-3.3066</v>
      </c>
    </row>
    <row r="1069" spans="1:5" x14ac:dyDescent="0.2">
      <c r="A1069">
        <v>17438</v>
      </c>
      <c r="B1069">
        <f t="shared" si="16"/>
        <v>17400</v>
      </c>
      <c r="C1069" s="13">
        <v>-2.9215</v>
      </c>
      <c r="D1069" s="13">
        <v>-2.5354000000000001</v>
      </c>
      <c r="E1069" s="13">
        <v>-3.3075999999999999</v>
      </c>
    </row>
    <row r="1070" spans="1:5" x14ac:dyDescent="0.2">
      <c r="A1070">
        <v>17448</v>
      </c>
      <c r="B1070">
        <f t="shared" si="16"/>
        <v>17400</v>
      </c>
      <c r="C1070" s="13">
        <v>-2.9177</v>
      </c>
      <c r="D1070" s="13">
        <v>-2.5284</v>
      </c>
      <c r="E1070" s="13">
        <v>-3.3071000000000002</v>
      </c>
    </row>
    <row r="1071" spans="1:5" x14ac:dyDescent="0.2">
      <c r="A1071">
        <v>17458</v>
      </c>
      <c r="B1071">
        <f t="shared" si="16"/>
        <v>17500</v>
      </c>
      <c r="C1071" s="13">
        <v>-2.9125000000000001</v>
      </c>
      <c r="D1071" s="13">
        <v>-2.52</v>
      </c>
      <c r="E1071" s="13">
        <v>-3.3048999999999999</v>
      </c>
    </row>
    <row r="1072" spans="1:5" x14ac:dyDescent="0.2">
      <c r="A1072">
        <v>17468</v>
      </c>
      <c r="B1072">
        <f t="shared" si="16"/>
        <v>17500</v>
      </c>
      <c r="C1072" s="13">
        <v>-2.9056000000000002</v>
      </c>
      <c r="D1072" s="13">
        <v>-2.5103</v>
      </c>
      <c r="E1072" s="13">
        <v>-3.3010000000000002</v>
      </c>
    </row>
    <row r="1073" spans="1:5" x14ac:dyDescent="0.2">
      <c r="A1073">
        <v>17479</v>
      </c>
      <c r="B1073">
        <f t="shared" si="16"/>
        <v>17500</v>
      </c>
      <c r="C1073" s="13">
        <v>-2.8971</v>
      </c>
      <c r="D1073" s="13">
        <v>-2.4990999999999999</v>
      </c>
      <c r="E1073" s="13">
        <v>-3.2951000000000001</v>
      </c>
    </row>
    <row r="1074" spans="1:5" x14ac:dyDescent="0.2">
      <c r="A1074">
        <v>17489</v>
      </c>
      <c r="B1074">
        <f t="shared" si="16"/>
        <v>17500</v>
      </c>
      <c r="C1074" s="13">
        <v>-2.8868</v>
      </c>
      <c r="D1074" s="13">
        <v>-2.4864000000000002</v>
      </c>
      <c r="E1074" s="13">
        <v>-3.2871999999999999</v>
      </c>
    </row>
    <row r="1075" spans="1:5" x14ac:dyDescent="0.2">
      <c r="A1075">
        <v>17499</v>
      </c>
      <c r="B1075">
        <f t="shared" si="16"/>
        <v>17500</v>
      </c>
      <c r="C1075" s="13">
        <v>-2.8746</v>
      </c>
      <c r="D1075" s="13">
        <v>-2.4721000000000002</v>
      </c>
      <c r="E1075" s="13">
        <v>-3.2770999999999999</v>
      </c>
    </row>
    <row r="1076" spans="1:5" x14ac:dyDescent="0.2">
      <c r="A1076">
        <v>17509</v>
      </c>
      <c r="B1076">
        <f t="shared" si="16"/>
        <v>17500</v>
      </c>
      <c r="C1076" s="13">
        <v>-2.8607</v>
      </c>
      <c r="D1076" s="13">
        <v>-2.4563999999999999</v>
      </c>
      <c r="E1076" s="13">
        <v>-3.2650999999999999</v>
      </c>
    </row>
    <row r="1077" spans="1:5" x14ac:dyDescent="0.2">
      <c r="A1077">
        <v>17519</v>
      </c>
      <c r="B1077">
        <f t="shared" si="16"/>
        <v>17500</v>
      </c>
      <c r="C1077" s="13">
        <v>-2.8452999999999999</v>
      </c>
      <c r="D1077" s="13">
        <v>-2.4392999999999998</v>
      </c>
      <c r="E1077" s="13">
        <v>-3.2513000000000001</v>
      </c>
    </row>
    <row r="1078" spans="1:5" x14ac:dyDescent="0.2">
      <c r="A1078">
        <v>17529</v>
      </c>
      <c r="B1078">
        <f t="shared" si="16"/>
        <v>17500</v>
      </c>
      <c r="C1078" s="13">
        <v>-2.8285</v>
      </c>
      <c r="D1078" s="13">
        <v>-2.4211999999999998</v>
      </c>
      <c r="E1078" s="13">
        <v>-3.2359</v>
      </c>
    </row>
    <row r="1079" spans="1:5" x14ac:dyDescent="0.2">
      <c r="A1079">
        <v>17539</v>
      </c>
      <c r="B1079">
        <f t="shared" si="16"/>
        <v>17500</v>
      </c>
      <c r="C1079" s="13">
        <v>-2.8105000000000002</v>
      </c>
      <c r="D1079" s="13">
        <v>-2.4018999999999999</v>
      </c>
      <c r="E1079" s="13">
        <v>-3.2191999999999998</v>
      </c>
    </row>
    <row r="1080" spans="1:5" x14ac:dyDescent="0.2">
      <c r="A1080">
        <v>17549</v>
      </c>
      <c r="B1080">
        <f t="shared" si="16"/>
        <v>17500</v>
      </c>
      <c r="C1080" s="13">
        <v>-2.7915000000000001</v>
      </c>
      <c r="D1080" s="13">
        <v>-2.3818000000000001</v>
      </c>
      <c r="E1080" s="13">
        <v>-3.2012</v>
      </c>
    </row>
    <row r="1081" spans="1:5" x14ac:dyDescent="0.2">
      <c r="A1081">
        <v>17559</v>
      </c>
      <c r="B1081">
        <f t="shared" si="16"/>
        <v>17600</v>
      </c>
      <c r="C1081" s="13">
        <v>-2.7715999999999998</v>
      </c>
      <c r="D1081" s="13">
        <v>-2.3609</v>
      </c>
      <c r="E1081" s="13">
        <v>-3.1823000000000001</v>
      </c>
    </row>
    <row r="1082" spans="1:5" x14ac:dyDescent="0.2">
      <c r="A1082">
        <v>17569</v>
      </c>
      <c r="B1082">
        <f t="shared" si="16"/>
        <v>17600</v>
      </c>
      <c r="C1082" s="13">
        <v>-2.7509000000000001</v>
      </c>
      <c r="D1082" s="13">
        <v>-2.3393000000000002</v>
      </c>
      <c r="E1082" s="13">
        <v>-3.1625000000000001</v>
      </c>
    </row>
    <row r="1083" spans="1:5" x14ac:dyDescent="0.2">
      <c r="A1083">
        <v>17579</v>
      </c>
      <c r="B1083">
        <f t="shared" si="16"/>
        <v>17600</v>
      </c>
      <c r="C1083" s="13">
        <v>-2.7296999999999998</v>
      </c>
      <c r="D1083" s="13">
        <v>-2.3172999999999999</v>
      </c>
      <c r="E1083" s="13">
        <v>-3.1421999999999999</v>
      </c>
    </row>
    <row r="1084" spans="1:5" x14ac:dyDescent="0.2">
      <c r="A1084">
        <v>17589</v>
      </c>
      <c r="B1084">
        <f t="shared" si="16"/>
        <v>17600</v>
      </c>
      <c r="C1084" s="13">
        <v>-2.7082000000000002</v>
      </c>
      <c r="D1084" s="13">
        <v>-2.2948</v>
      </c>
      <c r="E1084" s="13">
        <v>-3.1215000000000002</v>
      </c>
    </row>
    <row r="1085" spans="1:5" x14ac:dyDescent="0.2">
      <c r="A1085">
        <v>17599</v>
      </c>
      <c r="B1085">
        <f t="shared" si="16"/>
        <v>17600</v>
      </c>
      <c r="C1085" s="13">
        <v>-2.6863000000000001</v>
      </c>
      <c r="D1085" s="13">
        <v>-2.2722000000000002</v>
      </c>
      <c r="E1085" s="13">
        <v>-3.1004999999999998</v>
      </c>
    </row>
    <row r="1086" spans="1:5" x14ac:dyDescent="0.2">
      <c r="A1086">
        <v>17609</v>
      </c>
      <c r="B1086">
        <f t="shared" si="16"/>
        <v>17600</v>
      </c>
      <c r="C1086" s="13">
        <v>-2.6644999999999999</v>
      </c>
      <c r="D1086" s="13">
        <v>-2.2494999999999998</v>
      </c>
      <c r="E1086" s="13">
        <v>-3.0794000000000001</v>
      </c>
    </row>
    <row r="1087" spans="1:5" x14ac:dyDescent="0.2">
      <c r="A1087">
        <v>17620</v>
      </c>
      <c r="B1087">
        <f t="shared" si="16"/>
        <v>17600</v>
      </c>
      <c r="C1087" s="13">
        <v>-2.6427</v>
      </c>
      <c r="D1087" s="13">
        <v>-2.2269000000000001</v>
      </c>
      <c r="E1087" s="13">
        <v>-3.0585</v>
      </c>
    </row>
    <row r="1088" spans="1:5" x14ac:dyDescent="0.2">
      <c r="A1088">
        <v>17630</v>
      </c>
      <c r="B1088">
        <f t="shared" si="16"/>
        <v>17600</v>
      </c>
      <c r="C1088" s="13">
        <v>-2.6212</v>
      </c>
      <c r="D1088" s="13">
        <v>-2.2046000000000001</v>
      </c>
      <c r="E1088" s="13">
        <v>-3.0377999999999998</v>
      </c>
    </row>
    <row r="1089" spans="1:5" x14ac:dyDescent="0.2">
      <c r="A1089">
        <v>17640</v>
      </c>
      <c r="B1089">
        <f t="shared" si="16"/>
        <v>17600</v>
      </c>
      <c r="C1089" s="13">
        <v>-2.6000999999999999</v>
      </c>
      <c r="D1089" s="13">
        <v>-2.1827000000000001</v>
      </c>
      <c r="E1089" s="13">
        <v>-3.0175999999999998</v>
      </c>
    </row>
    <row r="1090" spans="1:5" x14ac:dyDescent="0.2">
      <c r="A1090">
        <v>17650</v>
      </c>
      <c r="B1090">
        <f t="shared" si="16"/>
        <v>17700</v>
      </c>
      <c r="C1090" s="13">
        <v>-2.5796999999999999</v>
      </c>
      <c r="D1090" s="13">
        <v>-2.1614</v>
      </c>
      <c r="E1090" s="13">
        <v>-2.9979</v>
      </c>
    </row>
    <row r="1091" spans="1:5" x14ac:dyDescent="0.2">
      <c r="A1091">
        <v>17660</v>
      </c>
      <c r="B1091">
        <f t="shared" si="16"/>
        <v>17700</v>
      </c>
      <c r="C1091" s="13">
        <v>-2.5598999999999998</v>
      </c>
      <c r="D1091" s="13">
        <v>-2.1408999999999998</v>
      </c>
      <c r="E1091" s="13">
        <v>-2.9790000000000001</v>
      </c>
    </row>
    <row r="1092" spans="1:5" x14ac:dyDescent="0.2">
      <c r="A1092">
        <v>17670</v>
      </c>
      <c r="B1092">
        <f t="shared" ref="B1092:B1155" si="17">MROUND(A1092,100)</f>
        <v>17700</v>
      </c>
      <c r="C1092" s="13">
        <v>-2.5411999999999999</v>
      </c>
      <c r="D1092" s="13">
        <v>-2.1215000000000002</v>
      </c>
      <c r="E1092" s="13">
        <v>-2.9609000000000001</v>
      </c>
    </row>
    <row r="1093" spans="1:5" x14ac:dyDescent="0.2">
      <c r="A1093">
        <v>17680</v>
      </c>
      <c r="B1093">
        <f t="shared" si="17"/>
        <v>17700</v>
      </c>
      <c r="C1093" s="13">
        <v>-2.5234999999999999</v>
      </c>
      <c r="D1093" s="13">
        <v>-2.1032000000000002</v>
      </c>
      <c r="E1093" s="13">
        <v>-2.9437000000000002</v>
      </c>
    </row>
    <row r="1094" spans="1:5" x14ac:dyDescent="0.2">
      <c r="A1094">
        <v>17690</v>
      </c>
      <c r="B1094">
        <f t="shared" si="17"/>
        <v>17700</v>
      </c>
      <c r="C1094" s="13">
        <v>-2.5070000000000001</v>
      </c>
      <c r="D1094" s="13">
        <v>-2.0863999999999998</v>
      </c>
      <c r="E1094" s="13">
        <v>-2.9277000000000002</v>
      </c>
    </row>
    <row r="1095" spans="1:5" x14ac:dyDescent="0.2">
      <c r="A1095">
        <v>17700</v>
      </c>
      <c r="B1095">
        <f t="shared" si="17"/>
        <v>17700</v>
      </c>
      <c r="C1095" s="13">
        <v>-2.492</v>
      </c>
      <c r="D1095" s="13">
        <v>-2.0712000000000002</v>
      </c>
      <c r="E1095" s="13">
        <v>-2.9129</v>
      </c>
    </row>
    <row r="1096" spans="1:5" x14ac:dyDescent="0.2">
      <c r="A1096">
        <v>17710</v>
      </c>
      <c r="B1096">
        <f t="shared" si="17"/>
        <v>17700</v>
      </c>
      <c r="C1096" s="13">
        <v>-2.4786000000000001</v>
      </c>
      <c r="D1096" s="13">
        <v>-2.0577999999999999</v>
      </c>
      <c r="E1096" s="13">
        <v>-2.8994</v>
      </c>
    </row>
    <row r="1097" spans="1:5" x14ac:dyDescent="0.2">
      <c r="A1097">
        <v>17720</v>
      </c>
      <c r="B1097">
        <f t="shared" si="17"/>
        <v>17700</v>
      </c>
      <c r="C1097" s="13">
        <v>-2.4668999999999999</v>
      </c>
      <c r="D1097" s="13">
        <v>-2.0464000000000002</v>
      </c>
      <c r="E1097" s="13">
        <v>-2.8873000000000002</v>
      </c>
    </row>
    <row r="1098" spans="1:5" x14ac:dyDescent="0.2">
      <c r="A1098">
        <v>17730</v>
      </c>
      <c r="B1098">
        <f t="shared" si="17"/>
        <v>17700</v>
      </c>
      <c r="C1098" s="13">
        <v>-2.4571000000000001</v>
      </c>
      <c r="D1098" s="13">
        <v>-2.0373999999999999</v>
      </c>
      <c r="E1098" s="13">
        <v>-2.8767999999999998</v>
      </c>
    </row>
    <row r="1099" spans="1:5" x14ac:dyDescent="0.2">
      <c r="A1099">
        <v>17740</v>
      </c>
      <c r="B1099">
        <f t="shared" si="17"/>
        <v>17700</v>
      </c>
      <c r="C1099" s="13">
        <v>-2.4493999999999998</v>
      </c>
      <c r="D1099" s="13">
        <v>-2.0308000000000002</v>
      </c>
      <c r="E1099" s="13">
        <v>-2.8679999999999999</v>
      </c>
    </row>
    <row r="1100" spans="1:5" x14ac:dyDescent="0.2">
      <c r="A1100">
        <v>17751</v>
      </c>
      <c r="B1100">
        <f t="shared" si="17"/>
        <v>17800</v>
      </c>
      <c r="C1100" s="13">
        <v>-2.4439000000000002</v>
      </c>
      <c r="D1100" s="13">
        <v>-2.0268000000000002</v>
      </c>
      <c r="E1100" s="13">
        <v>-2.8610000000000002</v>
      </c>
    </row>
    <row r="1101" spans="1:5" x14ac:dyDescent="0.2">
      <c r="A1101">
        <v>17761</v>
      </c>
      <c r="B1101">
        <f t="shared" si="17"/>
        <v>17800</v>
      </c>
      <c r="C1101" s="13">
        <v>-2.4409000000000001</v>
      </c>
      <c r="D1101" s="13">
        <v>-2.0257999999999998</v>
      </c>
      <c r="E1101" s="13">
        <v>-2.8559000000000001</v>
      </c>
    </row>
    <row r="1102" spans="1:5" x14ac:dyDescent="0.2">
      <c r="A1102">
        <v>17771</v>
      </c>
      <c r="B1102">
        <f t="shared" si="17"/>
        <v>17800</v>
      </c>
      <c r="C1102" s="13">
        <v>-2.4403000000000001</v>
      </c>
      <c r="D1102" s="13">
        <v>-2.0278999999999998</v>
      </c>
      <c r="E1102" s="13">
        <v>-2.8527999999999998</v>
      </c>
    </row>
    <row r="1103" spans="1:5" x14ac:dyDescent="0.2">
      <c r="A1103">
        <v>17781</v>
      </c>
      <c r="B1103">
        <f t="shared" si="17"/>
        <v>17800</v>
      </c>
      <c r="C1103" s="13">
        <v>-2.4422000000000001</v>
      </c>
      <c r="D1103" s="13">
        <v>-2.0327999999999999</v>
      </c>
      <c r="E1103" s="13">
        <v>-2.8515999999999999</v>
      </c>
    </row>
    <row r="1104" spans="1:5" x14ac:dyDescent="0.2">
      <c r="A1104">
        <v>17791</v>
      </c>
      <c r="B1104">
        <f t="shared" si="17"/>
        <v>17800</v>
      </c>
      <c r="C1104" s="13">
        <v>-2.4462999999999999</v>
      </c>
      <c r="D1104" s="13">
        <v>-2.0405000000000002</v>
      </c>
      <c r="E1104" s="13">
        <v>-2.8521999999999998</v>
      </c>
    </row>
    <row r="1105" spans="1:5" x14ac:dyDescent="0.2">
      <c r="A1105">
        <v>17801</v>
      </c>
      <c r="B1105">
        <f t="shared" si="17"/>
        <v>17800</v>
      </c>
      <c r="C1105" s="13">
        <v>-2.4527000000000001</v>
      </c>
      <c r="D1105" s="13">
        <v>-2.0508000000000002</v>
      </c>
      <c r="E1105" s="13">
        <v>-2.8544999999999998</v>
      </c>
    </row>
    <row r="1106" spans="1:5" x14ac:dyDescent="0.2">
      <c r="A1106">
        <v>17811</v>
      </c>
      <c r="B1106">
        <f t="shared" si="17"/>
        <v>17800</v>
      </c>
      <c r="C1106" s="13">
        <v>-2.4609999999999999</v>
      </c>
      <c r="D1106" s="13">
        <v>-2.0634999999999999</v>
      </c>
      <c r="E1106" s="13">
        <v>-2.8584999999999998</v>
      </c>
    </row>
    <row r="1107" spans="1:5" x14ac:dyDescent="0.2">
      <c r="A1107">
        <v>17821</v>
      </c>
      <c r="B1107">
        <f t="shared" si="17"/>
        <v>17800</v>
      </c>
      <c r="C1107" s="13">
        <v>-2.4712999999999998</v>
      </c>
      <c r="D1107" s="13">
        <v>-2.0783999999999998</v>
      </c>
      <c r="E1107" s="13">
        <v>-2.8641999999999999</v>
      </c>
    </row>
    <row r="1108" spans="1:5" x14ac:dyDescent="0.2">
      <c r="A1108">
        <v>17831</v>
      </c>
      <c r="B1108">
        <f t="shared" si="17"/>
        <v>17800</v>
      </c>
      <c r="C1108" s="13">
        <v>-2.4834000000000001</v>
      </c>
      <c r="D1108" s="13">
        <v>-2.0954000000000002</v>
      </c>
      <c r="E1108" s="13">
        <v>-2.8713000000000002</v>
      </c>
    </row>
    <row r="1109" spans="1:5" x14ac:dyDescent="0.2">
      <c r="A1109">
        <v>17841</v>
      </c>
      <c r="B1109">
        <f t="shared" si="17"/>
        <v>17800</v>
      </c>
      <c r="C1109" s="13">
        <v>-2.4971000000000001</v>
      </c>
      <c r="D1109" s="13">
        <v>-2.1143000000000001</v>
      </c>
      <c r="E1109" s="13">
        <v>-2.8799000000000001</v>
      </c>
    </row>
    <row r="1110" spans="1:5" x14ac:dyDescent="0.2">
      <c r="A1110">
        <v>17851</v>
      </c>
      <c r="B1110">
        <f t="shared" si="17"/>
        <v>17900</v>
      </c>
      <c r="C1110" s="13">
        <v>-2.5124</v>
      </c>
      <c r="D1110" s="13">
        <v>-2.1349</v>
      </c>
      <c r="E1110" s="13">
        <v>-2.89</v>
      </c>
    </row>
    <row r="1111" spans="1:5" x14ac:dyDescent="0.2">
      <c r="A1111">
        <v>17861</v>
      </c>
      <c r="B1111">
        <f t="shared" si="17"/>
        <v>17900</v>
      </c>
      <c r="C1111" s="13">
        <v>-2.5291000000000001</v>
      </c>
      <c r="D1111" s="13">
        <v>-2.157</v>
      </c>
      <c r="E1111" s="13">
        <v>-2.9013</v>
      </c>
    </row>
    <row r="1112" spans="1:5" x14ac:dyDescent="0.2">
      <c r="A1112">
        <v>17871</v>
      </c>
      <c r="B1112">
        <f t="shared" si="17"/>
        <v>17900</v>
      </c>
      <c r="C1112" s="13">
        <v>-2.5472000000000001</v>
      </c>
      <c r="D1112" s="13">
        <v>-2.1804000000000001</v>
      </c>
      <c r="E1112" s="13">
        <v>-2.9138999999999999</v>
      </c>
    </row>
    <row r="1113" spans="1:5" x14ac:dyDescent="0.2">
      <c r="A1113">
        <v>17881</v>
      </c>
      <c r="B1113">
        <f t="shared" si="17"/>
        <v>17900</v>
      </c>
      <c r="C1113" s="13">
        <v>-2.5663999999999998</v>
      </c>
      <c r="D1113" s="13">
        <v>-2.2050000000000001</v>
      </c>
      <c r="E1113" s="13">
        <v>-2.9278</v>
      </c>
    </row>
    <row r="1114" spans="1:5" x14ac:dyDescent="0.2">
      <c r="A1114">
        <v>17892</v>
      </c>
      <c r="B1114">
        <f t="shared" si="17"/>
        <v>17900</v>
      </c>
      <c r="C1114" s="13">
        <v>-2.5867</v>
      </c>
      <c r="D1114" s="13">
        <v>-2.2305999999999999</v>
      </c>
      <c r="E1114" s="13">
        <v>-2.9426999999999999</v>
      </c>
    </row>
    <row r="1115" spans="1:5" x14ac:dyDescent="0.2">
      <c r="A1115">
        <v>17902</v>
      </c>
      <c r="B1115">
        <f t="shared" si="17"/>
        <v>17900</v>
      </c>
      <c r="C1115" s="13">
        <v>-2.6078999999999999</v>
      </c>
      <c r="D1115" s="13">
        <v>-2.2570000000000001</v>
      </c>
      <c r="E1115" s="13">
        <v>-2.9586999999999999</v>
      </c>
    </row>
    <row r="1116" spans="1:5" x14ac:dyDescent="0.2">
      <c r="A1116">
        <v>17912</v>
      </c>
      <c r="B1116">
        <f t="shared" si="17"/>
        <v>17900</v>
      </c>
      <c r="C1116" s="13">
        <v>-2.6299000000000001</v>
      </c>
      <c r="D1116" s="13">
        <v>-2.2841</v>
      </c>
      <c r="E1116" s="13">
        <v>-2.9756999999999998</v>
      </c>
    </row>
    <row r="1117" spans="1:5" x14ac:dyDescent="0.2">
      <c r="A1117">
        <v>17922</v>
      </c>
      <c r="B1117">
        <f t="shared" si="17"/>
        <v>17900</v>
      </c>
      <c r="C1117" s="13">
        <v>-2.6526000000000001</v>
      </c>
      <c r="D1117" s="13">
        <v>-2.3115999999999999</v>
      </c>
      <c r="E1117" s="13">
        <v>-2.9935</v>
      </c>
    </row>
    <row r="1118" spans="1:5" x14ac:dyDescent="0.2">
      <c r="A1118">
        <v>17932</v>
      </c>
      <c r="B1118">
        <f t="shared" si="17"/>
        <v>17900</v>
      </c>
      <c r="C1118" s="13">
        <v>-2.6758000000000002</v>
      </c>
      <c r="D1118" s="13">
        <v>-2.3395000000000001</v>
      </c>
      <c r="E1118" s="13">
        <v>-3.0121000000000002</v>
      </c>
    </row>
    <row r="1119" spans="1:5" x14ac:dyDescent="0.2">
      <c r="A1119">
        <v>17942</v>
      </c>
      <c r="B1119">
        <f t="shared" si="17"/>
        <v>17900</v>
      </c>
      <c r="C1119" s="13">
        <v>-2.6995</v>
      </c>
      <c r="D1119" s="13">
        <v>-2.3675999999999999</v>
      </c>
      <c r="E1119" s="13">
        <v>-3.0314999999999999</v>
      </c>
    </row>
    <row r="1120" spans="1:5" x14ac:dyDescent="0.2">
      <c r="A1120">
        <v>17952</v>
      </c>
      <c r="B1120">
        <f t="shared" si="17"/>
        <v>18000</v>
      </c>
      <c r="C1120" s="13">
        <v>-2.7235</v>
      </c>
      <c r="D1120" s="13">
        <v>-2.3957000000000002</v>
      </c>
      <c r="E1120" s="13">
        <v>-3.0514000000000001</v>
      </c>
    </row>
    <row r="1121" spans="1:5" x14ac:dyDescent="0.2">
      <c r="A1121">
        <v>17962</v>
      </c>
      <c r="B1121">
        <f t="shared" si="17"/>
        <v>18000</v>
      </c>
      <c r="C1121" s="13">
        <v>-2.7477</v>
      </c>
      <c r="D1121" s="13">
        <v>-2.4237000000000002</v>
      </c>
      <c r="E1121" s="13">
        <v>-3.0716999999999999</v>
      </c>
    </row>
    <row r="1122" spans="1:5" x14ac:dyDescent="0.2">
      <c r="A1122">
        <v>17972</v>
      </c>
      <c r="B1122">
        <f t="shared" si="17"/>
        <v>18000</v>
      </c>
      <c r="C1122" s="13">
        <v>-2.7719999999999998</v>
      </c>
      <c r="D1122" s="13">
        <v>-2.4516</v>
      </c>
      <c r="E1122" s="13">
        <v>-3.0924999999999998</v>
      </c>
    </row>
    <row r="1123" spans="1:5" x14ac:dyDescent="0.2">
      <c r="A1123">
        <v>17982</v>
      </c>
      <c r="B1123">
        <f t="shared" si="17"/>
        <v>18000</v>
      </c>
      <c r="C1123" s="13">
        <v>-2.7961999999999998</v>
      </c>
      <c r="D1123" s="13">
        <v>-2.4790999999999999</v>
      </c>
      <c r="E1123" s="13">
        <v>-3.1133999999999999</v>
      </c>
    </row>
    <row r="1124" spans="1:5" x14ac:dyDescent="0.2">
      <c r="A1124">
        <v>17992</v>
      </c>
      <c r="B1124">
        <f t="shared" si="17"/>
        <v>18000</v>
      </c>
      <c r="C1124" s="13">
        <v>-2.8203</v>
      </c>
      <c r="D1124" s="13">
        <v>-2.5062000000000002</v>
      </c>
      <c r="E1124" s="13">
        <v>-3.1343999999999999</v>
      </c>
    </row>
    <row r="1125" spans="1:5" x14ac:dyDescent="0.2">
      <c r="A1125">
        <v>18002</v>
      </c>
      <c r="B1125">
        <f t="shared" si="17"/>
        <v>18000</v>
      </c>
      <c r="C1125" s="13">
        <v>-2.8439999999999999</v>
      </c>
      <c r="D1125" s="13">
        <v>-2.5327000000000002</v>
      </c>
      <c r="E1125" s="13">
        <v>-3.1553</v>
      </c>
    </row>
    <row r="1126" spans="1:5" x14ac:dyDescent="0.2">
      <c r="A1126">
        <v>18012</v>
      </c>
      <c r="B1126">
        <f t="shared" si="17"/>
        <v>18000</v>
      </c>
      <c r="C1126" s="13">
        <v>-2.8673000000000002</v>
      </c>
      <c r="D1126" s="13">
        <v>-2.5587</v>
      </c>
      <c r="E1126" s="13">
        <v>-3.1760000000000002</v>
      </c>
    </row>
    <row r="1127" spans="1:5" x14ac:dyDescent="0.2">
      <c r="A1127">
        <v>18022</v>
      </c>
      <c r="B1127">
        <f t="shared" si="17"/>
        <v>18000</v>
      </c>
      <c r="C1127" s="13">
        <v>-2.8900999999999999</v>
      </c>
      <c r="D1127" s="13">
        <v>-2.5838999999999999</v>
      </c>
      <c r="E1127" s="13">
        <v>-3.1964000000000001</v>
      </c>
    </row>
    <row r="1128" spans="1:5" x14ac:dyDescent="0.2">
      <c r="A1128">
        <v>18033</v>
      </c>
      <c r="B1128">
        <f t="shared" si="17"/>
        <v>18000</v>
      </c>
      <c r="C1128" s="13">
        <v>-2.9121999999999999</v>
      </c>
      <c r="D1128" s="13">
        <v>-2.6082999999999998</v>
      </c>
      <c r="E1128" s="13">
        <v>-3.2162000000000002</v>
      </c>
    </row>
    <row r="1129" spans="1:5" x14ac:dyDescent="0.2">
      <c r="A1129">
        <v>18043</v>
      </c>
      <c r="B1129">
        <f t="shared" si="17"/>
        <v>18000</v>
      </c>
      <c r="C1129" s="13">
        <v>-2.9335</v>
      </c>
      <c r="D1129" s="13">
        <v>-2.6318000000000001</v>
      </c>
      <c r="E1129" s="13">
        <v>-3.2351999999999999</v>
      </c>
    </row>
    <row r="1130" spans="1:5" x14ac:dyDescent="0.2">
      <c r="A1130">
        <v>18053</v>
      </c>
      <c r="B1130">
        <f t="shared" si="17"/>
        <v>18100</v>
      </c>
      <c r="C1130" s="13">
        <v>-2.9539</v>
      </c>
      <c r="D1130" s="13">
        <v>-2.6543999999999999</v>
      </c>
      <c r="E1130" s="13">
        <v>-3.2534999999999998</v>
      </c>
    </row>
    <row r="1131" spans="1:5" x14ac:dyDescent="0.2">
      <c r="A1131">
        <v>18063</v>
      </c>
      <c r="B1131">
        <f t="shared" si="17"/>
        <v>18100</v>
      </c>
      <c r="C1131" s="13">
        <v>-2.9733000000000001</v>
      </c>
      <c r="D1131" s="13">
        <v>-2.6758000000000002</v>
      </c>
      <c r="E1131" s="13">
        <v>-3.2707000000000002</v>
      </c>
    </row>
    <row r="1132" spans="1:5" x14ac:dyDescent="0.2">
      <c r="A1132">
        <v>18073</v>
      </c>
      <c r="B1132">
        <f t="shared" si="17"/>
        <v>18100</v>
      </c>
      <c r="C1132" s="13">
        <v>-2.9914999999999998</v>
      </c>
      <c r="D1132" s="13">
        <v>-2.6962000000000002</v>
      </c>
      <c r="E1132" s="13">
        <v>-3.2869000000000002</v>
      </c>
    </row>
    <row r="1133" spans="1:5" x14ac:dyDescent="0.2">
      <c r="A1133">
        <v>18083</v>
      </c>
      <c r="B1133">
        <f t="shared" si="17"/>
        <v>18100</v>
      </c>
      <c r="C1133" s="13">
        <v>-3.0087000000000002</v>
      </c>
      <c r="D1133" s="13">
        <v>-2.7155</v>
      </c>
      <c r="E1133" s="13">
        <v>-3.3018999999999998</v>
      </c>
    </row>
    <row r="1134" spans="1:5" x14ac:dyDescent="0.2">
      <c r="A1134">
        <v>18093</v>
      </c>
      <c r="B1134">
        <f t="shared" si="17"/>
        <v>18100</v>
      </c>
      <c r="C1134" s="13">
        <v>-3.0247999999999999</v>
      </c>
      <c r="D1134" s="13">
        <v>-2.7336</v>
      </c>
      <c r="E1134" s="13">
        <v>-3.3159999999999998</v>
      </c>
    </row>
    <row r="1135" spans="1:5" x14ac:dyDescent="0.2">
      <c r="A1135">
        <v>18103</v>
      </c>
      <c r="B1135">
        <f t="shared" si="17"/>
        <v>18100</v>
      </c>
      <c r="C1135" s="13">
        <v>-3.0398999999999998</v>
      </c>
      <c r="D1135" s="13">
        <v>-2.7507000000000001</v>
      </c>
      <c r="E1135" s="13">
        <v>-3.3290999999999999</v>
      </c>
    </row>
    <row r="1136" spans="1:5" x14ac:dyDescent="0.2">
      <c r="A1136">
        <v>18113</v>
      </c>
      <c r="B1136">
        <f t="shared" si="17"/>
        <v>18100</v>
      </c>
      <c r="C1136" s="13">
        <v>-3.0539000000000001</v>
      </c>
      <c r="D1136" s="13">
        <v>-2.7665999999999999</v>
      </c>
      <c r="E1136" s="13">
        <v>-3.3412999999999999</v>
      </c>
    </row>
    <row r="1137" spans="1:5" x14ac:dyDescent="0.2">
      <c r="A1137">
        <v>18123</v>
      </c>
      <c r="B1137">
        <f t="shared" si="17"/>
        <v>18100</v>
      </c>
      <c r="C1137" s="13">
        <v>-3.0669</v>
      </c>
      <c r="D1137" s="13">
        <v>-2.7812999999999999</v>
      </c>
      <c r="E1137" s="13">
        <v>-3.3525</v>
      </c>
    </row>
    <row r="1138" spans="1:5" x14ac:dyDescent="0.2">
      <c r="A1138">
        <v>18133</v>
      </c>
      <c r="B1138">
        <f t="shared" si="17"/>
        <v>18100</v>
      </c>
      <c r="C1138" s="13">
        <v>-3.0790000000000002</v>
      </c>
      <c r="D1138" s="13">
        <v>-2.7949999999999999</v>
      </c>
      <c r="E1138" s="13">
        <v>-3.363</v>
      </c>
    </row>
    <row r="1139" spans="1:5" x14ac:dyDescent="0.2">
      <c r="A1139">
        <v>18143</v>
      </c>
      <c r="B1139">
        <f t="shared" si="17"/>
        <v>18100</v>
      </c>
      <c r="C1139" s="13">
        <v>-3.09</v>
      </c>
      <c r="D1139" s="13">
        <v>-2.8073999999999999</v>
      </c>
      <c r="E1139" s="13">
        <v>-3.3725999999999998</v>
      </c>
    </row>
    <row r="1140" spans="1:5" x14ac:dyDescent="0.2">
      <c r="A1140">
        <v>18153</v>
      </c>
      <c r="B1140">
        <f t="shared" si="17"/>
        <v>18200</v>
      </c>
      <c r="C1140" s="13">
        <v>-3.1000999999999999</v>
      </c>
      <c r="D1140" s="13">
        <v>-2.8187000000000002</v>
      </c>
      <c r="E1140" s="13">
        <v>-3.3816000000000002</v>
      </c>
    </row>
    <row r="1141" spans="1:5" x14ac:dyDescent="0.2">
      <c r="A1141">
        <v>18164</v>
      </c>
      <c r="B1141">
        <f t="shared" si="17"/>
        <v>18200</v>
      </c>
      <c r="C1141" s="13">
        <v>-3.1093000000000002</v>
      </c>
      <c r="D1141" s="13">
        <v>-2.8288000000000002</v>
      </c>
      <c r="E1141" s="13">
        <v>-3.3898000000000001</v>
      </c>
    </row>
    <row r="1142" spans="1:5" x14ac:dyDescent="0.2">
      <c r="A1142">
        <v>18174</v>
      </c>
      <c r="B1142">
        <f t="shared" si="17"/>
        <v>18200</v>
      </c>
      <c r="C1142" s="13">
        <v>-3.1175999999999999</v>
      </c>
      <c r="D1142" s="13">
        <v>-2.8376999999999999</v>
      </c>
      <c r="E1142" s="13">
        <v>-3.3974000000000002</v>
      </c>
    </row>
    <row r="1143" spans="1:5" x14ac:dyDescent="0.2">
      <c r="A1143">
        <v>18184</v>
      </c>
      <c r="B1143">
        <f t="shared" si="17"/>
        <v>18200</v>
      </c>
      <c r="C1143" s="13">
        <v>-3.1248999999999998</v>
      </c>
      <c r="D1143" s="13">
        <v>-2.8454999999999999</v>
      </c>
      <c r="E1143" s="13">
        <v>-3.4043999999999999</v>
      </c>
    </row>
    <row r="1144" spans="1:5" x14ac:dyDescent="0.2">
      <c r="A1144">
        <v>18194</v>
      </c>
      <c r="B1144">
        <f t="shared" si="17"/>
        <v>18200</v>
      </c>
      <c r="C1144" s="13">
        <v>-3.1314000000000002</v>
      </c>
      <c r="D1144" s="13">
        <v>-2.8519999999999999</v>
      </c>
      <c r="E1144" s="13">
        <v>-3.4108000000000001</v>
      </c>
    </row>
    <row r="1145" spans="1:5" x14ac:dyDescent="0.2">
      <c r="A1145">
        <v>18204</v>
      </c>
      <c r="B1145">
        <f t="shared" si="17"/>
        <v>18200</v>
      </c>
      <c r="C1145" s="13">
        <v>-3.137</v>
      </c>
      <c r="D1145" s="13">
        <v>-2.8574000000000002</v>
      </c>
      <c r="E1145" s="13">
        <v>-3.4165999999999999</v>
      </c>
    </row>
    <row r="1146" spans="1:5" x14ac:dyDescent="0.2">
      <c r="A1146">
        <v>18214</v>
      </c>
      <c r="B1146">
        <f t="shared" si="17"/>
        <v>18200</v>
      </c>
      <c r="C1146" s="13">
        <v>-3.1417999999999999</v>
      </c>
      <c r="D1146" s="13">
        <v>-2.8616000000000001</v>
      </c>
      <c r="E1146" s="13">
        <v>-3.4218999999999999</v>
      </c>
    </row>
    <row r="1147" spans="1:5" x14ac:dyDescent="0.2">
      <c r="A1147">
        <v>18224</v>
      </c>
      <c r="B1147">
        <f t="shared" si="17"/>
        <v>18200</v>
      </c>
      <c r="C1147" s="13">
        <v>-3.1457000000000002</v>
      </c>
      <c r="D1147" s="13">
        <v>-2.8647999999999998</v>
      </c>
      <c r="E1147" s="13">
        <v>-3.4266999999999999</v>
      </c>
    </row>
    <row r="1148" spans="1:5" x14ac:dyDescent="0.2">
      <c r="A1148">
        <v>18234</v>
      </c>
      <c r="B1148">
        <f t="shared" si="17"/>
        <v>18200</v>
      </c>
      <c r="C1148" s="13">
        <v>-3.1488999999999998</v>
      </c>
      <c r="D1148" s="13">
        <v>-2.8668</v>
      </c>
      <c r="E1148" s="13">
        <v>-3.4308999999999998</v>
      </c>
    </row>
    <row r="1149" spans="1:5" x14ac:dyDescent="0.2">
      <c r="A1149">
        <v>18244</v>
      </c>
      <c r="B1149">
        <f t="shared" si="17"/>
        <v>18200</v>
      </c>
      <c r="C1149" s="13">
        <v>-3.1511999999999998</v>
      </c>
      <c r="D1149" s="13">
        <v>-2.8679000000000001</v>
      </c>
      <c r="E1149" s="13">
        <v>-3.4344999999999999</v>
      </c>
    </row>
    <row r="1150" spans="1:5" x14ac:dyDescent="0.2">
      <c r="A1150">
        <v>18254</v>
      </c>
      <c r="B1150">
        <f t="shared" si="17"/>
        <v>18300</v>
      </c>
      <c r="C1150" s="13">
        <v>-3.1528</v>
      </c>
      <c r="D1150" s="13">
        <v>-2.8679999999999999</v>
      </c>
      <c r="E1150" s="13">
        <v>-3.4376000000000002</v>
      </c>
    </row>
    <row r="1151" spans="1:5" x14ac:dyDescent="0.2">
      <c r="A1151">
        <v>18264</v>
      </c>
      <c r="B1151">
        <f t="shared" si="17"/>
        <v>18300</v>
      </c>
      <c r="C1151" s="13">
        <v>-3.1536</v>
      </c>
      <c r="D1151" s="13">
        <v>-2.8672</v>
      </c>
      <c r="E1151" s="13">
        <v>-3.44</v>
      </c>
    </row>
    <row r="1152" spans="1:5" x14ac:dyDescent="0.2">
      <c r="A1152">
        <v>18274</v>
      </c>
      <c r="B1152">
        <f t="shared" si="17"/>
        <v>18300</v>
      </c>
      <c r="C1152" s="13">
        <v>-3.1537000000000002</v>
      </c>
      <c r="D1152" s="13">
        <v>-2.8654999999999999</v>
      </c>
      <c r="E1152" s="13">
        <v>-3.4418000000000002</v>
      </c>
    </row>
    <row r="1153" spans="1:5" x14ac:dyDescent="0.2">
      <c r="A1153">
        <v>18284</v>
      </c>
      <c r="B1153">
        <f t="shared" si="17"/>
        <v>18300</v>
      </c>
      <c r="C1153" s="13">
        <v>-3.1530999999999998</v>
      </c>
      <c r="D1153" s="13">
        <v>-2.8631000000000002</v>
      </c>
      <c r="E1153" s="13">
        <v>-3.4430000000000001</v>
      </c>
    </row>
    <row r="1154" spans="1:5" x14ac:dyDescent="0.2">
      <c r="A1154">
        <v>18294</v>
      </c>
      <c r="B1154">
        <f t="shared" si="17"/>
        <v>18300</v>
      </c>
      <c r="C1154" s="13">
        <v>-3.1516999999999999</v>
      </c>
      <c r="D1154" s="13">
        <v>-2.86</v>
      </c>
      <c r="E1154" s="13">
        <v>-3.4434</v>
      </c>
    </row>
    <row r="1155" spans="1:5" x14ac:dyDescent="0.2">
      <c r="A1155">
        <v>18305</v>
      </c>
      <c r="B1155">
        <f t="shared" si="17"/>
        <v>18300</v>
      </c>
      <c r="C1155" s="13">
        <v>-3.1497000000000002</v>
      </c>
      <c r="D1155" s="13">
        <v>-2.8563000000000001</v>
      </c>
      <c r="E1155" s="13">
        <v>-3.4430999999999998</v>
      </c>
    </row>
    <row r="1156" spans="1:5" x14ac:dyDescent="0.2">
      <c r="A1156">
        <v>18315</v>
      </c>
      <c r="B1156">
        <f t="shared" ref="B1156:B1219" si="18">MROUND(A1156,100)</f>
        <v>18300</v>
      </c>
      <c r="C1156" s="13">
        <v>-3.1469999999999998</v>
      </c>
      <c r="D1156" s="13">
        <v>-2.8519999999999999</v>
      </c>
      <c r="E1156" s="13">
        <v>-3.4420999999999999</v>
      </c>
    </row>
    <row r="1157" spans="1:5" x14ac:dyDescent="0.2">
      <c r="A1157">
        <v>18325</v>
      </c>
      <c r="B1157">
        <f t="shared" si="18"/>
        <v>18300</v>
      </c>
      <c r="C1157" s="13">
        <v>-3.1436999999999999</v>
      </c>
      <c r="D1157" s="13">
        <v>-2.8473000000000002</v>
      </c>
      <c r="E1157" s="13">
        <v>-3.4401999999999999</v>
      </c>
    </row>
    <row r="1158" spans="1:5" x14ac:dyDescent="0.2">
      <c r="A1158">
        <v>18335</v>
      </c>
      <c r="B1158">
        <f t="shared" si="18"/>
        <v>18300</v>
      </c>
      <c r="C1158" s="13">
        <v>-3.1398000000000001</v>
      </c>
      <c r="D1158" s="13">
        <v>-2.8422000000000001</v>
      </c>
      <c r="E1158" s="13">
        <v>-3.4373999999999998</v>
      </c>
    </row>
    <row r="1159" spans="1:5" x14ac:dyDescent="0.2">
      <c r="A1159">
        <v>18345</v>
      </c>
      <c r="B1159">
        <f t="shared" si="18"/>
        <v>18300</v>
      </c>
      <c r="C1159" s="13">
        <v>-3.1353</v>
      </c>
      <c r="D1159" s="13">
        <v>-2.8368000000000002</v>
      </c>
      <c r="E1159" s="13">
        <v>-3.4337</v>
      </c>
    </row>
    <row r="1160" spans="1:5" x14ac:dyDescent="0.2">
      <c r="A1160">
        <v>18355</v>
      </c>
      <c r="B1160">
        <f t="shared" si="18"/>
        <v>18400</v>
      </c>
      <c r="C1160" s="13">
        <v>-3.1301000000000001</v>
      </c>
      <c r="D1160" s="13">
        <v>-2.8311000000000002</v>
      </c>
      <c r="E1160" s="13">
        <v>-3.4291999999999998</v>
      </c>
    </row>
    <row r="1161" spans="1:5" x14ac:dyDescent="0.2">
      <c r="A1161">
        <v>18365</v>
      </c>
      <c r="B1161">
        <f t="shared" si="18"/>
        <v>18400</v>
      </c>
      <c r="C1161" s="13">
        <v>-3.1244000000000001</v>
      </c>
      <c r="D1161" s="13">
        <v>-2.8252000000000002</v>
      </c>
      <c r="E1161" s="13">
        <v>-3.4237000000000002</v>
      </c>
    </row>
    <row r="1162" spans="1:5" x14ac:dyDescent="0.2">
      <c r="A1162">
        <v>18375</v>
      </c>
      <c r="B1162">
        <f t="shared" si="18"/>
        <v>18400</v>
      </c>
      <c r="C1162" s="13">
        <v>-3.1181999999999999</v>
      </c>
      <c r="D1162" s="13">
        <v>-2.8191999999999999</v>
      </c>
      <c r="E1162" s="13">
        <v>-3.4171999999999998</v>
      </c>
    </row>
    <row r="1163" spans="1:5" x14ac:dyDescent="0.2">
      <c r="A1163">
        <v>18385</v>
      </c>
      <c r="B1163">
        <f t="shared" si="18"/>
        <v>18400</v>
      </c>
      <c r="C1163" s="13">
        <v>-3.1114000000000002</v>
      </c>
      <c r="D1163" s="13">
        <v>-2.8130000000000002</v>
      </c>
      <c r="E1163" s="13">
        <v>-3.4098000000000002</v>
      </c>
    </row>
    <row r="1164" spans="1:5" x14ac:dyDescent="0.2">
      <c r="A1164">
        <v>18395</v>
      </c>
      <c r="B1164">
        <f t="shared" si="18"/>
        <v>18400</v>
      </c>
      <c r="C1164" s="13">
        <v>-3.1040999999999999</v>
      </c>
      <c r="D1164" s="13">
        <v>-2.8068</v>
      </c>
      <c r="E1164" s="13">
        <v>-3.4015</v>
      </c>
    </row>
    <row r="1165" spans="1:5" x14ac:dyDescent="0.2">
      <c r="A1165">
        <v>18405</v>
      </c>
      <c r="B1165">
        <f t="shared" si="18"/>
        <v>18400</v>
      </c>
      <c r="C1165" s="13">
        <v>-3.0964</v>
      </c>
      <c r="D1165" s="13">
        <v>-2.8003999999999998</v>
      </c>
      <c r="E1165" s="13">
        <v>-3.3923999999999999</v>
      </c>
    </row>
    <row r="1166" spans="1:5" x14ac:dyDescent="0.2">
      <c r="A1166">
        <v>18415</v>
      </c>
      <c r="B1166">
        <f t="shared" si="18"/>
        <v>18400</v>
      </c>
      <c r="C1166" s="13">
        <v>-3.0882999999999998</v>
      </c>
      <c r="D1166" s="13">
        <v>-2.7938999999999998</v>
      </c>
      <c r="E1166" s="13">
        <v>-3.3826000000000001</v>
      </c>
    </row>
    <row r="1167" spans="1:5" x14ac:dyDescent="0.2">
      <c r="A1167">
        <v>18425</v>
      </c>
      <c r="B1167">
        <f t="shared" si="18"/>
        <v>18400</v>
      </c>
      <c r="C1167" s="13">
        <v>-3.0798000000000001</v>
      </c>
      <c r="D1167" s="13">
        <v>-2.7871999999999999</v>
      </c>
      <c r="E1167" s="13">
        <v>-3.3723000000000001</v>
      </c>
    </row>
    <row r="1168" spans="1:5" x14ac:dyDescent="0.2">
      <c r="A1168">
        <v>18435</v>
      </c>
      <c r="B1168">
        <f t="shared" si="18"/>
        <v>18400</v>
      </c>
      <c r="C1168" s="13">
        <v>-3.0710000000000002</v>
      </c>
      <c r="D1168" s="13">
        <v>-2.7804000000000002</v>
      </c>
      <c r="E1168" s="13">
        <v>-3.3616000000000001</v>
      </c>
    </row>
    <row r="1169" spans="1:5" x14ac:dyDescent="0.2">
      <c r="A1169">
        <v>18446</v>
      </c>
      <c r="B1169">
        <f t="shared" si="18"/>
        <v>18400</v>
      </c>
      <c r="C1169" s="13">
        <v>-3.0619000000000001</v>
      </c>
      <c r="D1169" s="13">
        <v>-2.7732000000000001</v>
      </c>
      <c r="E1169" s="13">
        <v>-3.3506</v>
      </c>
    </row>
    <row r="1170" spans="1:5" x14ac:dyDescent="0.2">
      <c r="A1170">
        <v>18456</v>
      </c>
      <c r="B1170">
        <f t="shared" si="18"/>
        <v>18500</v>
      </c>
      <c r="C1170" s="13">
        <v>-3.0526</v>
      </c>
      <c r="D1170" s="13">
        <v>-2.7658999999999998</v>
      </c>
      <c r="E1170" s="13">
        <v>-3.3393999999999999</v>
      </c>
    </row>
    <row r="1171" spans="1:5" x14ac:dyDescent="0.2">
      <c r="A1171">
        <v>18466</v>
      </c>
      <c r="B1171">
        <f t="shared" si="18"/>
        <v>18500</v>
      </c>
      <c r="C1171" s="13">
        <v>-3.0432000000000001</v>
      </c>
      <c r="D1171" s="13">
        <v>-2.7582</v>
      </c>
      <c r="E1171" s="13">
        <v>-3.3281999999999998</v>
      </c>
    </row>
    <row r="1172" spans="1:5" x14ac:dyDescent="0.2">
      <c r="A1172">
        <v>18476</v>
      </c>
      <c r="B1172">
        <f t="shared" si="18"/>
        <v>18500</v>
      </c>
      <c r="C1172" s="13">
        <v>-3.0335999999999999</v>
      </c>
      <c r="D1172" s="13">
        <v>-2.7502</v>
      </c>
      <c r="E1172" s="13">
        <v>-3.3170000000000002</v>
      </c>
    </row>
    <row r="1173" spans="1:5" x14ac:dyDescent="0.2">
      <c r="A1173">
        <v>18486</v>
      </c>
      <c r="B1173">
        <f t="shared" si="18"/>
        <v>18500</v>
      </c>
      <c r="C1173" s="13">
        <v>-3.0238999999999998</v>
      </c>
      <c r="D1173" s="13">
        <v>-2.7418999999999998</v>
      </c>
      <c r="E1173" s="13">
        <v>-3.306</v>
      </c>
    </row>
    <row r="1174" spans="1:5" x14ac:dyDescent="0.2">
      <c r="A1174">
        <v>18496</v>
      </c>
      <c r="B1174">
        <f t="shared" si="18"/>
        <v>18500</v>
      </c>
      <c r="C1174" s="13">
        <v>-3.0142000000000002</v>
      </c>
      <c r="D1174" s="13">
        <v>-2.7332000000000001</v>
      </c>
      <c r="E1174" s="13">
        <v>-3.2951999999999999</v>
      </c>
    </row>
    <row r="1175" spans="1:5" x14ac:dyDescent="0.2">
      <c r="A1175">
        <v>18506</v>
      </c>
      <c r="B1175">
        <f t="shared" si="18"/>
        <v>18500</v>
      </c>
      <c r="C1175" s="13">
        <v>-3.0045000000000002</v>
      </c>
      <c r="D1175" s="13">
        <v>-2.7242000000000002</v>
      </c>
      <c r="E1175" s="13">
        <v>-3.2848000000000002</v>
      </c>
    </row>
    <row r="1176" spans="1:5" x14ac:dyDescent="0.2">
      <c r="A1176">
        <v>18516</v>
      </c>
      <c r="B1176">
        <f t="shared" si="18"/>
        <v>18500</v>
      </c>
      <c r="C1176" s="13">
        <v>-2.9948000000000001</v>
      </c>
      <c r="D1176" s="13">
        <v>-2.7147999999999999</v>
      </c>
      <c r="E1176" s="13">
        <v>-3.2747999999999999</v>
      </c>
    </row>
    <row r="1177" spans="1:5" x14ac:dyDescent="0.2">
      <c r="A1177">
        <v>18526</v>
      </c>
      <c r="B1177">
        <f t="shared" si="18"/>
        <v>18500</v>
      </c>
      <c r="C1177" s="13">
        <v>-2.9851999999999999</v>
      </c>
      <c r="D1177" s="13">
        <v>-2.7052</v>
      </c>
      <c r="E1177" s="13">
        <v>-3.2652999999999999</v>
      </c>
    </row>
    <row r="1178" spans="1:5" x14ac:dyDescent="0.2">
      <c r="A1178">
        <v>18536</v>
      </c>
      <c r="B1178">
        <f t="shared" si="18"/>
        <v>18500</v>
      </c>
      <c r="C1178" s="13">
        <v>-2.9758</v>
      </c>
      <c r="D1178" s="13">
        <v>-2.6953</v>
      </c>
      <c r="E1178" s="13">
        <v>-3.2563</v>
      </c>
    </row>
    <row r="1179" spans="1:5" x14ac:dyDescent="0.2">
      <c r="A1179">
        <v>18546</v>
      </c>
      <c r="B1179">
        <f t="shared" si="18"/>
        <v>18500</v>
      </c>
      <c r="C1179" s="13">
        <v>-2.9666000000000001</v>
      </c>
      <c r="D1179" s="13">
        <v>-2.6852</v>
      </c>
      <c r="E1179" s="13">
        <v>-3.2479</v>
      </c>
    </row>
    <row r="1180" spans="1:5" x14ac:dyDescent="0.2">
      <c r="A1180">
        <v>18556</v>
      </c>
      <c r="B1180">
        <f t="shared" si="18"/>
        <v>18600</v>
      </c>
      <c r="C1180" s="13">
        <v>-2.9575999999999998</v>
      </c>
      <c r="D1180" s="13">
        <v>-2.6749999999999998</v>
      </c>
      <c r="E1180" s="13">
        <v>-3.2402000000000002</v>
      </c>
    </row>
    <row r="1181" spans="1:5" x14ac:dyDescent="0.2">
      <c r="A1181">
        <v>18566</v>
      </c>
      <c r="B1181">
        <f t="shared" si="18"/>
        <v>18600</v>
      </c>
      <c r="C1181" s="13">
        <v>-2.9487999999999999</v>
      </c>
      <c r="D1181" s="13">
        <v>-2.6646000000000001</v>
      </c>
      <c r="E1181" s="13">
        <v>-3.2330000000000001</v>
      </c>
    </row>
    <row r="1182" spans="1:5" x14ac:dyDescent="0.2">
      <c r="A1182">
        <v>18577</v>
      </c>
      <c r="B1182">
        <f t="shared" si="18"/>
        <v>18600</v>
      </c>
      <c r="C1182" s="13">
        <v>-2.9403999999999999</v>
      </c>
      <c r="D1182" s="13">
        <v>-2.6543000000000001</v>
      </c>
      <c r="E1182" s="13">
        <v>-3.2265000000000001</v>
      </c>
    </row>
    <row r="1183" spans="1:5" x14ac:dyDescent="0.2">
      <c r="A1183">
        <v>18587</v>
      </c>
      <c r="B1183">
        <f t="shared" si="18"/>
        <v>18600</v>
      </c>
      <c r="C1183" s="13">
        <v>-2.9323999999999999</v>
      </c>
      <c r="D1183" s="13">
        <v>-2.6440999999999999</v>
      </c>
      <c r="E1183" s="13">
        <v>-3.2206000000000001</v>
      </c>
    </row>
    <row r="1184" spans="1:5" x14ac:dyDescent="0.2">
      <c r="A1184">
        <v>18597</v>
      </c>
      <c r="B1184">
        <f t="shared" si="18"/>
        <v>18600</v>
      </c>
      <c r="C1184" s="13">
        <v>-2.9247000000000001</v>
      </c>
      <c r="D1184" s="13">
        <v>-2.6341999999999999</v>
      </c>
      <c r="E1184" s="13">
        <v>-3.2153</v>
      </c>
    </row>
    <row r="1185" spans="1:5" x14ac:dyDescent="0.2">
      <c r="A1185">
        <v>18607</v>
      </c>
      <c r="B1185">
        <f t="shared" si="18"/>
        <v>18600</v>
      </c>
      <c r="C1185" s="13">
        <v>-2.9175</v>
      </c>
      <c r="D1185" s="13">
        <v>-2.6246</v>
      </c>
      <c r="E1185" s="13">
        <v>-3.2105000000000001</v>
      </c>
    </row>
    <row r="1186" spans="1:5" x14ac:dyDescent="0.2">
      <c r="A1186">
        <v>18617</v>
      </c>
      <c r="B1186">
        <f t="shared" si="18"/>
        <v>18600</v>
      </c>
      <c r="C1186" s="13">
        <v>-2.9108999999999998</v>
      </c>
      <c r="D1186" s="13">
        <v>-2.6154000000000002</v>
      </c>
      <c r="E1186" s="13">
        <v>-3.2063999999999999</v>
      </c>
    </row>
    <row r="1187" spans="1:5" x14ac:dyDescent="0.2">
      <c r="A1187">
        <v>18627</v>
      </c>
      <c r="B1187">
        <f t="shared" si="18"/>
        <v>18600</v>
      </c>
      <c r="C1187" s="13">
        <v>-2.9047000000000001</v>
      </c>
      <c r="D1187" s="13">
        <v>-2.6067999999999998</v>
      </c>
      <c r="E1187" s="13">
        <v>-3.2027000000000001</v>
      </c>
    </row>
    <row r="1188" spans="1:5" x14ac:dyDescent="0.2">
      <c r="A1188">
        <v>18637</v>
      </c>
      <c r="B1188">
        <f t="shared" si="18"/>
        <v>18600</v>
      </c>
      <c r="C1188" s="13">
        <v>-2.8992</v>
      </c>
      <c r="D1188" s="13">
        <v>-2.5989</v>
      </c>
      <c r="E1188" s="13">
        <v>-3.1995</v>
      </c>
    </row>
    <row r="1189" spans="1:5" x14ac:dyDescent="0.2">
      <c r="A1189">
        <v>18647</v>
      </c>
      <c r="B1189">
        <f t="shared" si="18"/>
        <v>18600</v>
      </c>
      <c r="C1189" s="13">
        <v>-2.8942999999999999</v>
      </c>
      <c r="D1189" s="13">
        <v>-2.5918000000000001</v>
      </c>
      <c r="E1189" s="13">
        <v>-3.1968000000000001</v>
      </c>
    </row>
    <row r="1190" spans="1:5" x14ac:dyDescent="0.2">
      <c r="A1190">
        <v>18657</v>
      </c>
      <c r="B1190">
        <f t="shared" si="18"/>
        <v>18700</v>
      </c>
      <c r="C1190" s="13">
        <v>-2.8900999999999999</v>
      </c>
      <c r="D1190" s="13">
        <v>-2.5857000000000001</v>
      </c>
      <c r="E1190" s="13">
        <v>-3.1945000000000001</v>
      </c>
    </row>
    <row r="1191" spans="1:5" x14ac:dyDescent="0.2">
      <c r="A1191">
        <v>18667</v>
      </c>
      <c r="B1191">
        <f t="shared" si="18"/>
        <v>18700</v>
      </c>
      <c r="C1191" s="13">
        <v>-2.8866000000000001</v>
      </c>
      <c r="D1191" s="13">
        <v>-2.5806</v>
      </c>
      <c r="E1191" s="13">
        <v>-3.1926000000000001</v>
      </c>
    </row>
    <row r="1192" spans="1:5" x14ac:dyDescent="0.2">
      <c r="A1192">
        <v>18677</v>
      </c>
      <c r="B1192">
        <f t="shared" si="18"/>
        <v>18700</v>
      </c>
      <c r="C1192" s="13">
        <v>-2.8839000000000001</v>
      </c>
      <c r="D1192" s="13">
        <v>-2.5767000000000002</v>
      </c>
      <c r="E1192" s="13">
        <v>-3.1911</v>
      </c>
    </row>
    <row r="1193" spans="1:5" x14ac:dyDescent="0.2">
      <c r="A1193">
        <v>18687</v>
      </c>
      <c r="B1193">
        <f t="shared" si="18"/>
        <v>18700</v>
      </c>
      <c r="C1193" s="13">
        <v>-2.8820000000000001</v>
      </c>
      <c r="D1193" s="13">
        <v>-2.5741000000000001</v>
      </c>
      <c r="E1193" s="13">
        <v>-3.19</v>
      </c>
    </row>
    <row r="1194" spans="1:5" x14ac:dyDescent="0.2">
      <c r="A1194">
        <v>18697</v>
      </c>
      <c r="B1194">
        <f t="shared" si="18"/>
        <v>18700</v>
      </c>
      <c r="C1194" s="13">
        <v>-2.8809999999999998</v>
      </c>
      <c r="D1194" s="13">
        <v>-2.5728</v>
      </c>
      <c r="E1194" s="13">
        <v>-3.1892</v>
      </c>
    </row>
    <row r="1195" spans="1:5" x14ac:dyDescent="0.2">
      <c r="A1195">
        <v>18707</v>
      </c>
      <c r="B1195">
        <f t="shared" si="18"/>
        <v>18700</v>
      </c>
      <c r="C1195" s="13">
        <v>-2.8809</v>
      </c>
      <c r="D1195" s="13">
        <v>-2.5729000000000002</v>
      </c>
      <c r="E1195" s="13">
        <v>-3.1888000000000001</v>
      </c>
    </row>
    <row r="1196" spans="1:5" x14ac:dyDescent="0.2">
      <c r="A1196">
        <v>18718</v>
      </c>
      <c r="B1196">
        <f t="shared" si="18"/>
        <v>18700</v>
      </c>
      <c r="C1196" s="13">
        <v>-2.8816000000000002</v>
      </c>
      <c r="D1196" s="13">
        <v>-2.5745</v>
      </c>
      <c r="E1196" s="13">
        <v>-3.1888000000000001</v>
      </c>
    </row>
    <row r="1197" spans="1:5" x14ac:dyDescent="0.2">
      <c r="A1197">
        <v>18728</v>
      </c>
      <c r="B1197">
        <f t="shared" si="18"/>
        <v>18700</v>
      </c>
      <c r="C1197" s="13">
        <v>-2.8832</v>
      </c>
      <c r="D1197" s="13">
        <v>-2.5773000000000001</v>
      </c>
      <c r="E1197" s="13">
        <v>-3.1890999999999998</v>
      </c>
    </row>
    <row r="1198" spans="1:5" x14ac:dyDescent="0.2">
      <c r="A1198">
        <v>18738</v>
      </c>
      <c r="B1198">
        <f t="shared" si="18"/>
        <v>18700</v>
      </c>
      <c r="C1198" s="13">
        <v>-2.8856000000000002</v>
      </c>
      <c r="D1198" s="13">
        <v>-2.5813000000000001</v>
      </c>
      <c r="E1198" s="13">
        <v>-3.1899000000000002</v>
      </c>
    </row>
    <row r="1199" spans="1:5" x14ac:dyDescent="0.2">
      <c r="A1199">
        <v>18748</v>
      </c>
      <c r="B1199">
        <f t="shared" si="18"/>
        <v>18700</v>
      </c>
      <c r="C1199" s="13">
        <v>-2.8887</v>
      </c>
      <c r="D1199" s="13">
        <v>-2.5863999999999998</v>
      </c>
      <c r="E1199" s="13">
        <v>-3.1911</v>
      </c>
    </row>
    <row r="1200" spans="1:5" x14ac:dyDescent="0.2">
      <c r="A1200">
        <v>18758</v>
      </c>
      <c r="B1200">
        <f t="shared" si="18"/>
        <v>18800</v>
      </c>
      <c r="C1200" s="13">
        <v>-2.8925999999999998</v>
      </c>
      <c r="D1200" s="13">
        <v>-2.5924999999999998</v>
      </c>
      <c r="E1200" s="13">
        <v>-3.1926999999999999</v>
      </c>
    </row>
    <row r="1201" spans="1:5" x14ac:dyDescent="0.2">
      <c r="A1201">
        <v>18768</v>
      </c>
      <c r="B1201">
        <f t="shared" si="18"/>
        <v>18800</v>
      </c>
      <c r="C1201" s="13">
        <v>-2.8971</v>
      </c>
      <c r="D1201" s="13">
        <v>-2.5994000000000002</v>
      </c>
      <c r="E1201" s="13">
        <v>-3.1949000000000001</v>
      </c>
    </row>
    <row r="1202" spans="1:5" x14ac:dyDescent="0.2">
      <c r="A1202">
        <v>18778</v>
      </c>
      <c r="B1202">
        <f t="shared" si="18"/>
        <v>18800</v>
      </c>
      <c r="C1202" s="13">
        <v>-2.9024000000000001</v>
      </c>
      <c r="D1202" s="13">
        <v>-2.6071</v>
      </c>
      <c r="E1202" s="13">
        <v>-3.1976</v>
      </c>
    </row>
    <row r="1203" spans="1:5" x14ac:dyDescent="0.2">
      <c r="A1203">
        <v>18788</v>
      </c>
      <c r="B1203">
        <f t="shared" si="18"/>
        <v>18800</v>
      </c>
      <c r="C1203" s="13">
        <v>-2.9081999999999999</v>
      </c>
      <c r="D1203" s="13">
        <v>-2.6154999999999999</v>
      </c>
      <c r="E1203" s="13">
        <v>-3.2008999999999999</v>
      </c>
    </row>
    <row r="1204" spans="1:5" x14ac:dyDescent="0.2">
      <c r="A1204">
        <v>18798</v>
      </c>
      <c r="B1204">
        <f t="shared" si="18"/>
        <v>18800</v>
      </c>
      <c r="C1204" s="13">
        <v>-2.9146000000000001</v>
      </c>
      <c r="D1204" s="13">
        <v>-2.6244000000000001</v>
      </c>
      <c r="E1204" s="13">
        <v>-3.2048000000000001</v>
      </c>
    </row>
    <row r="1205" spans="1:5" x14ac:dyDescent="0.2">
      <c r="A1205">
        <v>18808</v>
      </c>
      <c r="B1205">
        <f t="shared" si="18"/>
        <v>18800</v>
      </c>
      <c r="C1205" s="13">
        <v>-2.9215</v>
      </c>
      <c r="D1205" s="13">
        <v>-2.6337000000000002</v>
      </c>
      <c r="E1205" s="13">
        <v>-3.2092999999999998</v>
      </c>
    </row>
    <row r="1206" spans="1:5" x14ac:dyDescent="0.2">
      <c r="A1206">
        <v>18818</v>
      </c>
      <c r="B1206">
        <f t="shared" si="18"/>
        <v>18800</v>
      </c>
      <c r="C1206" s="13">
        <v>-2.9289999999999998</v>
      </c>
      <c r="D1206" s="13">
        <v>-2.6434000000000002</v>
      </c>
      <c r="E1206" s="13">
        <v>-3.2145999999999999</v>
      </c>
    </row>
    <row r="1207" spans="1:5" x14ac:dyDescent="0.2">
      <c r="A1207">
        <v>18828</v>
      </c>
      <c r="B1207">
        <f t="shared" si="18"/>
        <v>18800</v>
      </c>
      <c r="C1207" s="13">
        <v>-2.9369000000000001</v>
      </c>
      <c r="D1207" s="13">
        <v>-2.6532</v>
      </c>
      <c r="E1207" s="13">
        <v>-3.2204999999999999</v>
      </c>
    </row>
    <row r="1208" spans="1:5" x14ac:dyDescent="0.2">
      <c r="A1208">
        <v>18838</v>
      </c>
      <c r="B1208">
        <f t="shared" si="18"/>
        <v>18800</v>
      </c>
      <c r="C1208" s="13">
        <v>-2.9451999999999998</v>
      </c>
      <c r="D1208" s="13">
        <v>-2.6633</v>
      </c>
      <c r="E1208" s="13">
        <v>-3.2271999999999998</v>
      </c>
    </row>
    <row r="1209" spans="1:5" x14ac:dyDescent="0.2">
      <c r="A1209">
        <v>18848</v>
      </c>
      <c r="B1209">
        <f t="shared" si="18"/>
        <v>18800</v>
      </c>
      <c r="C1209" s="13">
        <v>-2.9539</v>
      </c>
      <c r="D1209" s="13">
        <v>-2.6734</v>
      </c>
      <c r="E1209" s="13">
        <v>-3.2345000000000002</v>
      </c>
    </row>
    <row r="1210" spans="1:5" x14ac:dyDescent="0.2">
      <c r="A1210">
        <v>18859</v>
      </c>
      <c r="B1210">
        <f t="shared" si="18"/>
        <v>18900</v>
      </c>
      <c r="C1210" s="13">
        <v>-2.9630000000000001</v>
      </c>
      <c r="D1210" s="13">
        <v>-2.6833999999999998</v>
      </c>
      <c r="E1210" s="13">
        <v>-3.2425999999999999</v>
      </c>
    </row>
    <row r="1211" spans="1:5" x14ac:dyDescent="0.2">
      <c r="A1211">
        <v>18869</v>
      </c>
      <c r="B1211">
        <f t="shared" si="18"/>
        <v>18900</v>
      </c>
      <c r="C1211" s="13">
        <v>-2.9723999999999999</v>
      </c>
      <c r="D1211" s="13">
        <v>-2.6934999999999998</v>
      </c>
      <c r="E1211" s="13">
        <v>-3.2513999999999998</v>
      </c>
    </row>
    <row r="1212" spans="1:5" x14ac:dyDescent="0.2">
      <c r="A1212">
        <v>18879</v>
      </c>
      <c r="B1212">
        <f t="shared" si="18"/>
        <v>18900</v>
      </c>
      <c r="C1212" s="13">
        <v>-2.9821</v>
      </c>
      <c r="D1212" s="13">
        <v>-2.7033999999999998</v>
      </c>
      <c r="E1212" s="13">
        <v>-3.2608999999999999</v>
      </c>
    </row>
    <row r="1213" spans="1:5" x14ac:dyDescent="0.2">
      <c r="A1213">
        <v>18889</v>
      </c>
      <c r="B1213">
        <f t="shared" si="18"/>
        <v>18900</v>
      </c>
      <c r="C1213" s="13">
        <v>-2.9921000000000002</v>
      </c>
      <c r="D1213" s="13">
        <v>-2.7132000000000001</v>
      </c>
      <c r="E1213" s="13">
        <v>-3.2709999999999999</v>
      </c>
    </row>
    <row r="1214" spans="1:5" x14ac:dyDescent="0.2">
      <c r="A1214">
        <v>18899</v>
      </c>
      <c r="B1214">
        <f t="shared" si="18"/>
        <v>18900</v>
      </c>
      <c r="C1214" s="13">
        <v>-3.0022000000000002</v>
      </c>
      <c r="D1214" s="13">
        <v>-2.7227999999999999</v>
      </c>
      <c r="E1214" s="13">
        <v>-3.2816000000000001</v>
      </c>
    </row>
    <row r="1215" spans="1:5" x14ac:dyDescent="0.2">
      <c r="A1215">
        <v>18909</v>
      </c>
      <c r="B1215">
        <f t="shared" si="18"/>
        <v>18900</v>
      </c>
      <c r="C1215" s="13">
        <v>-3.0125000000000002</v>
      </c>
      <c r="D1215" s="13">
        <v>-2.7323</v>
      </c>
      <c r="E1215" s="13">
        <v>-3.2927</v>
      </c>
    </row>
    <row r="1216" spans="1:5" x14ac:dyDescent="0.2">
      <c r="A1216">
        <v>18919</v>
      </c>
      <c r="B1216">
        <f t="shared" si="18"/>
        <v>18900</v>
      </c>
      <c r="C1216" s="13">
        <v>-3.0230000000000001</v>
      </c>
      <c r="D1216" s="13">
        <v>-2.7416999999999998</v>
      </c>
      <c r="E1216" s="13">
        <v>-3.3043</v>
      </c>
    </row>
    <row r="1217" spans="1:5" x14ac:dyDescent="0.2">
      <c r="A1217">
        <v>18929</v>
      </c>
      <c r="B1217">
        <f t="shared" si="18"/>
        <v>18900</v>
      </c>
      <c r="C1217" s="13">
        <v>-3.0335000000000001</v>
      </c>
      <c r="D1217" s="13">
        <v>-2.7509000000000001</v>
      </c>
      <c r="E1217" s="13">
        <v>-3.3161</v>
      </c>
    </row>
    <row r="1218" spans="1:5" x14ac:dyDescent="0.2">
      <c r="A1218">
        <v>18939</v>
      </c>
      <c r="B1218">
        <f t="shared" si="18"/>
        <v>18900</v>
      </c>
      <c r="C1218" s="13">
        <v>-3.0440999999999998</v>
      </c>
      <c r="D1218" s="13">
        <v>-2.76</v>
      </c>
      <c r="E1218" s="13">
        <v>-3.3281999999999998</v>
      </c>
    </row>
    <row r="1219" spans="1:5" x14ac:dyDescent="0.2">
      <c r="A1219">
        <v>18949</v>
      </c>
      <c r="B1219">
        <f t="shared" si="18"/>
        <v>18900</v>
      </c>
      <c r="C1219" s="13">
        <v>-3.0547</v>
      </c>
      <c r="D1219" s="13">
        <v>-2.7690000000000001</v>
      </c>
      <c r="E1219" s="13">
        <v>-3.3405</v>
      </c>
    </row>
    <row r="1220" spans="1:5" x14ac:dyDescent="0.2">
      <c r="A1220">
        <v>18959</v>
      </c>
      <c r="B1220">
        <f t="shared" ref="B1220:B1283" si="19">MROUND(A1220,100)</f>
        <v>19000</v>
      </c>
      <c r="C1220" s="13">
        <v>-3.0653000000000001</v>
      </c>
      <c r="D1220" s="13">
        <v>-2.778</v>
      </c>
      <c r="E1220" s="13">
        <v>-3.3527</v>
      </c>
    </row>
    <row r="1221" spans="1:5" x14ac:dyDescent="0.2">
      <c r="A1221">
        <v>18969</v>
      </c>
      <c r="B1221">
        <f t="shared" si="19"/>
        <v>19000</v>
      </c>
      <c r="C1221" s="13">
        <v>-3.0758999999999999</v>
      </c>
      <c r="D1221" s="13">
        <v>-2.7869999999999999</v>
      </c>
      <c r="E1221" s="13">
        <v>-3.3649</v>
      </c>
    </row>
    <row r="1222" spans="1:5" x14ac:dyDescent="0.2">
      <c r="A1222">
        <v>18979</v>
      </c>
      <c r="B1222">
        <f t="shared" si="19"/>
        <v>19000</v>
      </c>
      <c r="C1222" s="13">
        <v>-3.0863999999999998</v>
      </c>
      <c r="D1222" s="13">
        <v>-2.7959000000000001</v>
      </c>
      <c r="E1222" s="13">
        <v>-3.3767999999999998</v>
      </c>
    </row>
    <row r="1223" spans="1:5" x14ac:dyDescent="0.2">
      <c r="A1223">
        <v>18990</v>
      </c>
      <c r="B1223">
        <f t="shared" si="19"/>
        <v>19000</v>
      </c>
      <c r="C1223" s="13">
        <v>-3.0966999999999998</v>
      </c>
      <c r="D1223" s="13">
        <v>-2.8048999999999999</v>
      </c>
      <c r="E1223" s="13">
        <v>-3.3885000000000001</v>
      </c>
    </row>
    <row r="1224" spans="1:5" x14ac:dyDescent="0.2">
      <c r="A1224">
        <v>19000</v>
      </c>
      <c r="B1224">
        <f t="shared" si="19"/>
        <v>19000</v>
      </c>
      <c r="C1224" s="13">
        <v>-3.1069</v>
      </c>
      <c r="D1224" s="13">
        <v>-2.8140000000000001</v>
      </c>
      <c r="E1224" s="13">
        <v>-3.3997999999999999</v>
      </c>
    </row>
    <row r="1225" spans="1:5" x14ac:dyDescent="0.2">
      <c r="A1225">
        <v>19010</v>
      </c>
      <c r="B1225">
        <f t="shared" si="19"/>
        <v>19000</v>
      </c>
      <c r="C1225" s="13">
        <v>-3.1168999999999998</v>
      </c>
      <c r="D1225" s="13">
        <v>-2.8231000000000002</v>
      </c>
      <c r="E1225" s="13">
        <v>-3.4106999999999998</v>
      </c>
    </row>
    <row r="1226" spans="1:5" x14ac:dyDescent="0.2">
      <c r="A1226">
        <v>19020</v>
      </c>
      <c r="B1226">
        <f t="shared" si="19"/>
        <v>19000</v>
      </c>
      <c r="C1226" s="13">
        <v>-3.1267</v>
      </c>
      <c r="D1226" s="13">
        <v>-2.8323999999999998</v>
      </c>
      <c r="E1226" s="13">
        <v>-3.4209000000000001</v>
      </c>
    </row>
    <row r="1227" spans="1:5" x14ac:dyDescent="0.2">
      <c r="A1227">
        <v>19030</v>
      </c>
      <c r="B1227">
        <f t="shared" si="19"/>
        <v>19000</v>
      </c>
      <c r="C1227" s="13">
        <v>-3.1360999999999999</v>
      </c>
      <c r="D1227" s="13">
        <v>-2.8416000000000001</v>
      </c>
      <c r="E1227" s="13">
        <v>-3.4306000000000001</v>
      </c>
    </row>
    <row r="1228" spans="1:5" x14ac:dyDescent="0.2">
      <c r="A1228">
        <v>19040</v>
      </c>
      <c r="B1228">
        <f t="shared" si="19"/>
        <v>19000</v>
      </c>
      <c r="C1228" s="13">
        <v>-3.1453000000000002</v>
      </c>
      <c r="D1228" s="13">
        <v>-2.8509000000000002</v>
      </c>
      <c r="E1228" s="13">
        <v>-3.4397000000000002</v>
      </c>
    </row>
    <row r="1229" spans="1:5" x14ac:dyDescent="0.2">
      <c r="A1229">
        <v>19050</v>
      </c>
      <c r="B1229">
        <f t="shared" si="19"/>
        <v>19100</v>
      </c>
      <c r="C1229" s="13">
        <v>-3.1541000000000001</v>
      </c>
      <c r="D1229" s="13">
        <v>-2.8601000000000001</v>
      </c>
      <c r="E1229" s="13">
        <v>-3.4481999999999999</v>
      </c>
    </row>
    <row r="1230" spans="1:5" x14ac:dyDescent="0.2">
      <c r="A1230">
        <v>19060</v>
      </c>
      <c r="B1230">
        <f t="shared" si="19"/>
        <v>19100</v>
      </c>
      <c r="C1230" s="13">
        <v>-3.1625999999999999</v>
      </c>
      <c r="D1230" s="13">
        <v>-2.8691</v>
      </c>
      <c r="E1230" s="13">
        <v>-3.4561000000000002</v>
      </c>
    </row>
    <row r="1231" spans="1:5" x14ac:dyDescent="0.2">
      <c r="A1231">
        <v>19070</v>
      </c>
      <c r="B1231">
        <f t="shared" si="19"/>
        <v>19100</v>
      </c>
      <c r="C1231" s="13">
        <v>-3.1707000000000001</v>
      </c>
      <c r="D1231" s="13">
        <v>-2.8778999999999999</v>
      </c>
      <c r="E1231" s="13">
        <v>-3.4634</v>
      </c>
    </row>
    <row r="1232" spans="1:5" x14ac:dyDescent="0.2">
      <c r="A1232">
        <v>19080</v>
      </c>
      <c r="B1232">
        <f t="shared" si="19"/>
        <v>19100</v>
      </c>
      <c r="C1232" s="13">
        <v>-3.1783000000000001</v>
      </c>
      <c r="D1232" s="13">
        <v>-2.8862999999999999</v>
      </c>
      <c r="E1232" s="13">
        <v>-3.4702999999999999</v>
      </c>
    </row>
    <row r="1233" spans="1:5" x14ac:dyDescent="0.2">
      <c r="A1233">
        <v>19090</v>
      </c>
      <c r="B1233">
        <f t="shared" si="19"/>
        <v>19100</v>
      </c>
      <c r="C1233" s="13">
        <v>-3.1854</v>
      </c>
      <c r="D1233" s="13">
        <v>-2.8942000000000001</v>
      </c>
      <c r="E1233" s="13">
        <v>-3.4765999999999999</v>
      </c>
    </row>
    <row r="1234" spans="1:5" x14ac:dyDescent="0.2">
      <c r="A1234">
        <v>19100</v>
      </c>
      <c r="B1234">
        <f t="shared" si="19"/>
        <v>19100</v>
      </c>
      <c r="C1234" s="13">
        <v>-3.1920000000000002</v>
      </c>
      <c r="D1234" s="13">
        <v>-2.9015</v>
      </c>
      <c r="E1234" s="13">
        <v>-3.4826000000000001</v>
      </c>
    </row>
    <row r="1235" spans="1:5" x14ac:dyDescent="0.2">
      <c r="A1235">
        <v>19110</v>
      </c>
      <c r="B1235">
        <f t="shared" si="19"/>
        <v>19100</v>
      </c>
      <c r="C1235" s="13">
        <v>-3.1981000000000002</v>
      </c>
      <c r="D1235" s="13">
        <v>-2.9081000000000001</v>
      </c>
      <c r="E1235" s="13">
        <v>-3.4881000000000002</v>
      </c>
    </row>
    <row r="1236" spans="1:5" x14ac:dyDescent="0.2">
      <c r="A1236">
        <v>19120</v>
      </c>
      <c r="B1236">
        <f t="shared" si="19"/>
        <v>19100</v>
      </c>
      <c r="C1236" s="13">
        <v>-3.2035999999999998</v>
      </c>
      <c r="D1236" s="13">
        <v>-2.9140000000000001</v>
      </c>
      <c r="E1236" s="13">
        <v>-3.4933000000000001</v>
      </c>
    </row>
    <row r="1237" spans="1:5" x14ac:dyDescent="0.2">
      <c r="A1237">
        <v>19131</v>
      </c>
      <c r="B1237">
        <f t="shared" si="19"/>
        <v>19100</v>
      </c>
      <c r="C1237" s="13">
        <v>-3.2084999999999999</v>
      </c>
      <c r="D1237" s="13">
        <v>-2.919</v>
      </c>
      <c r="E1237" s="13">
        <v>-3.4981</v>
      </c>
    </row>
    <row r="1238" spans="1:5" x14ac:dyDescent="0.2">
      <c r="A1238">
        <v>19141</v>
      </c>
      <c r="B1238">
        <f t="shared" si="19"/>
        <v>19100</v>
      </c>
      <c r="C1238" s="13">
        <v>-3.2128000000000001</v>
      </c>
      <c r="D1238" s="13">
        <v>-2.923</v>
      </c>
      <c r="E1238" s="13">
        <v>-3.5026000000000002</v>
      </c>
    </row>
    <row r="1239" spans="1:5" x14ac:dyDescent="0.2">
      <c r="A1239">
        <v>19151</v>
      </c>
      <c r="B1239">
        <f t="shared" si="19"/>
        <v>19200</v>
      </c>
      <c r="C1239" s="13">
        <v>-3.2164000000000001</v>
      </c>
      <c r="D1239" s="13">
        <v>-2.9260000000000002</v>
      </c>
      <c r="E1239" s="13">
        <v>-3.5068000000000001</v>
      </c>
    </row>
    <row r="1240" spans="1:5" x14ac:dyDescent="0.2">
      <c r="A1240">
        <v>19161</v>
      </c>
      <c r="B1240">
        <f t="shared" si="19"/>
        <v>19200</v>
      </c>
      <c r="C1240" s="13">
        <v>-3.2193000000000001</v>
      </c>
      <c r="D1240" s="13">
        <v>-2.9279000000000002</v>
      </c>
      <c r="E1240" s="13">
        <v>-3.5106999999999999</v>
      </c>
    </row>
    <row r="1241" spans="1:5" x14ac:dyDescent="0.2">
      <c r="A1241">
        <v>19171</v>
      </c>
      <c r="B1241">
        <f t="shared" si="19"/>
        <v>19200</v>
      </c>
      <c r="C1241" s="13">
        <v>-3.2214</v>
      </c>
      <c r="D1241" s="13">
        <v>-2.9285999999999999</v>
      </c>
      <c r="E1241" s="13">
        <v>-3.5142000000000002</v>
      </c>
    </row>
    <row r="1242" spans="1:5" x14ac:dyDescent="0.2">
      <c r="A1242">
        <v>19181</v>
      </c>
      <c r="B1242">
        <f t="shared" si="19"/>
        <v>19200</v>
      </c>
      <c r="C1242" s="13">
        <v>-3.2227999999999999</v>
      </c>
      <c r="D1242" s="13">
        <v>-2.9281000000000001</v>
      </c>
      <c r="E1242" s="13">
        <v>-3.5173999999999999</v>
      </c>
    </row>
    <row r="1243" spans="1:5" x14ac:dyDescent="0.2">
      <c r="A1243">
        <v>19191</v>
      </c>
      <c r="B1243">
        <f t="shared" si="19"/>
        <v>19200</v>
      </c>
      <c r="C1243" s="13">
        <v>-3.2233000000000001</v>
      </c>
      <c r="D1243" s="13">
        <v>-2.9264000000000001</v>
      </c>
      <c r="E1243" s="13">
        <v>-3.5202</v>
      </c>
    </row>
    <row r="1244" spans="1:5" x14ac:dyDescent="0.2">
      <c r="A1244">
        <v>19201</v>
      </c>
      <c r="B1244">
        <f t="shared" si="19"/>
        <v>19200</v>
      </c>
      <c r="C1244" s="13">
        <v>-3.2231000000000001</v>
      </c>
      <c r="D1244" s="13">
        <v>-2.9235000000000002</v>
      </c>
      <c r="E1244" s="13">
        <v>-3.5226000000000002</v>
      </c>
    </row>
    <row r="1245" spans="1:5" x14ac:dyDescent="0.2">
      <c r="A1245">
        <v>19211</v>
      </c>
      <c r="B1245">
        <f t="shared" si="19"/>
        <v>19200</v>
      </c>
      <c r="C1245" s="13">
        <v>-3.2219000000000002</v>
      </c>
      <c r="D1245" s="13">
        <v>-2.9192999999999998</v>
      </c>
      <c r="E1245" s="13">
        <v>-3.5245000000000002</v>
      </c>
    </row>
    <row r="1246" spans="1:5" x14ac:dyDescent="0.2">
      <c r="A1246">
        <v>19221</v>
      </c>
      <c r="B1246">
        <f t="shared" si="19"/>
        <v>19200</v>
      </c>
      <c r="C1246" s="13">
        <v>-3.2198000000000002</v>
      </c>
      <c r="D1246" s="13">
        <v>-2.9138000000000002</v>
      </c>
      <c r="E1246" s="13">
        <v>-3.5257999999999998</v>
      </c>
    </row>
    <row r="1247" spans="1:5" x14ac:dyDescent="0.2">
      <c r="A1247">
        <v>19231</v>
      </c>
      <c r="B1247">
        <f t="shared" si="19"/>
        <v>19200</v>
      </c>
      <c r="C1247" s="13">
        <v>-3.2168000000000001</v>
      </c>
      <c r="D1247" s="13">
        <v>-2.9070999999999998</v>
      </c>
      <c r="E1247" s="13">
        <v>-3.5265</v>
      </c>
    </row>
    <row r="1248" spans="1:5" x14ac:dyDescent="0.2">
      <c r="A1248">
        <v>19241</v>
      </c>
      <c r="B1248">
        <f t="shared" si="19"/>
        <v>19200</v>
      </c>
      <c r="C1248" s="13">
        <v>-3.2128000000000001</v>
      </c>
      <c r="D1248" s="13">
        <v>-2.8992</v>
      </c>
      <c r="E1248" s="13">
        <v>-3.5264000000000002</v>
      </c>
    </row>
    <row r="1249" spans="1:5" x14ac:dyDescent="0.2">
      <c r="A1249">
        <v>19251</v>
      </c>
      <c r="B1249">
        <f t="shared" si="19"/>
        <v>19300</v>
      </c>
      <c r="C1249" s="13">
        <v>-3.2078000000000002</v>
      </c>
      <c r="D1249" s="13">
        <v>-2.8900999999999999</v>
      </c>
      <c r="E1249" s="13">
        <v>-3.5255000000000001</v>
      </c>
    </row>
    <row r="1250" spans="1:5" x14ac:dyDescent="0.2">
      <c r="A1250">
        <v>19262</v>
      </c>
      <c r="B1250">
        <f t="shared" si="19"/>
        <v>19300</v>
      </c>
      <c r="C1250" s="13">
        <v>-3.2017000000000002</v>
      </c>
      <c r="D1250" s="13">
        <v>-2.8799000000000001</v>
      </c>
      <c r="E1250" s="13">
        <v>-3.5236000000000001</v>
      </c>
    </row>
    <row r="1251" spans="1:5" x14ac:dyDescent="0.2">
      <c r="A1251">
        <v>19272</v>
      </c>
      <c r="B1251">
        <f t="shared" si="19"/>
        <v>19300</v>
      </c>
      <c r="C1251" s="13">
        <v>-3.1945999999999999</v>
      </c>
      <c r="D1251" s="13">
        <v>-2.8685</v>
      </c>
      <c r="E1251" s="13">
        <v>-3.5207000000000002</v>
      </c>
    </row>
    <row r="1252" spans="1:5" x14ac:dyDescent="0.2">
      <c r="A1252">
        <v>19282</v>
      </c>
      <c r="B1252">
        <f t="shared" si="19"/>
        <v>19300</v>
      </c>
      <c r="C1252" s="13">
        <v>-3.1863999999999999</v>
      </c>
      <c r="D1252" s="13">
        <v>-2.8561999999999999</v>
      </c>
      <c r="E1252" s="13">
        <v>-3.5165999999999999</v>
      </c>
    </row>
    <row r="1253" spans="1:5" x14ac:dyDescent="0.2">
      <c r="A1253">
        <v>19292</v>
      </c>
      <c r="B1253">
        <f t="shared" si="19"/>
        <v>19300</v>
      </c>
      <c r="C1253" s="13">
        <v>-3.177</v>
      </c>
      <c r="D1253" s="13">
        <v>-2.8426999999999998</v>
      </c>
      <c r="E1253" s="13">
        <v>-3.5112000000000001</v>
      </c>
    </row>
    <row r="1254" spans="1:5" x14ac:dyDescent="0.2">
      <c r="A1254">
        <v>19302</v>
      </c>
      <c r="B1254">
        <f t="shared" si="19"/>
        <v>19300</v>
      </c>
      <c r="C1254" s="13">
        <v>-3.1663999999999999</v>
      </c>
      <c r="D1254" s="13">
        <v>-2.8283999999999998</v>
      </c>
      <c r="E1254" s="13">
        <v>-3.5045000000000002</v>
      </c>
    </row>
    <row r="1255" spans="1:5" x14ac:dyDescent="0.2">
      <c r="A1255">
        <v>19312</v>
      </c>
      <c r="B1255">
        <f t="shared" si="19"/>
        <v>19300</v>
      </c>
      <c r="C1255" s="13">
        <v>-3.1547000000000001</v>
      </c>
      <c r="D1255" s="13">
        <v>-2.8130999999999999</v>
      </c>
      <c r="E1255" s="13">
        <v>-3.4962</v>
      </c>
    </row>
    <row r="1256" spans="1:5" x14ac:dyDescent="0.2">
      <c r="A1256">
        <v>19322</v>
      </c>
      <c r="B1256">
        <f t="shared" si="19"/>
        <v>19300</v>
      </c>
      <c r="C1256" s="13">
        <v>-3.1415999999999999</v>
      </c>
      <c r="D1256" s="13">
        <v>-2.7968999999999999</v>
      </c>
      <c r="E1256" s="13">
        <v>-3.4864000000000002</v>
      </c>
    </row>
    <row r="1257" spans="1:5" x14ac:dyDescent="0.2">
      <c r="A1257">
        <v>19332</v>
      </c>
      <c r="B1257">
        <f t="shared" si="19"/>
        <v>19300</v>
      </c>
      <c r="C1257" s="13">
        <v>-3.1273</v>
      </c>
      <c r="D1257" s="13">
        <v>-2.7799</v>
      </c>
      <c r="E1257" s="13">
        <v>-3.4748000000000001</v>
      </c>
    </row>
    <row r="1258" spans="1:5" x14ac:dyDescent="0.2">
      <c r="A1258">
        <v>19342</v>
      </c>
      <c r="B1258">
        <f t="shared" si="19"/>
        <v>19300</v>
      </c>
      <c r="C1258" s="13">
        <v>-3.1116999999999999</v>
      </c>
      <c r="D1258" s="13">
        <v>-2.762</v>
      </c>
      <c r="E1258" s="13">
        <v>-3.4613999999999998</v>
      </c>
    </row>
    <row r="1259" spans="1:5" x14ac:dyDescent="0.2">
      <c r="A1259">
        <v>19352</v>
      </c>
      <c r="B1259">
        <f t="shared" si="19"/>
        <v>19400</v>
      </c>
      <c r="C1259" s="13">
        <v>-3.0948000000000002</v>
      </c>
      <c r="D1259" s="13">
        <v>-2.7433999999999998</v>
      </c>
      <c r="E1259" s="13">
        <v>-3.4460999999999999</v>
      </c>
    </row>
    <row r="1260" spans="1:5" x14ac:dyDescent="0.2">
      <c r="A1260">
        <v>19362</v>
      </c>
      <c r="B1260">
        <f t="shared" si="19"/>
        <v>19400</v>
      </c>
      <c r="C1260" s="13">
        <v>-3.0764</v>
      </c>
      <c r="D1260" s="13">
        <v>-2.7241</v>
      </c>
      <c r="E1260" s="13">
        <v>-3.4287999999999998</v>
      </c>
    </row>
    <row r="1261" spans="1:5" x14ac:dyDescent="0.2">
      <c r="A1261">
        <v>19372</v>
      </c>
      <c r="B1261">
        <f t="shared" si="19"/>
        <v>19400</v>
      </c>
      <c r="C1261" s="13">
        <v>-3.0567000000000002</v>
      </c>
      <c r="D1261" s="13">
        <v>-2.7040000000000002</v>
      </c>
      <c r="E1261" s="13">
        <v>-3.4093</v>
      </c>
    </row>
    <row r="1262" spans="1:5" x14ac:dyDescent="0.2">
      <c r="A1262">
        <v>19382</v>
      </c>
      <c r="B1262">
        <f t="shared" si="19"/>
        <v>19400</v>
      </c>
      <c r="C1262" s="13">
        <v>-3.0354999999999999</v>
      </c>
      <c r="D1262" s="13">
        <v>-2.6831999999999998</v>
      </c>
      <c r="E1262" s="13">
        <v>-3.3877999999999999</v>
      </c>
    </row>
    <row r="1263" spans="1:5" x14ac:dyDescent="0.2">
      <c r="A1263">
        <v>19392</v>
      </c>
      <c r="B1263">
        <f t="shared" si="19"/>
        <v>19400</v>
      </c>
      <c r="C1263" s="13">
        <v>-3.0127999999999999</v>
      </c>
      <c r="D1263" s="13">
        <v>-2.6617000000000002</v>
      </c>
      <c r="E1263" s="13">
        <v>-3.3639000000000001</v>
      </c>
    </row>
    <row r="1264" spans="1:5" x14ac:dyDescent="0.2">
      <c r="A1264">
        <v>19403</v>
      </c>
      <c r="B1264">
        <f t="shared" si="19"/>
        <v>19400</v>
      </c>
      <c r="C1264" s="13">
        <v>-2.9887000000000001</v>
      </c>
      <c r="D1264" s="13">
        <v>-2.6395</v>
      </c>
      <c r="E1264" s="13">
        <v>-3.3380000000000001</v>
      </c>
    </row>
    <row r="1265" spans="1:5" x14ac:dyDescent="0.2">
      <c r="A1265">
        <v>19413</v>
      </c>
      <c r="B1265">
        <f t="shared" si="19"/>
        <v>19400</v>
      </c>
      <c r="C1265" s="13">
        <v>-2.9634999999999998</v>
      </c>
      <c r="D1265" s="13">
        <v>-2.6168</v>
      </c>
      <c r="E1265" s="13">
        <v>-3.3102</v>
      </c>
    </row>
    <row r="1266" spans="1:5" x14ac:dyDescent="0.2">
      <c r="A1266">
        <v>19423</v>
      </c>
      <c r="B1266">
        <f t="shared" si="19"/>
        <v>19400</v>
      </c>
      <c r="C1266" s="13">
        <v>-2.9371</v>
      </c>
      <c r="D1266" s="13">
        <v>-2.5935000000000001</v>
      </c>
      <c r="E1266" s="13">
        <v>-3.2808000000000002</v>
      </c>
    </row>
    <row r="1267" spans="1:5" x14ac:dyDescent="0.2">
      <c r="A1267">
        <v>19433</v>
      </c>
      <c r="B1267">
        <f t="shared" si="19"/>
        <v>19400</v>
      </c>
      <c r="C1267" s="13">
        <v>-2.9098999999999999</v>
      </c>
      <c r="D1267" s="13">
        <v>-2.5697999999999999</v>
      </c>
      <c r="E1267" s="13">
        <v>-3.25</v>
      </c>
    </row>
    <row r="1268" spans="1:5" x14ac:dyDescent="0.2">
      <c r="A1268">
        <v>19443</v>
      </c>
      <c r="B1268">
        <f t="shared" si="19"/>
        <v>19400</v>
      </c>
      <c r="C1268" s="13">
        <v>-2.8818999999999999</v>
      </c>
      <c r="D1268" s="13">
        <v>-2.5457000000000001</v>
      </c>
      <c r="E1268" s="13">
        <v>-3.2181000000000002</v>
      </c>
    </row>
    <row r="1269" spans="1:5" x14ac:dyDescent="0.2">
      <c r="A1269">
        <v>19453</v>
      </c>
      <c r="B1269">
        <f t="shared" si="19"/>
        <v>19500</v>
      </c>
      <c r="C1269" s="13">
        <v>-2.8534000000000002</v>
      </c>
      <c r="D1269" s="13">
        <v>-2.5213000000000001</v>
      </c>
      <c r="E1269" s="13">
        <v>-3.1855000000000002</v>
      </c>
    </row>
    <row r="1270" spans="1:5" x14ac:dyDescent="0.2">
      <c r="A1270">
        <v>19463</v>
      </c>
      <c r="B1270">
        <f t="shared" si="19"/>
        <v>19500</v>
      </c>
      <c r="C1270" s="13">
        <v>-2.8243999999999998</v>
      </c>
      <c r="D1270" s="13">
        <v>-2.4965999999999999</v>
      </c>
      <c r="E1270" s="13">
        <v>-3.1522000000000001</v>
      </c>
    </row>
    <row r="1271" spans="1:5" x14ac:dyDescent="0.2">
      <c r="A1271">
        <v>19473</v>
      </c>
      <c r="B1271">
        <f t="shared" si="19"/>
        <v>19500</v>
      </c>
      <c r="C1271" s="13">
        <v>-2.7951999999999999</v>
      </c>
      <c r="D1271" s="13">
        <v>-2.4718</v>
      </c>
      <c r="E1271" s="13">
        <v>-3.1187</v>
      </c>
    </row>
    <row r="1272" spans="1:5" x14ac:dyDescent="0.2">
      <c r="A1272">
        <v>19483</v>
      </c>
      <c r="B1272">
        <f t="shared" si="19"/>
        <v>19500</v>
      </c>
      <c r="C1272" s="13">
        <v>-2.766</v>
      </c>
      <c r="D1272" s="13">
        <v>-2.4468000000000001</v>
      </c>
      <c r="E1272" s="13">
        <v>-3.0851000000000002</v>
      </c>
    </row>
    <row r="1273" spans="1:5" x14ac:dyDescent="0.2">
      <c r="A1273">
        <v>19493</v>
      </c>
      <c r="B1273">
        <f t="shared" si="19"/>
        <v>19500</v>
      </c>
      <c r="C1273" s="13">
        <v>-2.7368000000000001</v>
      </c>
      <c r="D1273" s="13">
        <v>-2.4218000000000002</v>
      </c>
      <c r="E1273" s="13">
        <v>-3.0518000000000001</v>
      </c>
    </row>
    <row r="1274" spans="1:5" x14ac:dyDescent="0.2">
      <c r="A1274">
        <v>19503</v>
      </c>
      <c r="B1274">
        <f t="shared" si="19"/>
        <v>19500</v>
      </c>
      <c r="C1274" s="13">
        <v>-2.7079</v>
      </c>
      <c r="D1274" s="13">
        <v>-2.3967999999999998</v>
      </c>
      <c r="E1274" s="13">
        <v>-3.0188999999999999</v>
      </c>
    </row>
    <row r="1275" spans="1:5" x14ac:dyDescent="0.2">
      <c r="A1275">
        <v>19513</v>
      </c>
      <c r="B1275">
        <f t="shared" si="19"/>
        <v>19500</v>
      </c>
      <c r="C1275" s="13">
        <v>-2.6793</v>
      </c>
      <c r="D1275" s="13">
        <v>-2.3719999999999999</v>
      </c>
      <c r="E1275" s="13">
        <v>-2.9866999999999999</v>
      </c>
    </row>
    <row r="1276" spans="1:5" x14ac:dyDescent="0.2">
      <c r="A1276">
        <v>19523</v>
      </c>
      <c r="B1276">
        <f t="shared" si="19"/>
        <v>19500</v>
      </c>
      <c r="C1276" s="13">
        <v>-2.6514000000000002</v>
      </c>
      <c r="D1276" s="13">
        <v>-2.3473000000000002</v>
      </c>
      <c r="E1276" s="13">
        <v>-2.9554999999999998</v>
      </c>
    </row>
    <row r="1277" spans="1:5" x14ac:dyDescent="0.2">
      <c r="A1277">
        <v>19533</v>
      </c>
      <c r="B1277">
        <f t="shared" si="19"/>
        <v>19500</v>
      </c>
      <c r="C1277" s="13">
        <v>-2.6242000000000001</v>
      </c>
      <c r="D1277" s="13">
        <v>-2.323</v>
      </c>
      <c r="E1277" s="13">
        <v>-2.9253999999999998</v>
      </c>
    </row>
    <row r="1278" spans="1:5" x14ac:dyDescent="0.2">
      <c r="A1278">
        <v>19544</v>
      </c>
      <c r="B1278">
        <f t="shared" si="19"/>
        <v>19500</v>
      </c>
      <c r="C1278" s="13">
        <v>-2.5979000000000001</v>
      </c>
      <c r="D1278" s="13">
        <v>-2.2991000000000001</v>
      </c>
      <c r="E1278" s="13">
        <v>-2.8967000000000001</v>
      </c>
    </row>
    <row r="1279" spans="1:5" x14ac:dyDescent="0.2">
      <c r="A1279">
        <v>19554</v>
      </c>
      <c r="B1279">
        <f t="shared" si="19"/>
        <v>19600</v>
      </c>
      <c r="C1279" s="13">
        <v>-2.5727000000000002</v>
      </c>
      <c r="D1279" s="13">
        <v>-2.2759</v>
      </c>
      <c r="E1279" s="13">
        <v>-2.8694999999999999</v>
      </c>
    </row>
    <row r="1280" spans="1:5" x14ac:dyDescent="0.2">
      <c r="A1280">
        <v>19564</v>
      </c>
      <c r="B1280">
        <f t="shared" si="19"/>
        <v>19600</v>
      </c>
      <c r="C1280" s="13">
        <v>-2.5487000000000002</v>
      </c>
      <c r="D1280" s="13">
        <v>-2.2534000000000001</v>
      </c>
      <c r="E1280" s="13">
        <v>-2.8439000000000001</v>
      </c>
    </row>
    <row r="1281" spans="1:5" x14ac:dyDescent="0.2">
      <c r="A1281">
        <v>19574</v>
      </c>
      <c r="B1281">
        <f t="shared" si="19"/>
        <v>19600</v>
      </c>
      <c r="C1281" s="13">
        <v>-2.5261</v>
      </c>
      <c r="D1281" s="13">
        <v>-2.2319</v>
      </c>
      <c r="E1281" s="13">
        <v>-2.8201999999999998</v>
      </c>
    </row>
    <row r="1282" spans="1:5" x14ac:dyDescent="0.2">
      <c r="A1282">
        <v>19584</v>
      </c>
      <c r="B1282">
        <f t="shared" si="19"/>
        <v>19600</v>
      </c>
      <c r="C1282" s="13">
        <v>-2.5049999999999999</v>
      </c>
      <c r="D1282" s="13">
        <v>-2.2115999999999998</v>
      </c>
      <c r="E1282" s="13">
        <v>-2.7985000000000002</v>
      </c>
    </row>
    <row r="1283" spans="1:5" x14ac:dyDescent="0.2">
      <c r="A1283">
        <v>19594</v>
      </c>
      <c r="B1283">
        <f t="shared" si="19"/>
        <v>19600</v>
      </c>
      <c r="C1283" s="13">
        <v>-2.4857</v>
      </c>
      <c r="D1283" s="13">
        <v>-2.1926000000000001</v>
      </c>
      <c r="E1283" s="13">
        <v>-2.7787999999999999</v>
      </c>
    </row>
    <row r="1284" spans="1:5" x14ac:dyDescent="0.2">
      <c r="A1284">
        <v>19604</v>
      </c>
      <c r="B1284">
        <f t="shared" ref="B1284:B1347" si="20">MROUND(A1284,100)</f>
        <v>19600</v>
      </c>
      <c r="C1284" s="13">
        <v>-2.4683000000000002</v>
      </c>
      <c r="D1284" s="13">
        <v>-2.1751999999999998</v>
      </c>
      <c r="E1284" s="13">
        <v>-2.7612999999999999</v>
      </c>
    </row>
    <row r="1285" spans="1:5" x14ac:dyDescent="0.2">
      <c r="A1285">
        <v>19614</v>
      </c>
      <c r="B1285">
        <f t="shared" si="20"/>
        <v>19600</v>
      </c>
      <c r="C1285" s="13">
        <v>-2.4529000000000001</v>
      </c>
      <c r="D1285" s="13">
        <v>-2.1597</v>
      </c>
      <c r="E1285" s="13">
        <v>-2.7461000000000002</v>
      </c>
    </row>
    <row r="1286" spans="1:5" x14ac:dyDescent="0.2">
      <c r="A1286">
        <v>19624</v>
      </c>
      <c r="B1286">
        <f t="shared" si="20"/>
        <v>19600</v>
      </c>
      <c r="C1286" s="13">
        <v>-2.4397000000000002</v>
      </c>
      <c r="D1286" s="13">
        <v>-2.1461999999999999</v>
      </c>
      <c r="E1286" s="13">
        <v>-2.7332000000000001</v>
      </c>
    </row>
    <row r="1287" spans="1:5" x14ac:dyDescent="0.2">
      <c r="A1287">
        <v>19634</v>
      </c>
      <c r="B1287">
        <f t="shared" si="20"/>
        <v>19600</v>
      </c>
      <c r="C1287" s="13">
        <v>-2.4289000000000001</v>
      </c>
      <c r="D1287" s="13">
        <v>-2.1351</v>
      </c>
      <c r="E1287" s="13">
        <v>-2.7227999999999999</v>
      </c>
    </row>
    <row r="1288" spans="1:5" x14ac:dyDescent="0.2">
      <c r="A1288">
        <v>19644</v>
      </c>
      <c r="B1288">
        <f t="shared" si="20"/>
        <v>19600</v>
      </c>
      <c r="C1288" s="13">
        <v>-2.4207000000000001</v>
      </c>
      <c r="D1288" s="13">
        <v>-2.1265999999999998</v>
      </c>
      <c r="E1288" s="13">
        <v>-2.7147999999999999</v>
      </c>
    </row>
    <row r="1289" spans="1:5" x14ac:dyDescent="0.2">
      <c r="A1289">
        <v>19654</v>
      </c>
      <c r="B1289">
        <f t="shared" si="20"/>
        <v>19700</v>
      </c>
      <c r="C1289" s="13">
        <v>-2.4150999999999998</v>
      </c>
      <c r="D1289" s="13">
        <v>-2.1208999999999998</v>
      </c>
      <c r="E1289" s="13">
        <v>-2.7094</v>
      </c>
    </row>
    <row r="1290" spans="1:5" x14ac:dyDescent="0.2">
      <c r="A1290">
        <v>19664</v>
      </c>
      <c r="B1290">
        <f t="shared" si="20"/>
        <v>19700</v>
      </c>
      <c r="C1290" s="13">
        <v>-2.4125000000000001</v>
      </c>
      <c r="D1290" s="13">
        <v>-2.1183000000000001</v>
      </c>
      <c r="E1290" s="13">
        <v>-2.7067000000000001</v>
      </c>
    </row>
    <row r="1291" spans="1:5" x14ac:dyDescent="0.2">
      <c r="A1291">
        <v>19675</v>
      </c>
      <c r="B1291">
        <f t="shared" si="20"/>
        <v>19700</v>
      </c>
      <c r="C1291" s="13">
        <v>-2.4127999999999998</v>
      </c>
      <c r="D1291" s="13">
        <v>-2.1189</v>
      </c>
      <c r="E1291" s="13">
        <v>-2.7065999999999999</v>
      </c>
    </row>
    <row r="1292" spans="1:5" x14ac:dyDescent="0.2">
      <c r="A1292">
        <v>19685</v>
      </c>
      <c r="B1292">
        <f t="shared" si="20"/>
        <v>19700</v>
      </c>
      <c r="C1292" s="13">
        <v>-2.4159000000000002</v>
      </c>
      <c r="D1292" s="13">
        <v>-2.1227</v>
      </c>
      <c r="E1292" s="13">
        <v>-2.7090999999999998</v>
      </c>
    </row>
    <row r="1293" spans="1:5" x14ac:dyDescent="0.2">
      <c r="A1293">
        <v>19695</v>
      </c>
      <c r="B1293">
        <f t="shared" si="20"/>
        <v>19700</v>
      </c>
      <c r="C1293" s="13">
        <v>-2.4218000000000002</v>
      </c>
      <c r="D1293" s="13">
        <v>-2.1295999999999999</v>
      </c>
      <c r="E1293" s="13">
        <v>-2.714</v>
      </c>
    </row>
    <row r="1294" spans="1:5" x14ac:dyDescent="0.2">
      <c r="A1294">
        <v>19705</v>
      </c>
      <c r="B1294">
        <f t="shared" si="20"/>
        <v>19700</v>
      </c>
      <c r="C1294" s="13">
        <v>-2.4302999999999999</v>
      </c>
      <c r="D1294" s="13">
        <v>-2.1393</v>
      </c>
      <c r="E1294" s="13">
        <v>-2.7212000000000001</v>
      </c>
    </row>
    <row r="1295" spans="1:5" x14ac:dyDescent="0.2">
      <c r="A1295">
        <v>19715</v>
      </c>
      <c r="B1295">
        <f t="shared" si="20"/>
        <v>19700</v>
      </c>
      <c r="C1295" s="13">
        <v>-2.4411</v>
      </c>
      <c r="D1295" s="13">
        <v>-2.1516000000000002</v>
      </c>
      <c r="E1295" s="13">
        <v>-2.7305999999999999</v>
      </c>
    </row>
    <row r="1296" spans="1:5" x14ac:dyDescent="0.2">
      <c r="A1296">
        <v>19725</v>
      </c>
      <c r="B1296">
        <f t="shared" si="20"/>
        <v>19700</v>
      </c>
      <c r="C1296" s="13">
        <v>-2.4542999999999999</v>
      </c>
      <c r="D1296" s="13">
        <v>-2.1665000000000001</v>
      </c>
      <c r="E1296" s="13">
        <v>-2.742</v>
      </c>
    </row>
    <row r="1297" spans="1:5" x14ac:dyDescent="0.2">
      <c r="A1297">
        <v>19735</v>
      </c>
      <c r="B1297">
        <f t="shared" si="20"/>
        <v>19700</v>
      </c>
      <c r="C1297" s="13">
        <v>-2.4695</v>
      </c>
      <c r="D1297" s="13">
        <v>-2.1836000000000002</v>
      </c>
      <c r="E1297" s="13">
        <v>-2.7553999999999998</v>
      </c>
    </row>
    <row r="1298" spans="1:5" x14ac:dyDescent="0.2">
      <c r="A1298">
        <v>19745</v>
      </c>
      <c r="B1298">
        <f t="shared" si="20"/>
        <v>19700</v>
      </c>
      <c r="C1298" s="13">
        <v>-2.4866999999999999</v>
      </c>
      <c r="D1298" s="13">
        <v>-2.2027999999999999</v>
      </c>
      <c r="E1298" s="13">
        <v>-2.7706</v>
      </c>
    </row>
    <row r="1299" spans="1:5" x14ac:dyDescent="0.2">
      <c r="A1299">
        <v>19755</v>
      </c>
      <c r="B1299">
        <f t="shared" si="20"/>
        <v>19800</v>
      </c>
      <c r="C1299" s="13">
        <v>-2.5057</v>
      </c>
      <c r="D1299" s="13">
        <v>-2.2239</v>
      </c>
      <c r="E1299" s="13">
        <v>-2.7875000000000001</v>
      </c>
    </row>
    <row r="1300" spans="1:5" x14ac:dyDescent="0.2">
      <c r="A1300">
        <v>19765</v>
      </c>
      <c r="B1300">
        <f t="shared" si="20"/>
        <v>19800</v>
      </c>
      <c r="C1300" s="13">
        <v>-2.5264000000000002</v>
      </c>
      <c r="D1300" s="13">
        <v>-2.2467000000000001</v>
      </c>
      <c r="E1300" s="13">
        <v>-2.8060999999999998</v>
      </c>
    </row>
    <row r="1301" spans="1:5" x14ac:dyDescent="0.2">
      <c r="A1301">
        <v>19775</v>
      </c>
      <c r="B1301">
        <f t="shared" si="20"/>
        <v>19800</v>
      </c>
      <c r="C1301" s="13">
        <v>-2.5486</v>
      </c>
      <c r="D1301" s="13">
        <v>-2.2709999999999999</v>
      </c>
      <c r="E1301" s="13">
        <v>-2.8262999999999998</v>
      </c>
    </row>
    <row r="1302" spans="1:5" x14ac:dyDescent="0.2">
      <c r="A1302">
        <v>19785</v>
      </c>
      <c r="B1302">
        <f t="shared" si="20"/>
        <v>19800</v>
      </c>
      <c r="C1302" s="13">
        <v>-2.5722</v>
      </c>
      <c r="D1302" s="13">
        <v>-2.2966000000000002</v>
      </c>
      <c r="E1302" s="13">
        <v>-2.8479000000000001</v>
      </c>
    </row>
    <row r="1303" spans="1:5" x14ac:dyDescent="0.2">
      <c r="A1303">
        <v>19795</v>
      </c>
      <c r="B1303">
        <f t="shared" si="20"/>
        <v>19800</v>
      </c>
      <c r="C1303" s="13">
        <v>-2.597</v>
      </c>
      <c r="D1303" s="13">
        <v>-2.3231999999999999</v>
      </c>
      <c r="E1303" s="13">
        <v>-2.8708</v>
      </c>
    </row>
    <row r="1304" spans="1:5" x14ac:dyDescent="0.2">
      <c r="A1304">
        <v>19805</v>
      </c>
      <c r="B1304">
        <f t="shared" si="20"/>
        <v>19800</v>
      </c>
      <c r="C1304" s="13">
        <v>-2.6227999999999998</v>
      </c>
      <c r="D1304" s="13">
        <v>-2.3506999999999998</v>
      </c>
      <c r="E1304" s="13">
        <v>-2.895</v>
      </c>
    </row>
    <row r="1305" spans="1:5" x14ac:dyDescent="0.2">
      <c r="A1305">
        <v>19816</v>
      </c>
      <c r="B1305">
        <f t="shared" si="20"/>
        <v>19800</v>
      </c>
      <c r="C1305" s="13">
        <v>-2.6496</v>
      </c>
      <c r="D1305" s="13">
        <v>-2.3788999999999998</v>
      </c>
      <c r="E1305" s="13">
        <v>-2.9203000000000001</v>
      </c>
    </row>
    <row r="1306" spans="1:5" x14ac:dyDescent="0.2">
      <c r="A1306">
        <v>19826</v>
      </c>
      <c r="B1306">
        <f t="shared" si="20"/>
        <v>19800</v>
      </c>
      <c r="C1306" s="13">
        <v>-2.6770999999999998</v>
      </c>
      <c r="D1306" s="13">
        <v>-2.4076</v>
      </c>
      <c r="E1306" s="13">
        <v>-2.9466999999999999</v>
      </c>
    </row>
    <row r="1307" spans="1:5" x14ac:dyDescent="0.2">
      <c r="A1307">
        <v>19836</v>
      </c>
      <c r="B1307">
        <f t="shared" si="20"/>
        <v>19800</v>
      </c>
      <c r="C1307" s="13">
        <v>-2.7052999999999998</v>
      </c>
      <c r="D1307" s="13">
        <v>-2.4365999999999999</v>
      </c>
      <c r="E1307" s="13">
        <v>-2.9739</v>
      </c>
    </row>
    <row r="1308" spans="1:5" x14ac:dyDescent="0.2">
      <c r="A1308">
        <v>19846</v>
      </c>
      <c r="B1308">
        <f t="shared" si="20"/>
        <v>19800</v>
      </c>
      <c r="C1308" s="13">
        <v>-2.7339000000000002</v>
      </c>
      <c r="D1308" s="13">
        <v>-2.4658000000000002</v>
      </c>
      <c r="E1308" s="13">
        <v>-3.0019</v>
      </c>
    </row>
    <row r="1309" spans="1:5" x14ac:dyDescent="0.2">
      <c r="A1309">
        <v>19856</v>
      </c>
      <c r="B1309">
        <f t="shared" si="20"/>
        <v>19900</v>
      </c>
      <c r="C1309" s="13">
        <v>-2.7627999999999999</v>
      </c>
      <c r="D1309" s="13">
        <v>-2.4950999999999999</v>
      </c>
      <c r="E1309" s="13">
        <v>-3.0305</v>
      </c>
    </row>
    <row r="1310" spans="1:5" x14ac:dyDescent="0.2">
      <c r="A1310">
        <v>19866</v>
      </c>
      <c r="B1310">
        <f t="shared" si="20"/>
        <v>19900</v>
      </c>
      <c r="C1310" s="13">
        <v>-2.7917999999999998</v>
      </c>
      <c r="D1310" s="13">
        <v>-2.5242</v>
      </c>
      <c r="E1310" s="13">
        <v>-3.0594999999999999</v>
      </c>
    </row>
    <row r="1311" spans="1:5" x14ac:dyDescent="0.2">
      <c r="A1311">
        <v>19876</v>
      </c>
      <c r="B1311">
        <f t="shared" si="20"/>
        <v>19900</v>
      </c>
      <c r="C1311" s="13">
        <v>-2.8209</v>
      </c>
      <c r="D1311" s="13">
        <v>-2.5529999999999999</v>
      </c>
      <c r="E1311" s="13">
        <v>-3.0888</v>
      </c>
    </row>
    <row r="1312" spans="1:5" x14ac:dyDescent="0.2">
      <c r="A1312">
        <v>19886</v>
      </c>
      <c r="B1312">
        <f t="shared" si="20"/>
        <v>19900</v>
      </c>
      <c r="C1312" s="13">
        <v>-2.8498999999999999</v>
      </c>
      <c r="D1312" s="13">
        <v>-2.5815000000000001</v>
      </c>
      <c r="E1312" s="13">
        <v>-3.1183000000000001</v>
      </c>
    </row>
    <row r="1313" spans="1:5" x14ac:dyDescent="0.2">
      <c r="A1313">
        <v>19896</v>
      </c>
      <c r="B1313">
        <f t="shared" si="20"/>
        <v>19900</v>
      </c>
      <c r="C1313" s="13">
        <v>-2.8784999999999998</v>
      </c>
      <c r="D1313" s="13">
        <v>-2.6093999999999999</v>
      </c>
      <c r="E1313" s="13">
        <v>-3.1476000000000002</v>
      </c>
    </row>
    <row r="1314" spans="1:5" x14ac:dyDescent="0.2">
      <c r="A1314">
        <v>19906</v>
      </c>
      <c r="B1314">
        <f t="shared" si="20"/>
        <v>19900</v>
      </c>
      <c r="C1314" s="13">
        <v>-2.9066999999999998</v>
      </c>
      <c r="D1314" s="13">
        <v>-2.6368</v>
      </c>
      <c r="E1314" s="13">
        <v>-3.1766000000000001</v>
      </c>
    </row>
    <row r="1315" spans="1:5" x14ac:dyDescent="0.2">
      <c r="A1315">
        <v>19916</v>
      </c>
      <c r="B1315">
        <f t="shared" si="20"/>
        <v>19900</v>
      </c>
      <c r="C1315" s="13">
        <v>-2.9342999999999999</v>
      </c>
      <c r="D1315" s="13">
        <v>-2.6634000000000002</v>
      </c>
      <c r="E1315" s="13">
        <v>-3.2052</v>
      </c>
    </row>
    <row r="1316" spans="1:5" x14ac:dyDescent="0.2">
      <c r="A1316">
        <v>19926</v>
      </c>
      <c r="B1316">
        <f t="shared" si="20"/>
        <v>19900</v>
      </c>
      <c r="C1316" s="13">
        <v>-2.9611999999999998</v>
      </c>
      <c r="D1316" s="13">
        <v>-2.6892999999999998</v>
      </c>
      <c r="E1316" s="13">
        <v>-3.2330999999999999</v>
      </c>
    </row>
    <row r="1317" spans="1:5" x14ac:dyDescent="0.2">
      <c r="A1317">
        <v>19936</v>
      </c>
      <c r="B1317">
        <f t="shared" si="20"/>
        <v>19900</v>
      </c>
      <c r="C1317" s="13">
        <v>-2.9872000000000001</v>
      </c>
      <c r="D1317" s="13">
        <v>-2.7141999999999999</v>
      </c>
      <c r="E1317" s="13">
        <v>-3.2601</v>
      </c>
    </row>
    <row r="1318" spans="1:5" x14ac:dyDescent="0.2">
      <c r="A1318">
        <v>19946</v>
      </c>
      <c r="B1318">
        <f t="shared" si="20"/>
        <v>19900</v>
      </c>
      <c r="C1318" s="13">
        <v>-3.0121000000000002</v>
      </c>
      <c r="D1318" s="13">
        <v>-2.7382</v>
      </c>
      <c r="E1318" s="13">
        <v>-3.2860999999999998</v>
      </c>
    </row>
    <row r="1319" spans="1:5" x14ac:dyDescent="0.2">
      <c r="A1319">
        <v>19957</v>
      </c>
      <c r="B1319">
        <f t="shared" si="20"/>
        <v>20000</v>
      </c>
      <c r="C1319" s="13">
        <v>-3.0358999999999998</v>
      </c>
      <c r="D1319" s="13">
        <v>-2.7610999999999999</v>
      </c>
      <c r="E1319" s="13">
        <v>-3.3106</v>
      </c>
    </row>
    <row r="1320" spans="1:5" x14ac:dyDescent="0.2">
      <c r="A1320">
        <v>19967</v>
      </c>
      <c r="B1320">
        <f t="shared" si="20"/>
        <v>20000</v>
      </c>
      <c r="C1320" s="13">
        <v>-3.0583</v>
      </c>
      <c r="D1320" s="13">
        <v>-2.7827999999999999</v>
      </c>
      <c r="E1320" s="13">
        <v>-3.3336999999999999</v>
      </c>
    </row>
    <row r="1321" spans="1:5" x14ac:dyDescent="0.2">
      <c r="A1321">
        <v>19977</v>
      </c>
      <c r="B1321">
        <f t="shared" si="20"/>
        <v>20000</v>
      </c>
      <c r="C1321" s="13">
        <v>-3.0792000000000002</v>
      </c>
      <c r="D1321" s="13">
        <v>-2.8033000000000001</v>
      </c>
      <c r="E1321" s="13">
        <v>-3.3551000000000002</v>
      </c>
    </row>
    <row r="1322" spans="1:5" x14ac:dyDescent="0.2">
      <c r="A1322">
        <v>19987</v>
      </c>
      <c r="B1322">
        <f t="shared" si="20"/>
        <v>20000</v>
      </c>
      <c r="C1322" s="13">
        <v>-3.0985</v>
      </c>
      <c r="D1322" s="13">
        <v>-2.8224999999999998</v>
      </c>
      <c r="E1322" s="13">
        <v>-3.3744999999999998</v>
      </c>
    </row>
    <row r="1323" spans="1:5" x14ac:dyDescent="0.2">
      <c r="A1323">
        <v>19997</v>
      </c>
      <c r="B1323">
        <f t="shared" si="20"/>
        <v>20000</v>
      </c>
      <c r="C1323" s="13">
        <v>-3.1158999999999999</v>
      </c>
      <c r="D1323" s="13">
        <v>-2.8401000000000001</v>
      </c>
      <c r="E1323" s="13">
        <v>-3.3917000000000002</v>
      </c>
    </row>
    <row r="1324" spans="1:5" x14ac:dyDescent="0.2">
      <c r="A1324">
        <v>20007</v>
      </c>
      <c r="B1324">
        <f t="shared" si="20"/>
        <v>20000</v>
      </c>
      <c r="C1324" s="13">
        <v>-3.1316000000000002</v>
      </c>
      <c r="D1324" s="13">
        <v>-2.8563000000000001</v>
      </c>
      <c r="E1324" s="13">
        <v>-3.4068000000000001</v>
      </c>
    </row>
    <row r="1325" spans="1:5" x14ac:dyDescent="0.2">
      <c r="A1325">
        <v>20017</v>
      </c>
      <c r="B1325">
        <f t="shared" si="20"/>
        <v>20000</v>
      </c>
      <c r="C1325" s="13">
        <v>-3.1455000000000002</v>
      </c>
      <c r="D1325" s="13">
        <v>-2.8711000000000002</v>
      </c>
      <c r="E1325" s="13">
        <v>-3.4198</v>
      </c>
    </row>
    <row r="1326" spans="1:5" x14ac:dyDescent="0.2">
      <c r="A1326">
        <v>20027</v>
      </c>
      <c r="B1326">
        <f t="shared" si="20"/>
        <v>20000</v>
      </c>
      <c r="C1326" s="13">
        <v>-3.1577000000000002</v>
      </c>
      <c r="D1326" s="13">
        <v>-2.8843999999999999</v>
      </c>
      <c r="E1326" s="13">
        <v>-3.4308999999999998</v>
      </c>
    </row>
    <row r="1327" spans="1:5" x14ac:dyDescent="0.2">
      <c r="A1327">
        <v>20037</v>
      </c>
      <c r="B1327">
        <f t="shared" si="20"/>
        <v>20000</v>
      </c>
      <c r="C1327" s="13">
        <v>-3.1682000000000001</v>
      </c>
      <c r="D1327" s="13">
        <v>-2.8963999999999999</v>
      </c>
      <c r="E1327" s="13">
        <v>-3.4401000000000002</v>
      </c>
    </row>
    <row r="1328" spans="1:5" x14ac:dyDescent="0.2">
      <c r="A1328">
        <v>20047</v>
      </c>
      <c r="B1328">
        <f t="shared" si="20"/>
        <v>20000</v>
      </c>
      <c r="C1328" s="13">
        <v>-3.1772999999999998</v>
      </c>
      <c r="D1328" s="13">
        <v>-2.907</v>
      </c>
      <c r="E1328" s="13">
        <v>-3.4474999999999998</v>
      </c>
    </row>
    <row r="1329" spans="1:5" x14ac:dyDescent="0.2">
      <c r="A1329">
        <v>20057</v>
      </c>
      <c r="B1329">
        <f t="shared" si="20"/>
        <v>20100</v>
      </c>
      <c r="C1329" s="13">
        <v>-3.1848000000000001</v>
      </c>
      <c r="D1329" s="13">
        <v>-2.9163000000000001</v>
      </c>
      <c r="E1329" s="13">
        <v>-3.4533</v>
      </c>
    </row>
    <row r="1330" spans="1:5" x14ac:dyDescent="0.2">
      <c r="A1330">
        <v>20067</v>
      </c>
      <c r="B1330">
        <f t="shared" si="20"/>
        <v>20100</v>
      </c>
      <c r="C1330" s="13">
        <v>-3.1909999999999998</v>
      </c>
      <c r="D1330" s="13">
        <v>-2.9243000000000001</v>
      </c>
      <c r="E1330" s="13">
        <v>-3.4577</v>
      </c>
    </row>
    <row r="1331" spans="1:5" x14ac:dyDescent="0.2">
      <c r="A1331">
        <v>20077</v>
      </c>
      <c r="B1331">
        <f t="shared" si="20"/>
        <v>20100</v>
      </c>
      <c r="C1331" s="13">
        <v>-3.1958000000000002</v>
      </c>
      <c r="D1331" s="13">
        <v>-2.9308999999999998</v>
      </c>
      <c r="E1331" s="13">
        <v>-3.4607000000000001</v>
      </c>
    </row>
    <row r="1332" spans="1:5" x14ac:dyDescent="0.2">
      <c r="A1332">
        <v>20088</v>
      </c>
      <c r="B1332">
        <f t="shared" si="20"/>
        <v>20100</v>
      </c>
      <c r="C1332" s="13">
        <v>-3.1993</v>
      </c>
      <c r="D1332" s="13">
        <v>-2.9361999999999999</v>
      </c>
      <c r="E1332" s="13">
        <v>-3.4624999999999999</v>
      </c>
    </row>
    <row r="1333" spans="1:5" x14ac:dyDescent="0.2">
      <c r="A1333">
        <v>20098</v>
      </c>
      <c r="B1333">
        <f t="shared" si="20"/>
        <v>20100</v>
      </c>
      <c r="C1333" s="13">
        <v>-3.2017000000000002</v>
      </c>
      <c r="D1333" s="13">
        <v>-2.9401999999999999</v>
      </c>
      <c r="E1333" s="13">
        <v>-3.4632000000000001</v>
      </c>
    </row>
    <row r="1334" spans="1:5" x14ac:dyDescent="0.2">
      <c r="A1334">
        <v>20108</v>
      </c>
      <c r="B1334">
        <f t="shared" si="20"/>
        <v>20100</v>
      </c>
      <c r="C1334" s="13">
        <v>-3.2029000000000001</v>
      </c>
      <c r="D1334" s="13">
        <v>-2.9428999999999998</v>
      </c>
      <c r="E1334" s="13">
        <v>-3.4630000000000001</v>
      </c>
    </row>
    <row r="1335" spans="1:5" x14ac:dyDescent="0.2">
      <c r="A1335">
        <v>20118</v>
      </c>
      <c r="B1335">
        <f t="shared" si="20"/>
        <v>20100</v>
      </c>
      <c r="C1335" s="13">
        <v>-3.2031000000000001</v>
      </c>
      <c r="D1335" s="13">
        <v>-2.9443000000000001</v>
      </c>
      <c r="E1335" s="13">
        <v>-3.4620000000000002</v>
      </c>
    </row>
    <row r="1336" spans="1:5" x14ac:dyDescent="0.2">
      <c r="A1336">
        <v>20128</v>
      </c>
      <c r="B1336">
        <f t="shared" si="20"/>
        <v>20100</v>
      </c>
      <c r="C1336" s="13">
        <v>-3.2023999999999999</v>
      </c>
      <c r="D1336" s="13">
        <v>-2.9443999999999999</v>
      </c>
      <c r="E1336" s="13">
        <v>-3.4603999999999999</v>
      </c>
    </row>
    <row r="1337" spans="1:5" x14ac:dyDescent="0.2">
      <c r="A1337">
        <v>20138</v>
      </c>
      <c r="B1337">
        <f t="shared" si="20"/>
        <v>20100</v>
      </c>
      <c r="C1337" s="13">
        <v>-3.2006999999999999</v>
      </c>
      <c r="D1337" s="13">
        <v>-2.9432</v>
      </c>
      <c r="E1337" s="13">
        <v>-3.4582000000000002</v>
      </c>
    </row>
    <row r="1338" spans="1:5" x14ac:dyDescent="0.2">
      <c r="A1338">
        <v>20148</v>
      </c>
      <c r="B1338">
        <f t="shared" si="20"/>
        <v>20100</v>
      </c>
      <c r="C1338" s="13">
        <v>-3.1981999999999999</v>
      </c>
      <c r="D1338" s="13">
        <v>-2.9407999999999999</v>
      </c>
      <c r="E1338" s="13">
        <v>-3.4556</v>
      </c>
    </row>
    <row r="1339" spans="1:5" x14ac:dyDescent="0.2">
      <c r="A1339">
        <v>20158</v>
      </c>
      <c r="B1339">
        <f t="shared" si="20"/>
        <v>20200</v>
      </c>
      <c r="C1339" s="13">
        <v>-3.1949000000000001</v>
      </c>
      <c r="D1339" s="13">
        <v>-2.9371</v>
      </c>
      <c r="E1339" s="13">
        <v>-3.4525999999999999</v>
      </c>
    </row>
    <row r="1340" spans="1:5" x14ac:dyDescent="0.2">
      <c r="A1340">
        <v>20168</v>
      </c>
      <c r="B1340">
        <f t="shared" si="20"/>
        <v>20200</v>
      </c>
      <c r="C1340" s="13">
        <v>-3.1909000000000001</v>
      </c>
      <c r="D1340" s="13">
        <v>-2.9323000000000001</v>
      </c>
      <c r="E1340" s="13">
        <v>-3.4495</v>
      </c>
    </row>
    <row r="1341" spans="1:5" x14ac:dyDescent="0.2">
      <c r="A1341">
        <v>20178</v>
      </c>
      <c r="B1341">
        <f t="shared" si="20"/>
        <v>20200</v>
      </c>
      <c r="C1341" s="13">
        <v>-3.1863000000000001</v>
      </c>
      <c r="D1341" s="13">
        <v>-2.9264000000000001</v>
      </c>
      <c r="E1341" s="13">
        <v>-3.4462999999999999</v>
      </c>
    </row>
    <row r="1342" spans="1:5" x14ac:dyDescent="0.2">
      <c r="A1342">
        <v>20188</v>
      </c>
      <c r="B1342">
        <f t="shared" si="20"/>
        <v>20200</v>
      </c>
      <c r="C1342" s="13">
        <v>-3.1812</v>
      </c>
      <c r="D1342" s="13">
        <v>-2.9194</v>
      </c>
      <c r="E1342" s="13">
        <v>-3.4430000000000001</v>
      </c>
    </row>
    <row r="1343" spans="1:5" x14ac:dyDescent="0.2">
      <c r="A1343">
        <v>20198</v>
      </c>
      <c r="B1343">
        <f t="shared" si="20"/>
        <v>20200</v>
      </c>
      <c r="C1343" s="13">
        <v>-3.1756000000000002</v>
      </c>
      <c r="D1343" s="13">
        <v>-2.9115000000000002</v>
      </c>
      <c r="E1343" s="13">
        <v>-3.4397000000000002</v>
      </c>
    </row>
    <row r="1344" spans="1:5" x14ac:dyDescent="0.2">
      <c r="A1344">
        <v>20208</v>
      </c>
      <c r="B1344">
        <f t="shared" si="20"/>
        <v>20200</v>
      </c>
      <c r="C1344" s="13">
        <v>-3.1696</v>
      </c>
      <c r="D1344" s="13">
        <v>-2.9026000000000001</v>
      </c>
      <c r="E1344" s="13">
        <v>-3.4365000000000001</v>
      </c>
    </row>
    <row r="1345" spans="1:5" x14ac:dyDescent="0.2">
      <c r="A1345">
        <v>20218</v>
      </c>
      <c r="B1345">
        <f t="shared" si="20"/>
        <v>20200</v>
      </c>
      <c r="C1345" s="13">
        <v>-3.1631999999999998</v>
      </c>
      <c r="D1345" s="13">
        <v>-2.8929999999999998</v>
      </c>
      <c r="E1345" s="13">
        <v>-3.4335</v>
      </c>
    </row>
    <row r="1346" spans="1:5" x14ac:dyDescent="0.2">
      <c r="A1346">
        <v>20229</v>
      </c>
      <c r="B1346">
        <f t="shared" si="20"/>
        <v>20200</v>
      </c>
      <c r="C1346" s="13">
        <v>-3.1566000000000001</v>
      </c>
      <c r="D1346" s="13">
        <v>-2.8826999999999998</v>
      </c>
      <c r="E1346" s="13">
        <v>-3.4306000000000001</v>
      </c>
    </row>
    <row r="1347" spans="1:5" x14ac:dyDescent="0.2">
      <c r="A1347">
        <v>20239</v>
      </c>
      <c r="B1347">
        <f t="shared" si="20"/>
        <v>20200</v>
      </c>
      <c r="C1347" s="13">
        <v>-3.1497999999999999</v>
      </c>
      <c r="D1347" s="13">
        <v>-2.8717999999999999</v>
      </c>
      <c r="E1347" s="13">
        <v>-3.4279000000000002</v>
      </c>
    </row>
    <row r="1348" spans="1:5" x14ac:dyDescent="0.2">
      <c r="A1348">
        <v>20249</v>
      </c>
      <c r="B1348">
        <f t="shared" ref="B1348:B1411" si="21">MROUND(A1348,100)</f>
        <v>20200</v>
      </c>
      <c r="C1348" s="13">
        <v>-3.1429</v>
      </c>
      <c r="D1348" s="13">
        <v>-2.8603999999999998</v>
      </c>
      <c r="E1348" s="13">
        <v>-3.4253999999999998</v>
      </c>
    </row>
    <row r="1349" spans="1:5" x14ac:dyDescent="0.2">
      <c r="A1349">
        <v>20259</v>
      </c>
      <c r="B1349">
        <f t="shared" si="21"/>
        <v>20300</v>
      </c>
      <c r="C1349" s="13">
        <v>-3.1360000000000001</v>
      </c>
      <c r="D1349" s="13">
        <v>-2.8488000000000002</v>
      </c>
      <c r="E1349" s="13">
        <v>-3.4232</v>
      </c>
    </row>
    <row r="1350" spans="1:5" x14ac:dyDescent="0.2">
      <c r="A1350">
        <v>20269</v>
      </c>
      <c r="B1350">
        <f t="shared" si="21"/>
        <v>20300</v>
      </c>
      <c r="C1350" s="13">
        <v>-3.129</v>
      </c>
      <c r="D1350" s="13">
        <v>-2.8369</v>
      </c>
      <c r="E1350" s="13">
        <v>-3.4211</v>
      </c>
    </row>
    <row r="1351" spans="1:5" x14ac:dyDescent="0.2">
      <c r="A1351">
        <v>20279</v>
      </c>
      <c r="B1351">
        <f t="shared" si="21"/>
        <v>20300</v>
      </c>
      <c r="C1351" s="13">
        <v>-3.1221999999999999</v>
      </c>
      <c r="D1351" s="13">
        <v>-2.8250000000000002</v>
      </c>
      <c r="E1351" s="13">
        <v>-3.4192999999999998</v>
      </c>
    </row>
    <row r="1352" spans="1:5" x14ac:dyDescent="0.2">
      <c r="A1352">
        <v>20289</v>
      </c>
      <c r="B1352">
        <f t="shared" si="21"/>
        <v>20300</v>
      </c>
      <c r="C1352" s="13">
        <v>-3.1154999999999999</v>
      </c>
      <c r="D1352" s="13">
        <v>-2.8132000000000001</v>
      </c>
      <c r="E1352" s="13">
        <v>-3.4178000000000002</v>
      </c>
    </row>
    <row r="1353" spans="1:5" x14ac:dyDescent="0.2">
      <c r="A1353">
        <v>20299</v>
      </c>
      <c r="B1353">
        <f t="shared" si="21"/>
        <v>20300</v>
      </c>
      <c r="C1353" s="13">
        <v>-3.1091000000000002</v>
      </c>
      <c r="D1353" s="13">
        <v>-2.8016000000000001</v>
      </c>
      <c r="E1353" s="13">
        <v>-3.4165000000000001</v>
      </c>
    </row>
    <row r="1354" spans="1:5" x14ac:dyDescent="0.2">
      <c r="A1354">
        <v>20309</v>
      </c>
      <c r="B1354">
        <f t="shared" si="21"/>
        <v>20300</v>
      </c>
      <c r="C1354" s="13">
        <v>-3.1030000000000002</v>
      </c>
      <c r="D1354" s="13">
        <v>-2.7904</v>
      </c>
      <c r="E1354" s="13">
        <v>-3.4155000000000002</v>
      </c>
    </row>
    <row r="1355" spans="1:5" x14ac:dyDescent="0.2">
      <c r="A1355">
        <v>20319</v>
      </c>
      <c r="B1355">
        <f t="shared" si="21"/>
        <v>20300</v>
      </c>
      <c r="C1355" s="13">
        <v>-3.0972</v>
      </c>
      <c r="D1355" s="13">
        <v>-2.7797000000000001</v>
      </c>
      <c r="E1355" s="13">
        <v>-3.4146999999999998</v>
      </c>
    </row>
    <row r="1356" spans="1:5" x14ac:dyDescent="0.2">
      <c r="A1356">
        <v>20329</v>
      </c>
      <c r="B1356">
        <f t="shared" si="21"/>
        <v>20300</v>
      </c>
      <c r="C1356" s="13">
        <v>-3.0918999999999999</v>
      </c>
      <c r="D1356" s="13">
        <v>-2.7696000000000001</v>
      </c>
      <c r="E1356" s="13">
        <v>-3.4142000000000001</v>
      </c>
    </row>
    <row r="1357" spans="1:5" x14ac:dyDescent="0.2">
      <c r="A1357">
        <v>20339</v>
      </c>
      <c r="B1357">
        <f t="shared" si="21"/>
        <v>20300</v>
      </c>
      <c r="C1357" s="13">
        <v>-3.0870000000000002</v>
      </c>
      <c r="D1357" s="13">
        <v>-2.7601</v>
      </c>
      <c r="E1357" s="13">
        <v>-3.4138999999999999</v>
      </c>
    </row>
    <row r="1358" spans="1:5" x14ac:dyDescent="0.2">
      <c r="A1358">
        <v>20349</v>
      </c>
      <c r="B1358">
        <f t="shared" si="21"/>
        <v>20300</v>
      </c>
      <c r="C1358" s="13">
        <v>-3.0825</v>
      </c>
      <c r="D1358" s="13">
        <v>-2.7511999999999999</v>
      </c>
      <c r="E1358" s="13">
        <v>-3.4137</v>
      </c>
    </row>
    <row r="1359" spans="1:5" x14ac:dyDescent="0.2">
      <c r="A1359">
        <v>20360</v>
      </c>
      <c r="B1359">
        <f t="shared" si="21"/>
        <v>20400</v>
      </c>
      <c r="C1359" s="13">
        <v>-3.0783</v>
      </c>
      <c r="D1359" s="13">
        <v>-2.7429000000000001</v>
      </c>
      <c r="E1359" s="13">
        <v>-3.4138000000000002</v>
      </c>
    </row>
    <row r="1360" spans="1:5" x14ac:dyDescent="0.2">
      <c r="A1360">
        <v>20370</v>
      </c>
      <c r="B1360">
        <f t="shared" si="21"/>
        <v>20400</v>
      </c>
      <c r="C1360" s="13">
        <v>-3.0746000000000002</v>
      </c>
      <c r="D1360" s="13">
        <v>-2.7351999999999999</v>
      </c>
      <c r="E1360" s="13">
        <v>-3.4138999999999999</v>
      </c>
    </row>
    <row r="1361" spans="1:5" x14ac:dyDescent="0.2">
      <c r="A1361">
        <v>20380</v>
      </c>
      <c r="B1361">
        <f t="shared" si="21"/>
        <v>20400</v>
      </c>
      <c r="C1361" s="13">
        <v>-3.0712000000000002</v>
      </c>
      <c r="D1361" s="13">
        <v>-2.7282000000000002</v>
      </c>
      <c r="E1361" s="13">
        <v>-3.4142000000000001</v>
      </c>
    </row>
    <row r="1362" spans="1:5" x14ac:dyDescent="0.2">
      <c r="A1362">
        <v>20390</v>
      </c>
      <c r="B1362">
        <f t="shared" si="21"/>
        <v>20400</v>
      </c>
      <c r="C1362" s="13">
        <v>-3.0682</v>
      </c>
      <c r="D1362" s="13">
        <v>-2.7218</v>
      </c>
      <c r="E1362" s="13">
        <v>-3.4146000000000001</v>
      </c>
    </row>
    <row r="1363" spans="1:5" x14ac:dyDescent="0.2">
      <c r="A1363">
        <v>20400</v>
      </c>
      <c r="B1363">
        <f t="shared" si="21"/>
        <v>20400</v>
      </c>
      <c r="C1363" s="13">
        <v>-3.0655000000000001</v>
      </c>
      <c r="D1363" s="13">
        <v>-2.7160000000000002</v>
      </c>
      <c r="E1363" s="13">
        <v>-3.415</v>
      </c>
    </row>
    <row r="1364" spans="1:5" x14ac:dyDescent="0.2">
      <c r="A1364">
        <v>20410</v>
      </c>
      <c r="B1364">
        <f t="shared" si="21"/>
        <v>20400</v>
      </c>
      <c r="C1364" s="13">
        <v>-3.0632000000000001</v>
      </c>
      <c r="D1364" s="13">
        <v>-2.7109000000000001</v>
      </c>
      <c r="E1364" s="13">
        <v>-3.4156</v>
      </c>
    </row>
    <row r="1365" spans="1:5" x14ac:dyDescent="0.2">
      <c r="A1365">
        <v>20420</v>
      </c>
      <c r="B1365">
        <f t="shared" si="21"/>
        <v>20400</v>
      </c>
      <c r="C1365" s="13">
        <v>-3.0611999999999999</v>
      </c>
      <c r="D1365" s="13">
        <v>-2.7063000000000001</v>
      </c>
      <c r="E1365" s="13">
        <v>-3.4161999999999999</v>
      </c>
    </row>
    <row r="1366" spans="1:5" x14ac:dyDescent="0.2">
      <c r="A1366">
        <v>20430</v>
      </c>
      <c r="B1366">
        <f t="shared" si="21"/>
        <v>20400</v>
      </c>
      <c r="C1366" s="13">
        <v>-3.0596000000000001</v>
      </c>
      <c r="D1366" s="13">
        <v>-2.7023000000000001</v>
      </c>
      <c r="E1366" s="13">
        <v>-3.4167999999999998</v>
      </c>
    </row>
    <row r="1367" spans="1:5" x14ac:dyDescent="0.2">
      <c r="A1367">
        <v>20440</v>
      </c>
      <c r="B1367">
        <f t="shared" si="21"/>
        <v>20400</v>
      </c>
      <c r="C1367" s="13">
        <v>-3.0581999999999998</v>
      </c>
      <c r="D1367" s="13">
        <v>-2.6989000000000001</v>
      </c>
      <c r="E1367" s="13">
        <v>-3.4175</v>
      </c>
    </row>
    <row r="1368" spans="1:5" x14ac:dyDescent="0.2">
      <c r="A1368">
        <v>20450</v>
      </c>
      <c r="B1368">
        <f t="shared" si="21"/>
        <v>20500</v>
      </c>
      <c r="C1368" s="13">
        <v>-3.0571000000000002</v>
      </c>
      <c r="D1368" s="13">
        <v>-2.6960000000000002</v>
      </c>
      <c r="E1368" s="13">
        <v>-3.4182999999999999</v>
      </c>
    </row>
    <row r="1369" spans="1:5" x14ac:dyDescent="0.2">
      <c r="A1369">
        <v>20460</v>
      </c>
      <c r="B1369">
        <f t="shared" si="21"/>
        <v>20500</v>
      </c>
      <c r="C1369" s="13">
        <v>-3.0564</v>
      </c>
      <c r="D1369" s="13">
        <v>-2.6937000000000002</v>
      </c>
      <c r="E1369" s="13">
        <v>-3.4190999999999998</v>
      </c>
    </row>
    <row r="1370" spans="1:5" x14ac:dyDescent="0.2">
      <c r="A1370">
        <v>20470</v>
      </c>
      <c r="B1370">
        <f t="shared" si="21"/>
        <v>20500</v>
      </c>
      <c r="C1370" s="13">
        <v>-3.0558999999999998</v>
      </c>
      <c r="D1370" s="13">
        <v>-2.6919</v>
      </c>
      <c r="E1370" s="13">
        <v>-3.4199000000000002</v>
      </c>
    </row>
    <row r="1371" spans="1:5" x14ac:dyDescent="0.2">
      <c r="A1371">
        <v>20480</v>
      </c>
      <c r="B1371">
        <f t="shared" si="21"/>
        <v>20500</v>
      </c>
      <c r="C1371" s="13">
        <v>-3.0556999999999999</v>
      </c>
      <c r="D1371" s="13">
        <v>-2.6905999999999999</v>
      </c>
      <c r="E1371" s="13">
        <v>-3.4207999999999998</v>
      </c>
    </row>
    <row r="1372" spans="1:5" x14ac:dyDescent="0.2">
      <c r="A1372">
        <v>20490</v>
      </c>
      <c r="B1372">
        <f t="shared" si="21"/>
        <v>20500</v>
      </c>
      <c r="C1372" s="13">
        <v>-3.0558000000000001</v>
      </c>
      <c r="D1372" s="13">
        <v>-2.6898</v>
      </c>
      <c r="E1372" s="13">
        <v>-3.4217</v>
      </c>
    </row>
    <row r="1373" spans="1:5" x14ac:dyDescent="0.2">
      <c r="A1373">
        <v>20501</v>
      </c>
      <c r="B1373">
        <f t="shared" si="21"/>
        <v>20500</v>
      </c>
      <c r="C1373" s="13">
        <v>-3.0560999999999998</v>
      </c>
      <c r="D1373" s="13">
        <v>-2.6894999999999998</v>
      </c>
      <c r="E1373" s="13">
        <v>-3.4226000000000001</v>
      </c>
    </row>
    <row r="1374" spans="1:5" x14ac:dyDescent="0.2">
      <c r="A1374">
        <v>20511</v>
      </c>
      <c r="B1374">
        <f t="shared" si="21"/>
        <v>20500</v>
      </c>
      <c r="C1374" s="13">
        <v>-3.0566</v>
      </c>
      <c r="D1374" s="13">
        <v>-2.6896</v>
      </c>
      <c r="E1374" s="13">
        <v>-3.4236</v>
      </c>
    </row>
    <row r="1375" spans="1:5" x14ac:dyDescent="0.2">
      <c r="A1375">
        <v>20521</v>
      </c>
      <c r="B1375">
        <f t="shared" si="21"/>
        <v>20500</v>
      </c>
      <c r="C1375" s="13">
        <v>-3.0573999999999999</v>
      </c>
      <c r="D1375" s="13">
        <v>-2.6901999999999999</v>
      </c>
      <c r="E1375" s="13">
        <v>-3.4245999999999999</v>
      </c>
    </row>
    <row r="1376" spans="1:5" x14ac:dyDescent="0.2">
      <c r="A1376">
        <v>20531</v>
      </c>
      <c r="B1376">
        <f t="shared" si="21"/>
        <v>20500</v>
      </c>
      <c r="C1376" s="13">
        <v>-3.0583999999999998</v>
      </c>
      <c r="D1376" s="13">
        <v>-2.6911</v>
      </c>
      <c r="E1376" s="13">
        <v>-3.4257</v>
      </c>
    </row>
    <row r="1377" spans="1:5" x14ac:dyDescent="0.2">
      <c r="A1377">
        <v>20541</v>
      </c>
      <c r="B1377">
        <f t="shared" si="21"/>
        <v>20500</v>
      </c>
      <c r="C1377" s="13">
        <v>-3.0596000000000001</v>
      </c>
      <c r="D1377" s="13">
        <v>-2.6924999999999999</v>
      </c>
      <c r="E1377" s="13">
        <v>-3.4268000000000001</v>
      </c>
    </row>
    <row r="1378" spans="1:5" x14ac:dyDescent="0.2">
      <c r="A1378">
        <v>20551</v>
      </c>
      <c r="B1378">
        <f t="shared" si="21"/>
        <v>20600</v>
      </c>
      <c r="C1378" s="13">
        <v>-3.0611000000000002</v>
      </c>
      <c r="D1378" s="13">
        <v>-2.6941999999999999</v>
      </c>
      <c r="E1378" s="13">
        <v>-3.4279000000000002</v>
      </c>
    </row>
    <row r="1379" spans="1:5" x14ac:dyDescent="0.2">
      <c r="A1379">
        <v>20561</v>
      </c>
      <c r="B1379">
        <f t="shared" si="21"/>
        <v>20600</v>
      </c>
      <c r="C1379" s="13">
        <v>-3.0627</v>
      </c>
      <c r="D1379" s="13">
        <v>-2.6962999999999999</v>
      </c>
      <c r="E1379" s="13">
        <v>-3.4291</v>
      </c>
    </row>
    <row r="1380" spans="1:5" x14ac:dyDescent="0.2">
      <c r="A1380">
        <v>20571</v>
      </c>
      <c r="B1380">
        <f t="shared" si="21"/>
        <v>20600</v>
      </c>
      <c r="C1380" s="13">
        <v>-3.0644999999999998</v>
      </c>
      <c r="D1380" s="13">
        <v>-2.6987000000000001</v>
      </c>
      <c r="E1380" s="13">
        <v>-3.4302999999999999</v>
      </c>
    </row>
    <row r="1381" spans="1:5" x14ac:dyDescent="0.2">
      <c r="A1381">
        <v>20581</v>
      </c>
      <c r="B1381">
        <f t="shared" si="21"/>
        <v>20600</v>
      </c>
      <c r="C1381" s="13">
        <v>-3.0665</v>
      </c>
      <c r="D1381" s="13">
        <v>-2.7014</v>
      </c>
      <c r="E1381" s="13">
        <v>-3.4315000000000002</v>
      </c>
    </row>
    <row r="1382" spans="1:5" x14ac:dyDescent="0.2">
      <c r="A1382">
        <v>20591</v>
      </c>
      <c r="B1382">
        <f t="shared" si="21"/>
        <v>20600</v>
      </c>
      <c r="C1382" s="13">
        <v>-3.0686</v>
      </c>
      <c r="D1382" s="13">
        <v>-2.7044000000000001</v>
      </c>
      <c r="E1382" s="13">
        <v>-3.4327999999999999</v>
      </c>
    </row>
    <row r="1383" spans="1:5" x14ac:dyDescent="0.2">
      <c r="A1383">
        <v>20601</v>
      </c>
      <c r="B1383">
        <f t="shared" si="21"/>
        <v>20600</v>
      </c>
      <c r="C1383" s="13">
        <v>-3.0709</v>
      </c>
      <c r="D1383" s="13">
        <v>-2.7077</v>
      </c>
      <c r="E1383" s="13">
        <v>-3.4340999999999999</v>
      </c>
    </row>
    <row r="1384" spans="1:5" x14ac:dyDescent="0.2">
      <c r="A1384">
        <v>20611</v>
      </c>
      <c r="B1384">
        <f t="shared" si="21"/>
        <v>20600</v>
      </c>
      <c r="C1384" s="13">
        <v>-3.0733000000000001</v>
      </c>
      <c r="D1384" s="13">
        <v>-2.7111000000000001</v>
      </c>
      <c r="E1384" s="13">
        <v>-3.4355000000000002</v>
      </c>
    </row>
    <row r="1385" spans="1:5" x14ac:dyDescent="0.2">
      <c r="A1385">
        <v>20621</v>
      </c>
      <c r="B1385">
        <f t="shared" si="21"/>
        <v>20600</v>
      </c>
      <c r="C1385" s="13">
        <v>-3.0758999999999999</v>
      </c>
      <c r="D1385" s="13">
        <v>-2.7149000000000001</v>
      </c>
      <c r="E1385" s="13">
        <v>-3.4369999999999998</v>
      </c>
    </row>
    <row r="1386" spans="1:5" x14ac:dyDescent="0.2">
      <c r="A1386">
        <v>20631</v>
      </c>
      <c r="B1386">
        <f t="shared" si="21"/>
        <v>20600</v>
      </c>
      <c r="C1386" s="13">
        <v>-3.0785999999999998</v>
      </c>
      <c r="D1386" s="13">
        <v>-2.7187999999999999</v>
      </c>
      <c r="E1386" s="13">
        <v>-3.4384999999999999</v>
      </c>
    </row>
    <row r="1387" spans="1:5" x14ac:dyDescent="0.2">
      <c r="A1387">
        <v>20642</v>
      </c>
      <c r="B1387">
        <f t="shared" si="21"/>
        <v>20600</v>
      </c>
      <c r="C1387" s="13">
        <v>-3.0813999999999999</v>
      </c>
      <c r="D1387" s="13">
        <v>-2.7229000000000001</v>
      </c>
      <c r="E1387" s="13">
        <v>-3.44</v>
      </c>
    </row>
    <row r="1388" spans="1:5" x14ac:dyDescent="0.2">
      <c r="A1388">
        <v>20652</v>
      </c>
      <c r="B1388">
        <f t="shared" si="21"/>
        <v>20700</v>
      </c>
      <c r="C1388" s="13">
        <v>-3.0844</v>
      </c>
      <c r="D1388" s="13">
        <v>-2.7271000000000001</v>
      </c>
      <c r="E1388" s="13">
        <v>-3.4416000000000002</v>
      </c>
    </row>
    <row r="1389" spans="1:5" x14ac:dyDescent="0.2">
      <c r="A1389">
        <v>20662</v>
      </c>
      <c r="B1389">
        <f t="shared" si="21"/>
        <v>20700</v>
      </c>
      <c r="C1389" s="13">
        <v>-3.0874000000000001</v>
      </c>
      <c r="D1389" s="13">
        <v>-2.7315</v>
      </c>
      <c r="E1389" s="13">
        <v>-3.4432999999999998</v>
      </c>
    </row>
    <row r="1390" spans="1:5" x14ac:dyDescent="0.2">
      <c r="A1390">
        <v>20672</v>
      </c>
      <c r="B1390">
        <f t="shared" si="21"/>
        <v>20700</v>
      </c>
      <c r="C1390" s="13">
        <v>-3.0905</v>
      </c>
      <c r="D1390" s="13">
        <v>-2.7360000000000002</v>
      </c>
      <c r="E1390" s="13">
        <v>-3.4449999999999998</v>
      </c>
    </row>
    <row r="1391" spans="1:5" x14ac:dyDescent="0.2">
      <c r="A1391">
        <v>20682</v>
      </c>
      <c r="B1391">
        <f t="shared" si="21"/>
        <v>20700</v>
      </c>
      <c r="C1391" s="13">
        <v>-3.0937000000000001</v>
      </c>
      <c r="D1391" s="13">
        <v>-2.7406000000000001</v>
      </c>
      <c r="E1391" s="13">
        <v>-3.4466999999999999</v>
      </c>
    </row>
    <row r="1392" spans="1:5" x14ac:dyDescent="0.2">
      <c r="A1392">
        <v>20692</v>
      </c>
      <c r="B1392">
        <f t="shared" si="21"/>
        <v>20700</v>
      </c>
      <c r="C1392" s="13">
        <v>-3.0969000000000002</v>
      </c>
      <c r="D1392" s="13">
        <v>-2.7452999999999999</v>
      </c>
      <c r="E1392" s="13">
        <v>-3.4485999999999999</v>
      </c>
    </row>
    <row r="1393" spans="1:5" x14ac:dyDescent="0.2">
      <c r="A1393">
        <v>20702</v>
      </c>
      <c r="B1393">
        <f t="shared" si="21"/>
        <v>20700</v>
      </c>
      <c r="C1393" s="13">
        <v>-3.1002000000000001</v>
      </c>
      <c r="D1393" s="13">
        <v>-2.75</v>
      </c>
      <c r="E1393" s="13">
        <v>-3.4504999999999999</v>
      </c>
    </row>
    <row r="1394" spans="1:5" x14ac:dyDescent="0.2">
      <c r="A1394">
        <v>20712</v>
      </c>
      <c r="B1394">
        <f t="shared" si="21"/>
        <v>20700</v>
      </c>
      <c r="C1394" s="13">
        <v>-3.1036000000000001</v>
      </c>
      <c r="D1394" s="13">
        <v>-2.7547999999999999</v>
      </c>
      <c r="E1394" s="13">
        <v>-3.4523999999999999</v>
      </c>
    </row>
    <row r="1395" spans="1:5" x14ac:dyDescent="0.2">
      <c r="A1395">
        <v>20722</v>
      </c>
      <c r="B1395">
        <f t="shared" si="21"/>
        <v>20700</v>
      </c>
      <c r="C1395" s="13">
        <v>-3.1070000000000002</v>
      </c>
      <c r="D1395" s="13">
        <v>-2.7595999999999998</v>
      </c>
      <c r="E1395" s="13">
        <v>-3.4544000000000001</v>
      </c>
    </row>
    <row r="1396" spans="1:5" x14ac:dyDescent="0.2">
      <c r="A1396">
        <v>20732</v>
      </c>
      <c r="B1396">
        <f t="shared" si="21"/>
        <v>20700</v>
      </c>
      <c r="C1396" s="13">
        <v>-3.1103999999999998</v>
      </c>
      <c r="D1396" s="13">
        <v>-2.7644000000000002</v>
      </c>
      <c r="E1396" s="13">
        <v>-3.4563999999999999</v>
      </c>
    </row>
    <row r="1397" spans="1:5" x14ac:dyDescent="0.2">
      <c r="A1397">
        <v>20742</v>
      </c>
      <c r="B1397">
        <f t="shared" si="21"/>
        <v>20700</v>
      </c>
      <c r="C1397" s="13">
        <v>-3.1137999999999999</v>
      </c>
      <c r="D1397" s="13">
        <v>-2.7692000000000001</v>
      </c>
      <c r="E1397" s="13">
        <v>-3.4584999999999999</v>
      </c>
    </row>
    <row r="1398" spans="1:5" x14ac:dyDescent="0.2">
      <c r="A1398">
        <v>20752</v>
      </c>
      <c r="B1398">
        <f t="shared" si="21"/>
        <v>20800</v>
      </c>
      <c r="C1398" s="13">
        <v>-3.1173000000000002</v>
      </c>
      <c r="D1398" s="13">
        <v>-2.7738999999999998</v>
      </c>
      <c r="E1398" s="13">
        <v>-3.4605999999999999</v>
      </c>
    </row>
    <row r="1399" spans="1:5" x14ac:dyDescent="0.2">
      <c r="A1399">
        <v>20762</v>
      </c>
      <c r="B1399">
        <f t="shared" si="21"/>
        <v>20800</v>
      </c>
      <c r="C1399" s="13">
        <v>-3.1206999999999998</v>
      </c>
      <c r="D1399" s="13">
        <v>-2.7786</v>
      </c>
      <c r="E1399" s="13">
        <v>-3.4628000000000001</v>
      </c>
    </row>
    <row r="1400" spans="1:5" x14ac:dyDescent="0.2">
      <c r="A1400">
        <v>20773</v>
      </c>
      <c r="B1400">
        <f t="shared" si="21"/>
        <v>20800</v>
      </c>
      <c r="C1400" s="13">
        <v>-3.1242000000000001</v>
      </c>
      <c r="D1400" s="13">
        <v>-2.7833000000000001</v>
      </c>
      <c r="E1400" s="13">
        <v>-3.4649999999999999</v>
      </c>
    </row>
    <row r="1401" spans="1:5" x14ac:dyDescent="0.2">
      <c r="A1401">
        <v>20783</v>
      </c>
      <c r="B1401">
        <f t="shared" si="21"/>
        <v>20800</v>
      </c>
      <c r="C1401" s="13">
        <v>-3.1276000000000002</v>
      </c>
      <c r="D1401" s="13">
        <v>-2.7879</v>
      </c>
      <c r="E1401" s="13">
        <v>-3.4672999999999998</v>
      </c>
    </row>
    <row r="1402" spans="1:5" x14ac:dyDescent="0.2">
      <c r="A1402">
        <v>20793</v>
      </c>
      <c r="B1402">
        <f t="shared" si="21"/>
        <v>20800</v>
      </c>
      <c r="C1402" s="13">
        <v>-3.1309</v>
      </c>
      <c r="D1402" s="13">
        <v>-2.7924000000000002</v>
      </c>
      <c r="E1402" s="13">
        <v>-3.4695</v>
      </c>
    </row>
    <row r="1403" spans="1:5" x14ac:dyDescent="0.2">
      <c r="A1403">
        <v>20803</v>
      </c>
      <c r="B1403">
        <f t="shared" si="21"/>
        <v>20800</v>
      </c>
      <c r="C1403" s="13">
        <v>-3.1343000000000001</v>
      </c>
      <c r="D1403" s="13">
        <v>-2.7968000000000002</v>
      </c>
      <c r="E1403" s="13">
        <v>-3.4718</v>
      </c>
    </row>
    <row r="1404" spans="1:5" x14ac:dyDescent="0.2">
      <c r="A1404">
        <v>20813</v>
      </c>
      <c r="B1404">
        <f t="shared" si="21"/>
        <v>20800</v>
      </c>
      <c r="C1404" s="13">
        <v>-3.1375999999999999</v>
      </c>
      <c r="D1404" s="13">
        <v>-2.8010999999999999</v>
      </c>
      <c r="E1404" s="13">
        <v>-3.4740000000000002</v>
      </c>
    </row>
    <row r="1405" spans="1:5" x14ac:dyDescent="0.2">
      <c r="A1405">
        <v>20823</v>
      </c>
      <c r="B1405">
        <f t="shared" si="21"/>
        <v>20800</v>
      </c>
      <c r="C1405" s="13">
        <v>-3.1408</v>
      </c>
      <c r="D1405" s="13">
        <v>-2.8052999999999999</v>
      </c>
      <c r="E1405" s="13">
        <v>-3.4763000000000002</v>
      </c>
    </row>
    <row r="1406" spans="1:5" x14ac:dyDescent="0.2">
      <c r="A1406">
        <v>20833</v>
      </c>
      <c r="B1406">
        <f t="shared" si="21"/>
        <v>20800</v>
      </c>
      <c r="C1406" s="13">
        <v>-3.1438999999999999</v>
      </c>
      <c r="D1406" s="13">
        <v>-2.8094000000000001</v>
      </c>
      <c r="E1406" s="13">
        <v>-3.4784999999999999</v>
      </c>
    </row>
    <row r="1407" spans="1:5" x14ac:dyDescent="0.2">
      <c r="A1407">
        <v>20843</v>
      </c>
      <c r="B1407">
        <f t="shared" si="21"/>
        <v>20800</v>
      </c>
      <c r="C1407" s="13">
        <v>-3.1469999999999998</v>
      </c>
      <c r="D1407" s="13">
        <v>-2.8132999999999999</v>
      </c>
      <c r="E1407" s="13">
        <v>-3.4807000000000001</v>
      </c>
    </row>
    <row r="1408" spans="1:5" x14ac:dyDescent="0.2">
      <c r="A1408">
        <v>20853</v>
      </c>
      <c r="B1408">
        <f t="shared" si="21"/>
        <v>20900</v>
      </c>
      <c r="C1408" s="13">
        <v>-3.15</v>
      </c>
      <c r="D1408" s="13">
        <v>-2.8170999999999999</v>
      </c>
      <c r="E1408" s="13">
        <v>-3.4828999999999999</v>
      </c>
    </row>
    <row r="1409" spans="1:5" x14ac:dyDescent="0.2">
      <c r="A1409">
        <v>20863</v>
      </c>
      <c r="B1409">
        <f t="shared" si="21"/>
        <v>20900</v>
      </c>
      <c r="C1409" s="13">
        <v>-3.1528999999999998</v>
      </c>
      <c r="D1409" s="13">
        <v>-2.8207</v>
      </c>
      <c r="E1409" s="13">
        <v>-3.4849999999999999</v>
      </c>
    </row>
    <row r="1410" spans="1:5" x14ac:dyDescent="0.2">
      <c r="A1410">
        <v>20873</v>
      </c>
      <c r="B1410">
        <f t="shared" si="21"/>
        <v>20900</v>
      </c>
      <c r="C1410" s="13">
        <v>-3.1556000000000002</v>
      </c>
      <c r="D1410" s="13">
        <v>-2.8241999999999998</v>
      </c>
      <c r="E1410" s="13">
        <v>-3.4870999999999999</v>
      </c>
    </row>
    <row r="1411" spans="1:5" x14ac:dyDescent="0.2">
      <c r="A1411">
        <v>20883</v>
      </c>
      <c r="B1411">
        <f t="shared" si="21"/>
        <v>20900</v>
      </c>
      <c r="C1411" s="13">
        <v>-3.1583000000000001</v>
      </c>
      <c r="D1411" s="13">
        <v>-2.8275999999999999</v>
      </c>
      <c r="E1411" s="13">
        <v>-3.4889999999999999</v>
      </c>
    </row>
    <row r="1412" spans="1:5" x14ac:dyDescent="0.2">
      <c r="A1412">
        <v>20893</v>
      </c>
      <c r="B1412">
        <f t="shared" ref="B1412:B1475" si="22">MROUND(A1412,100)</f>
        <v>20900</v>
      </c>
      <c r="C1412" s="13">
        <v>-3.1608000000000001</v>
      </c>
      <c r="D1412" s="13">
        <v>-2.8308</v>
      </c>
      <c r="E1412" s="13">
        <v>-3.4908999999999999</v>
      </c>
    </row>
    <row r="1413" spans="1:5" x14ac:dyDescent="0.2">
      <c r="A1413">
        <v>20903</v>
      </c>
      <c r="B1413">
        <f t="shared" si="22"/>
        <v>20900</v>
      </c>
      <c r="C1413" s="13">
        <v>-3.1631999999999998</v>
      </c>
      <c r="D1413" s="13">
        <v>-2.8338000000000001</v>
      </c>
      <c r="E1413" s="13">
        <v>-3.4925999999999999</v>
      </c>
    </row>
    <row r="1414" spans="1:5" x14ac:dyDescent="0.2">
      <c r="A1414">
        <v>20914</v>
      </c>
      <c r="B1414">
        <f t="shared" si="22"/>
        <v>20900</v>
      </c>
      <c r="C1414" s="13">
        <v>-3.1654</v>
      </c>
      <c r="D1414" s="13">
        <v>-2.8365999999999998</v>
      </c>
      <c r="E1414" s="13">
        <v>-3.4942000000000002</v>
      </c>
    </row>
    <row r="1415" spans="1:5" x14ac:dyDescent="0.2">
      <c r="A1415">
        <v>20924</v>
      </c>
      <c r="B1415">
        <f t="shared" si="22"/>
        <v>20900</v>
      </c>
      <c r="C1415" s="13">
        <v>-3.1675</v>
      </c>
      <c r="D1415" s="13">
        <v>-2.8393000000000002</v>
      </c>
      <c r="E1415" s="13">
        <v>-3.4956999999999998</v>
      </c>
    </row>
    <row r="1416" spans="1:5" x14ac:dyDescent="0.2">
      <c r="A1416">
        <v>20934</v>
      </c>
      <c r="B1416">
        <f t="shared" si="22"/>
        <v>20900</v>
      </c>
      <c r="C1416" s="13">
        <v>-3.1694</v>
      </c>
      <c r="D1416" s="13">
        <v>-2.8418000000000001</v>
      </c>
      <c r="E1416" s="13">
        <v>-3.4969999999999999</v>
      </c>
    </row>
    <row r="1417" spans="1:5" x14ac:dyDescent="0.2">
      <c r="A1417">
        <v>20944</v>
      </c>
      <c r="B1417">
        <f t="shared" si="22"/>
        <v>20900</v>
      </c>
      <c r="C1417" s="13">
        <v>-3.1711999999999998</v>
      </c>
      <c r="D1417" s="13">
        <v>-2.8441999999999998</v>
      </c>
      <c r="E1417" s="13">
        <v>-3.4981</v>
      </c>
    </row>
    <row r="1418" spans="1:5" x14ac:dyDescent="0.2">
      <c r="A1418">
        <v>20954</v>
      </c>
      <c r="B1418">
        <f t="shared" si="22"/>
        <v>21000</v>
      </c>
      <c r="C1418" s="13">
        <v>-3.1726999999999999</v>
      </c>
      <c r="D1418" s="13">
        <v>-2.8464</v>
      </c>
      <c r="E1418" s="13">
        <v>-3.4990000000000001</v>
      </c>
    </row>
    <row r="1419" spans="1:5" x14ac:dyDescent="0.2">
      <c r="A1419">
        <v>20964</v>
      </c>
      <c r="B1419">
        <f t="shared" si="22"/>
        <v>21000</v>
      </c>
      <c r="C1419" s="13">
        <v>-3.1739999999999999</v>
      </c>
      <c r="D1419" s="13">
        <v>-2.8483999999999998</v>
      </c>
      <c r="E1419" s="13">
        <v>-3.4996999999999998</v>
      </c>
    </row>
    <row r="1420" spans="1:5" x14ac:dyDescent="0.2">
      <c r="A1420">
        <v>20974</v>
      </c>
      <c r="B1420">
        <f t="shared" si="22"/>
        <v>21000</v>
      </c>
      <c r="C1420" s="13">
        <v>-3.1751999999999998</v>
      </c>
      <c r="D1420" s="13">
        <v>-2.8502000000000001</v>
      </c>
      <c r="E1420" s="13">
        <v>-3.5001000000000002</v>
      </c>
    </row>
    <row r="1421" spans="1:5" x14ac:dyDescent="0.2">
      <c r="A1421">
        <v>20984</v>
      </c>
      <c r="B1421">
        <f t="shared" si="22"/>
        <v>21000</v>
      </c>
      <c r="C1421" s="13">
        <v>-3.1760999999999999</v>
      </c>
      <c r="D1421" s="13">
        <v>-2.8519000000000001</v>
      </c>
      <c r="E1421" s="13">
        <v>-3.5003000000000002</v>
      </c>
    </row>
    <row r="1422" spans="1:5" x14ac:dyDescent="0.2">
      <c r="A1422">
        <v>20994</v>
      </c>
      <c r="B1422">
        <f t="shared" si="22"/>
        <v>21000</v>
      </c>
      <c r="C1422" s="13">
        <v>-3.1768000000000001</v>
      </c>
      <c r="D1422" s="13">
        <v>-2.8534000000000002</v>
      </c>
      <c r="E1422" s="13">
        <v>-3.5003000000000002</v>
      </c>
    </row>
    <row r="1423" spans="1:5" x14ac:dyDescent="0.2">
      <c r="A1423">
        <v>21004</v>
      </c>
      <c r="B1423">
        <f t="shared" si="22"/>
        <v>21000</v>
      </c>
      <c r="C1423" s="13">
        <v>-3.1772999999999998</v>
      </c>
      <c r="D1423" s="13">
        <v>-2.8546999999999998</v>
      </c>
      <c r="E1423" s="13">
        <v>-3.4998999999999998</v>
      </c>
    </row>
    <row r="1424" spans="1:5" x14ac:dyDescent="0.2">
      <c r="A1424">
        <v>21014</v>
      </c>
      <c r="B1424">
        <f t="shared" si="22"/>
        <v>21000</v>
      </c>
      <c r="C1424" s="13">
        <v>-3.1776</v>
      </c>
      <c r="D1424" s="13">
        <v>-2.8559000000000001</v>
      </c>
      <c r="E1424" s="13">
        <v>-3.4994000000000001</v>
      </c>
    </row>
    <row r="1425" spans="1:5" x14ac:dyDescent="0.2">
      <c r="A1425">
        <v>21024</v>
      </c>
      <c r="B1425">
        <f t="shared" si="22"/>
        <v>21000</v>
      </c>
      <c r="C1425" s="13">
        <v>-3.1777000000000002</v>
      </c>
      <c r="D1425" s="13">
        <v>-2.8570000000000002</v>
      </c>
      <c r="E1425" s="13">
        <v>-3.4984999999999999</v>
      </c>
    </row>
    <row r="1426" spans="1:5" x14ac:dyDescent="0.2">
      <c r="A1426">
        <v>21034</v>
      </c>
      <c r="B1426">
        <f t="shared" si="22"/>
        <v>21000</v>
      </c>
      <c r="C1426" s="13">
        <v>-3.1777000000000002</v>
      </c>
      <c r="D1426" s="13">
        <v>-2.8578999999999999</v>
      </c>
      <c r="E1426" s="13">
        <v>-3.4975000000000001</v>
      </c>
    </row>
    <row r="1427" spans="1:5" x14ac:dyDescent="0.2">
      <c r="A1427">
        <v>21044</v>
      </c>
      <c r="B1427">
        <f t="shared" si="22"/>
        <v>21000</v>
      </c>
      <c r="C1427" s="13">
        <v>-3.1774</v>
      </c>
      <c r="D1427" s="13">
        <v>-2.8586999999999998</v>
      </c>
      <c r="E1427" s="13">
        <v>-3.4961000000000002</v>
      </c>
    </row>
    <row r="1428" spans="1:5" x14ac:dyDescent="0.2">
      <c r="A1428">
        <v>21055</v>
      </c>
      <c r="B1428">
        <f t="shared" si="22"/>
        <v>21100</v>
      </c>
      <c r="C1428" s="13">
        <v>-3.1768999999999998</v>
      </c>
      <c r="D1428" s="13">
        <v>-2.8593000000000002</v>
      </c>
      <c r="E1428" s="13">
        <v>-3.4944999999999999</v>
      </c>
    </row>
    <row r="1429" spans="1:5" x14ac:dyDescent="0.2">
      <c r="A1429">
        <v>21065</v>
      </c>
      <c r="B1429">
        <f t="shared" si="22"/>
        <v>21100</v>
      </c>
      <c r="C1429" s="13">
        <v>-3.1762999999999999</v>
      </c>
      <c r="D1429" s="13">
        <v>-2.8597999999999999</v>
      </c>
      <c r="E1429" s="13">
        <v>-3.4927000000000001</v>
      </c>
    </row>
    <row r="1430" spans="1:5" x14ac:dyDescent="0.2">
      <c r="A1430">
        <v>21075</v>
      </c>
      <c r="B1430">
        <f t="shared" si="22"/>
        <v>21100</v>
      </c>
      <c r="C1430" s="13">
        <v>-3.1755</v>
      </c>
      <c r="D1430" s="13">
        <v>-2.8603000000000001</v>
      </c>
      <c r="E1430" s="13">
        <v>-3.4906999999999999</v>
      </c>
    </row>
    <row r="1431" spans="1:5" x14ac:dyDescent="0.2">
      <c r="A1431">
        <v>21085</v>
      </c>
      <c r="B1431">
        <f t="shared" si="22"/>
        <v>21100</v>
      </c>
      <c r="C1431" s="13">
        <v>-3.1745000000000001</v>
      </c>
      <c r="D1431" s="13">
        <v>-2.8605</v>
      </c>
      <c r="E1431" s="13">
        <v>-3.4883999999999999</v>
      </c>
    </row>
    <row r="1432" spans="1:5" x14ac:dyDescent="0.2">
      <c r="A1432">
        <v>21095</v>
      </c>
      <c r="B1432">
        <f t="shared" si="22"/>
        <v>21100</v>
      </c>
      <c r="C1432" s="13">
        <v>-3.1732999999999998</v>
      </c>
      <c r="D1432" s="13">
        <v>-2.8607</v>
      </c>
      <c r="E1432" s="13">
        <v>-3.4857999999999998</v>
      </c>
    </row>
    <row r="1433" spans="1:5" x14ac:dyDescent="0.2">
      <c r="A1433">
        <v>21105</v>
      </c>
      <c r="B1433">
        <f t="shared" si="22"/>
        <v>21100</v>
      </c>
      <c r="C1433" s="13">
        <v>-3.1718999999999999</v>
      </c>
      <c r="D1433" s="13">
        <v>-2.8607</v>
      </c>
      <c r="E1433" s="13">
        <v>-3.4830999999999999</v>
      </c>
    </row>
    <row r="1434" spans="1:5" x14ac:dyDescent="0.2">
      <c r="A1434">
        <v>21115</v>
      </c>
      <c r="B1434">
        <f t="shared" si="22"/>
        <v>21100</v>
      </c>
      <c r="C1434" s="13">
        <v>-3.1703999999999999</v>
      </c>
      <c r="D1434" s="13">
        <v>-2.8607</v>
      </c>
      <c r="E1434" s="13">
        <v>-3.4801000000000002</v>
      </c>
    </row>
    <row r="1435" spans="1:5" x14ac:dyDescent="0.2">
      <c r="A1435">
        <v>21125</v>
      </c>
      <c r="B1435">
        <f t="shared" si="22"/>
        <v>21100</v>
      </c>
      <c r="C1435" s="13">
        <v>-3.1686999999999999</v>
      </c>
      <c r="D1435" s="13">
        <v>-2.8605</v>
      </c>
      <c r="E1435" s="13">
        <v>-3.4769000000000001</v>
      </c>
    </row>
    <row r="1436" spans="1:5" x14ac:dyDescent="0.2">
      <c r="A1436">
        <v>21135</v>
      </c>
      <c r="B1436">
        <f t="shared" si="22"/>
        <v>21100</v>
      </c>
      <c r="C1436" s="13">
        <v>-3.1667999999999998</v>
      </c>
      <c r="D1436" s="13">
        <v>-2.8601000000000001</v>
      </c>
      <c r="E1436" s="13">
        <v>-3.4735</v>
      </c>
    </row>
    <row r="1437" spans="1:5" x14ac:dyDescent="0.2">
      <c r="A1437">
        <v>21145</v>
      </c>
      <c r="B1437">
        <f t="shared" si="22"/>
        <v>21100</v>
      </c>
      <c r="C1437" s="13">
        <v>-3.1648000000000001</v>
      </c>
      <c r="D1437" s="13">
        <v>-2.8597000000000001</v>
      </c>
      <c r="E1437" s="13">
        <v>-3.4699</v>
      </c>
    </row>
    <row r="1438" spans="1:5" x14ac:dyDescent="0.2">
      <c r="A1438">
        <v>21155</v>
      </c>
      <c r="B1438">
        <f t="shared" si="22"/>
        <v>21200</v>
      </c>
      <c r="C1438" s="13">
        <v>-3.1625999999999999</v>
      </c>
      <c r="D1438" s="13">
        <v>-2.8591000000000002</v>
      </c>
      <c r="E1438" s="13">
        <v>-3.4662000000000002</v>
      </c>
    </row>
    <row r="1439" spans="1:5" x14ac:dyDescent="0.2">
      <c r="A1439">
        <v>21165</v>
      </c>
      <c r="B1439">
        <f t="shared" si="22"/>
        <v>21200</v>
      </c>
      <c r="C1439" s="13">
        <v>-3.1602999999999999</v>
      </c>
      <c r="D1439" s="13">
        <v>-2.8584000000000001</v>
      </c>
      <c r="E1439" s="13">
        <v>-3.4622000000000002</v>
      </c>
    </row>
    <row r="1440" spans="1:5" x14ac:dyDescent="0.2">
      <c r="A1440">
        <v>21175</v>
      </c>
      <c r="B1440">
        <f t="shared" si="22"/>
        <v>21200</v>
      </c>
      <c r="C1440" s="13">
        <v>-3.1577999999999999</v>
      </c>
      <c r="D1440" s="13">
        <v>-2.8576000000000001</v>
      </c>
      <c r="E1440" s="13">
        <v>-3.4581</v>
      </c>
    </row>
    <row r="1441" spans="1:5" x14ac:dyDescent="0.2">
      <c r="A1441">
        <v>21186</v>
      </c>
      <c r="B1441">
        <f t="shared" si="22"/>
        <v>21200</v>
      </c>
      <c r="C1441" s="13">
        <v>-3.1551999999999998</v>
      </c>
      <c r="D1441" s="13">
        <v>-2.8567</v>
      </c>
      <c r="E1441" s="13">
        <v>-3.4538000000000002</v>
      </c>
    </row>
    <row r="1442" spans="1:5" x14ac:dyDescent="0.2">
      <c r="A1442">
        <v>21196</v>
      </c>
      <c r="B1442">
        <f t="shared" si="22"/>
        <v>21200</v>
      </c>
      <c r="C1442" s="13">
        <v>-3.1524000000000001</v>
      </c>
      <c r="D1442" s="13">
        <v>-2.8555999999999999</v>
      </c>
      <c r="E1442" s="13">
        <v>-3.4493</v>
      </c>
    </row>
    <row r="1443" spans="1:5" x14ac:dyDescent="0.2">
      <c r="A1443">
        <v>21206</v>
      </c>
      <c r="B1443">
        <f t="shared" si="22"/>
        <v>21200</v>
      </c>
      <c r="C1443" s="13">
        <v>-3.1495000000000002</v>
      </c>
      <c r="D1443" s="13">
        <v>-2.8542999999999998</v>
      </c>
      <c r="E1443" s="13">
        <v>-3.4447000000000001</v>
      </c>
    </row>
    <row r="1444" spans="1:5" x14ac:dyDescent="0.2">
      <c r="A1444">
        <v>21216</v>
      </c>
      <c r="B1444">
        <f t="shared" si="22"/>
        <v>21200</v>
      </c>
      <c r="C1444" s="13">
        <v>-3.1465000000000001</v>
      </c>
      <c r="D1444" s="13">
        <v>-2.8530000000000002</v>
      </c>
      <c r="E1444" s="13">
        <v>-3.44</v>
      </c>
    </row>
    <row r="1445" spans="1:5" x14ac:dyDescent="0.2">
      <c r="A1445">
        <v>21226</v>
      </c>
      <c r="B1445">
        <f t="shared" si="22"/>
        <v>21200</v>
      </c>
      <c r="C1445" s="13">
        <v>-3.1433</v>
      </c>
      <c r="D1445" s="13">
        <v>-2.8513999999999999</v>
      </c>
      <c r="E1445" s="13">
        <v>-3.4350999999999998</v>
      </c>
    </row>
    <row r="1446" spans="1:5" x14ac:dyDescent="0.2">
      <c r="A1446">
        <v>21236</v>
      </c>
      <c r="B1446">
        <f t="shared" si="22"/>
        <v>21200</v>
      </c>
      <c r="C1446" s="13">
        <v>-3.14</v>
      </c>
      <c r="D1446" s="13">
        <v>-2.8498000000000001</v>
      </c>
      <c r="E1446" s="13">
        <v>-3.4302000000000001</v>
      </c>
    </row>
    <row r="1447" spans="1:5" x14ac:dyDescent="0.2">
      <c r="A1447">
        <v>21246</v>
      </c>
      <c r="B1447">
        <f t="shared" si="22"/>
        <v>21200</v>
      </c>
      <c r="C1447" s="13">
        <v>-3.1364999999999998</v>
      </c>
      <c r="D1447" s="13">
        <v>-2.8479000000000001</v>
      </c>
      <c r="E1447" s="13">
        <v>-3.4251</v>
      </c>
    </row>
    <row r="1448" spans="1:5" x14ac:dyDescent="0.2">
      <c r="A1448">
        <v>21256</v>
      </c>
      <c r="B1448">
        <f t="shared" si="22"/>
        <v>21300</v>
      </c>
      <c r="C1448" s="13">
        <v>-3.1328999999999998</v>
      </c>
      <c r="D1448" s="13">
        <v>-2.8458999999999999</v>
      </c>
      <c r="E1448" s="13">
        <v>-3.4199000000000002</v>
      </c>
    </row>
    <row r="1449" spans="1:5" x14ac:dyDescent="0.2">
      <c r="A1449">
        <v>21266</v>
      </c>
      <c r="B1449">
        <f t="shared" si="22"/>
        <v>21300</v>
      </c>
      <c r="C1449" s="13">
        <v>-3.1292</v>
      </c>
      <c r="D1449" s="13">
        <v>-2.8437000000000001</v>
      </c>
      <c r="E1449" s="13">
        <v>-3.4146999999999998</v>
      </c>
    </row>
    <row r="1450" spans="1:5" x14ac:dyDescent="0.2">
      <c r="A1450">
        <v>21276</v>
      </c>
      <c r="B1450">
        <f t="shared" si="22"/>
        <v>21300</v>
      </c>
      <c r="C1450" s="13">
        <v>-3.1254</v>
      </c>
      <c r="D1450" s="13">
        <v>-2.8414000000000001</v>
      </c>
      <c r="E1450" s="13">
        <v>-3.4094000000000002</v>
      </c>
    </row>
    <row r="1451" spans="1:5" x14ac:dyDescent="0.2">
      <c r="A1451">
        <v>21286</v>
      </c>
      <c r="B1451">
        <f t="shared" si="22"/>
        <v>21300</v>
      </c>
      <c r="C1451" s="13">
        <v>-3.1215000000000002</v>
      </c>
      <c r="D1451" s="13">
        <v>-2.8388</v>
      </c>
      <c r="E1451" s="13">
        <v>-3.4041000000000001</v>
      </c>
    </row>
    <row r="1452" spans="1:5" x14ac:dyDescent="0.2">
      <c r="A1452">
        <v>21296</v>
      </c>
      <c r="B1452">
        <f t="shared" si="22"/>
        <v>21300</v>
      </c>
      <c r="C1452" s="13">
        <v>-3.1173999999999999</v>
      </c>
      <c r="D1452" s="13">
        <v>-2.8361000000000001</v>
      </c>
      <c r="E1452" s="13">
        <v>-3.3986999999999998</v>
      </c>
    </row>
    <row r="1453" spans="1:5" x14ac:dyDescent="0.2">
      <c r="A1453">
        <v>21306</v>
      </c>
      <c r="B1453">
        <f t="shared" si="22"/>
        <v>21300</v>
      </c>
      <c r="C1453" s="13">
        <v>-3.1132</v>
      </c>
      <c r="D1453" s="13">
        <v>-2.8332000000000002</v>
      </c>
      <c r="E1453" s="13">
        <v>-3.3933</v>
      </c>
    </row>
    <row r="1454" spans="1:5" x14ac:dyDescent="0.2">
      <c r="A1454">
        <v>21316</v>
      </c>
      <c r="B1454">
        <f t="shared" si="22"/>
        <v>21300</v>
      </c>
      <c r="C1454" s="13">
        <v>-3.109</v>
      </c>
      <c r="D1454" s="13">
        <v>-2.83</v>
      </c>
      <c r="E1454" s="13">
        <v>-3.3879000000000001</v>
      </c>
    </row>
    <row r="1455" spans="1:5" x14ac:dyDescent="0.2">
      <c r="A1455">
        <v>21327</v>
      </c>
      <c r="B1455">
        <f t="shared" si="22"/>
        <v>21300</v>
      </c>
      <c r="C1455" s="13">
        <v>-3.1046</v>
      </c>
      <c r="D1455" s="13">
        <v>-2.8267000000000002</v>
      </c>
      <c r="E1455" s="13">
        <v>-3.3824999999999998</v>
      </c>
    </row>
    <row r="1456" spans="1:5" x14ac:dyDescent="0.2">
      <c r="A1456">
        <v>21337</v>
      </c>
      <c r="B1456">
        <f t="shared" si="22"/>
        <v>21300</v>
      </c>
      <c r="C1456" s="13">
        <v>-3.1000999999999999</v>
      </c>
      <c r="D1456" s="13">
        <v>-2.8231000000000002</v>
      </c>
      <c r="E1456" s="13">
        <v>-3.3771</v>
      </c>
    </row>
    <row r="1457" spans="1:5" x14ac:dyDescent="0.2">
      <c r="A1457">
        <v>21347</v>
      </c>
      <c r="B1457">
        <f t="shared" si="22"/>
        <v>21300</v>
      </c>
      <c r="C1457" s="13">
        <v>-3.0954999999999999</v>
      </c>
      <c r="D1457" s="13">
        <v>-2.8193999999999999</v>
      </c>
      <c r="E1457" s="13">
        <v>-3.3717000000000001</v>
      </c>
    </row>
    <row r="1458" spans="1:5" x14ac:dyDescent="0.2">
      <c r="A1458">
        <v>21357</v>
      </c>
      <c r="B1458">
        <f t="shared" si="22"/>
        <v>21400</v>
      </c>
      <c r="C1458" s="13">
        <v>-3.0909</v>
      </c>
      <c r="D1458" s="13">
        <v>-2.8153000000000001</v>
      </c>
      <c r="E1458" s="13">
        <v>-3.3664000000000001</v>
      </c>
    </row>
    <row r="1459" spans="1:5" x14ac:dyDescent="0.2">
      <c r="A1459">
        <v>21367</v>
      </c>
      <c r="B1459">
        <f t="shared" si="22"/>
        <v>21400</v>
      </c>
      <c r="C1459" s="13">
        <v>-3.0861000000000001</v>
      </c>
      <c r="D1459" s="13">
        <v>-2.8111000000000002</v>
      </c>
      <c r="E1459" s="13">
        <v>-3.3611</v>
      </c>
    </row>
    <row r="1460" spans="1:5" x14ac:dyDescent="0.2">
      <c r="A1460">
        <v>21377</v>
      </c>
      <c r="B1460">
        <f t="shared" si="22"/>
        <v>21400</v>
      </c>
      <c r="C1460" s="13">
        <v>-3.0811999999999999</v>
      </c>
      <c r="D1460" s="13">
        <v>-2.8066</v>
      </c>
      <c r="E1460" s="13">
        <v>-3.3559000000000001</v>
      </c>
    </row>
    <row r="1461" spans="1:5" x14ac:dyDescent="0.2">
      <c r="A1461">
        <v>21387</v>
      </c>
      <c r="B1461">
        <f t="shared" si="22"/>
        <v>21400</v>
      </c>
      <c r="C1461" s="13">
        <v>-3.0762999999999998</v>
      </c>
      <c r="D1461" s="13">
        <v>-2.8018999999999998</v>
      </c>
      <c r="E1461" s="13">
        <v>-3.3506999999999998</v>
      </c>
    </row>
    <row r="1462" spans="1:5" x14ac:dyDescent="0.2">
      <c r="A1462">
        <v>21397</v>
      </c>
      <c r="B1462">
        <f t="shared" si="22"/>
        <v>21400</v>
      </c>
      <c r="C1462" s="13">
        <v>-3.0712999999999999</v>
      </c>
      <c r="D1462" s="13">
        <v>-2.7968999999999999</v>
      </c>
      <c r="E1462" s="13">
        <v>-3.3456999999999999</v>
      </c>
    </row>
    <row r="1463" spans="1:5" x14ac:dyDescent="0.2">
      <c r="A1463">
        <v>21407</v>
      </c>
      <c r="B1463">
        <f t="shared" si="22"/>
        <v>21400</v>
      </c>
      <c r="C1463" s="13">
        <v>-3.0661999999999998</v>
      </c>
      <c r="D1463" s="13">
        <v>-2.7915999999999999</v>
      </c>
      <c r="E1463" s="13">
        <v>-3.3407</v>
      </c>
    </row>
    <row r="1464" spans="1:5" x14ac:dyDescent="0.2">
      <c r="A1464">
        <v>21417</v>
      </c>
      <c r="B1464">
        <f t="shared" si="22"/>
        <v>21400</v>
      </c>
      <c r="C1464" s="13">
        <v>-3.0609999999999999</v>
      </c>
      <c r="D1464" s="13">
        <v>-2.7860999999999998</v>
      </c>
      <c r="E1464" s="13">
        <v>-3.3359000000000001</v>
      </c>
    </row>
    <row r="1465" spans="1:5" x14ac:dyDescent="0.2">
      <c r="A1465">
        <v>21427</v>
      </c>
      <c r="B1465">
        <f t="shared" si="22"/>
        <v>21400</v>
      </c>
      <c r="C1465" s="13">
        <v>-3.0556999999999999</v>
      </c>
      <c r="D1465" s="13">
        <v>-2.7803</v>
      </c>
      <c r="E1465" s="13">
        <v>-3.3311999999999999</v>
      </c>
    </row>
    <row r="1466" spans="1:5" x14ac:dyDescent="0.2">
      <c r="A1466">
        <v>21437</v>
      </c>
      <c r="B1466">
        <f t="shared" si="22"/>
        <v>21400</v>
      </c>
      <c r="C1466" s="13">
        <v>-3.0503999999999998</v>
      </c>
      <c r="D1466" s="13">
        <v>-2.7742</v>
      </c>
      <c r="E1466" s="13">
        <v>-3.3266</v>
      </c>
    </row>
    <row r="1467" spans="1:5" x14ac:dyDescent="0.2">
      <c r="A1467">
        <v>21447</v>
      </c>
      <c r="B1467">
        <f t="shared" si="22"/>
        <v>21400</v>
      </c>
      <c r="C1467" s="13">
        <v>-3.0449999999999999</v>
      </c>
      <c r="D1467" s="13">
        <v>-2.7679</v>
      </c>
      <c r="E1467" s="13">
        <v>-3.3220999999999998</v>
      </c>
    </row>
    <row r="1468" spans="1:5" x14ac:dyDescent="0.2">
      <c r="A1468">
        <v>21458</v>
      </c>
      <c r="B1468">
        <f t="shared" si="22"/>
        <v>21500</v>
      </c>
      <c r="C1468" s="13">
        <v>-3.0394999999999999</v>
      </c>
      <c r="D1468" s="13">
        <v>-2.7612999999999999</v>
      </c>
      <c r="E1468" s="13">
        <v>-3.3178000000000001</v>
      </c>
    </row>
    <row r="1469" spans="1:5" x14ac:dyDescent="0.2">
      <c r="A1469">
        <v>21468</v>
      </c>
      <c r="B1469">
        <f t="shared" si="22"/>
        <v>21500</v>
      </c>
      <c r="C1469" s="13">
        <v>-3.0339999999999998</v>
      </c>
      <c r="D1469" s="13">
        <v>-2.7544</v>
      </c>
      <c r="E1469" s="13">
        <v>-3.3136000000000001</v>
      </c>
    </row>
    <row r="1470" spans="1:5" x14ac:dyDescent="0.2">
      <c r="A1470">
        <v>21478</v>
      </c>
      <c r="B1470">
        <f t="shared" si="22"/>
        <v>21500</v>
      </c>
      <c r="C1470" s="13">
        <v>-3.0284</v>
      </c>
      <c r="D1470" s="13">
        <v>-2.7473000000000001</v>
      </c>
      <c r="E1470" s="13">
        <v>-3.3096000000000001</v>
      </c>
    </row>
    <row r="1471" spans="1:5" x14ac:dyDescent="0.2">
      <c r="A1471">
        <v>21488</v>
      </c>
      <c r="B1471">
        <f t="shared" si="22"/>
        <v>21500</v>
      </c>
      <c r="C1471" s="13">
        <v>-3.0228000000000002</v>
      </c>
      <c r="D1471" s="13">
        <v>-2.7397999999999998</v>
      </c>
      <c r="E1471" s="13">
        <v>-3.3058000000000001</v>
      </c>
    </row>
    <row r="1472" spans="1:5" x14ac:dyDescent="0.2">
      <c r="A1472">
        <v>21498</v>
      </c>
      <c r="B1472">
        <f t="shared" si="22"/>
        <v>21500</v>
      </c>
      <c r="C1472" s="13">
        <v>-3.0171000000000001</v>
      </c>
      <c r="D1472" s="13">
        <v>-2.7322000000000002</v>
      </c>
      <c r="E1472" s="13">
        <v>-3.3020999999999998</v>
      </c>
    </row>
    <row r="1473" spans="1:5" x14ac:dyDescent="0.2">
      <c r="A1473">
        <v>21508</v>
      </c>
      <c r="B1473">
        <f t="shared" si="22"/>
        <v>21500</v>
      </c>
      <c r="C1473" s="13">
        <v>-3.0114000000000001</v>
      </c>
      <c r="D1473" s="13">
        <v>-2.7242000000000002</v>
      </c>
      <c r="E1473" s="13">
        <v>-3.2986</v>
      </c>
    </row>
    <row r="1474" spans="1:5" x14ac:dyDescent="0.2">
      <c r="A1474">
        <v>21518</v>
      </c>
      <c r="B1474">
        <f t="shared" si="22"/>
        <v>21500</v>
      </c>
      <c r="C1474" s="13">
        <v>-3.0055999999999998</v>
      </c>
      <c r="D1474" s="13">
        <v>-2.7160000000000002</v>
      </c>
      <c r="E1474" s="13">
        <v>-3.2951999999999999</v>
      </c>
    </row>
    <row r="1475" spans="1:5" x14ac:dyDescent="0.2">
      <c r="A1475">
        <v>21528</v>
      </c>
      <c r="B1475">
        <f t="shared" si="22"/>
        <v>21500</v>
      </c>
      <c r="C1475" s="13">
        <v>-2.9998</v>
      </c>
      <c r="D1475" s="13">
        <v>-2.7075</v>
      </c>
      <c r="E1475" s="13">
        <v>-3.2921</v>
      </c>
    </row>
    <row r="1476" spans="1:5" x14ac:dyDescent="0.2">
      <c r="A1476">
        <v>21538</v>
      </c>
      <c r="B1476">
        <f t="shared" ref="B1476:B1502" si="23">MROUND(A1476,100)</f>
        <v>21500</v>
      </c>
      <c r="C1476" s="13">
        <v>-2.9939</v>
      </c>
      <c r="D1476" s="13">
        <v>-2.6987999999999999</v>
      </c>
      <c r="E1476" s="13">
        <v>-3.2890999999999999</v>
      </c>
    </row>
    <row r="1477" spans="1:5" x14ac:dyDescent="0.2">
      <c r="A1477">
        <v>21548</v>
      </c>
      <c r="B1477">
        <f t="shared" si="23"/>
        <v>21500</v>
      </c>
      <c r="C1477" s="13">
        <v>-2.988</v>
      </c>
      <c r="D1477" s="13">
        <v>-2.6898</v>
      </c>
      <c r="E1477" s="13">
        <v>-3.2862</v>
      </c>
    </row>
    <row r="1478" spans="1:5" x14ac:dyDescent="0.2">
      <c r="A1478">
        <v>21558</v>
      </c>
      <c r="B1478">
        <f t="shared" si="23"/>
        <v>21600</v>
      </c>
      <c r="C1478" s="13">
        <v>-2.9821</v>
      </c>
      <c r="D1478" s="13">
        <v>-2.6806000000000001</v>
      </c>
      <c r="E1478" s="13">
        <v>-3.2835999999999999</v>
      </c>
    </row>
    <row r="1479" spans="1:5" x14ac:dyDescent="0.2">
      <c r="A1479">
        <v>21568</v>
      </c>
      <c r="B1479">
        <f t="shared" si="23"/>
        <v>21600</v>
      </c>
      <c r="C1479" s="13">
        <v>-2.9761000000000002</v>
      </c>
      <c r="D1479" s="13">
        <v>-2.6711</v>
      </c>
      <c r="E1479" s="13">
        <v>-3.2810999999999999</v>
      </c>
    </row>
    <row r="1480" spans="1:5" x14ac:dyDescent="0.2">
      <c r="A1480">
        <v>21578</v>
      </c>
      <c r="B1480">
        <f t="shared" si="23"/>
        <v>21600</v>
      </c>
      <c r="C1480" s="13">
        <v>-2.9701</v>
      </c>
      <c r="D1480" s="13">
        <v>-2.6614</v>
      </c>
      <c r="E1480" s="13">
        <v>-3.2787999999999999</v>
      </c>
    </row>
    <row r="1481" spans="1:5" x14ac:dyDescent="0.2">
      <c r="A1481">
        <v>21588</v>
      </c>
      <c r="B1481">
        <f t="shared" si="23"/>
        <v>21600</v>
      </c>
      <c r="C1481" s="13">
        <v>-2.9641000000000002</v>
      </c>
      <c r="D1481" s="13">
        <v>-2.6515</v>
      </c>
      <c r="E1481" s="13">
        <v>-3.2766999999999999</v>
      </c>
    </row>
    <row r="1482" spans="1:5" x14ac:dyDescent="0.2">
      <c r="A1482">
        <v>21599</v>
      </c>
      <c r="B1482">
        <f t="shared" si="23"/>
        <v>21600</v>
      </c>
      <c r="C1482" s="13">
        <v>-2.9581</v>
      </c>
      <c r="D1482" s="13">
        <v>-2.6414</v>
      </c>
      <c r="E1482" s="13">
        <v>-3.2747000000000002</v>
      </c>
    </row>
    <row r="1483" spans="1:5" x14ac:dyDescent="0.2">
      <c r="A1483">
        <v>21609</v>
      </c>
      <c r="B1483">
        <f t="shared" si="23"/>
        <v>21600</v>
      </c>
      <c r="C1483" s="13">
        <v>-2.952</v>
      </c>
      <c r="D1483" s="13">
        <v>-2.6311</v>
      </c>
      <c r="E1483" s="13">
        <v>-3.2728999999999999</v>
      </c>
    </row>
    <row r="1484" spans="1:5" x14ac:dyDescent="0.2">
      <c r="A1484">
        <v>21619</v>
      </c>
      <c r="B1484">
        <f t="shared" si="23"/>
        <v>21600</v>
      </c>
      <c r="C1484" s="13">
        <v>-2.9459</v>
      </c>
      <c r="D1484" s="13">
        <v>-2.6206</v>
      </c>
      <c r="E1484" s="13">
        <v>-3.2711999999999999</v>
      </c>
    </row>
    <row r="1485" spans="1:5" x14ac:dyDescent="0.2">
      <c r="A1485">
        <v>21629</v>
      </c>
      <c r="B1485">
        <f t="shared" si="23"/>
        <v>21600</v>
      </c>
      <c r="C1485" s="13">
        <v>-2.9398</v>
      </c>
      <c r="D1485" s="13">
        <v>-2.61</v>
      </c>
      <c r="E1485" s="13">
        <v>-3.2696999999999998</v>
      </c>
    </row>
    <row r="1486" spans="1:5" x14ac:dyDescent="0.2">
      <c r="A1486">
        <v>21639</v>
      </c>
      <c r="B1486">
        <f t="shared" si="23"/>
        <v>21600</v>
      </c>
      <c r="C1486" s="13">
        <v>-2.9337</v>
      </c>
      <c r="D1486" s="13">
        <v>-2.5991</v>
      </c>
      <c r="E1486" s="13">
        <v>-3.2684000000000002</v>
      </c>
    </row>
    <row r="1487" spans="1:5" x14ac:dyDescent="0.2">
      <c r="A1487">
        <v>21649</v>
      </c>
      <c r="B1487">
        <f t="shared" si="23"/>
        <v>21600</v>
      </c>
      <c r="C1487" s="13">
        <v>-2.9276</v>
      </c>
      <c r="D1487" s="13">
        <v>-2.5880999999999998</v>
      </c>
      <c r="E1487" s="13">
        <v>-3.2671999999999999</v>
      </c>
    </row>
    <row r="1488" spans="1:5" x14ac:dyDescent="0.2">
      <c r="A1488">
        <v>21659</v>
      </c>
      <c r="B1488">
        <f t="shared" si="23"/>
        <v>21700</v>
      </c>
      <c r="C1488" s="13">
        <v>-2.9215</v>
      </c>
      <c r="D1488" s="13">
        <v>-2.577</v>
      </c>
      <c r="E1488" s="13">
        <v>-3.2660999999999998</v>
      </c>
    </row>
    <row r="1489" spans="1:5" x14ac:dyDescent="0.2">
      <c r="A1489">
        <v>21669</v>
      </c>
      <c r="B1489">
        <f t="shared" si="23"/>
        <v>21700</v>
      </c>
      <c r="C1489" s="13">
        <v>-2.9154</v>
      </c>
      <c r="D1489" s="13">
        <v>-2.5657000000000001</v>
      </c>
      <c r="E1489" s="13">
        <v>-3.2652000000000001</v>
      </c>
    </row>
    <row r="1490" spans="1:5" x14ac:dyDescent="0.2">
      <c r="A1490">
        <v>21679</v>
      </c>
      <c r="B1490">
        <f t="shared" si="23"/>
        <v>21700</v>
      </c>
      <c r="C1490" s="13">
        <v>-2.9093</v>
      </c>
      <c r="D1490" s="13">
        <v>-2.5543</v>
      </c>
      <c r="E1490" s="13">
        <v>-3.2644000000000002</v>
      </c>
    </row>
    <row r="1491" spans="1:5" x14ac:dyDescent="0.2">
      <c r="A1491">
        <v>21689</v>
      </c>
      <c r="B1491">
        <f t="shared" si="23"/>
        <v>21700</v>
      </c>
      <c r="C1491" s="13">
        <v>-2.9033000000000002</v>
      </c>
      <c r="D1491" s="13">
        <v>-2.5427</v>
      </c>
      <c r="E1491" s="13">
        <v>-3.2637999999999998</v>
      </c>
    </row>
    <row r="1492" spans="1:5" x14ac:dyDescent="0.2">
      <c r="A1492">
        <v>21699</v>
      </c>
      <c r="B1492">
        <f t="shared" si="23"/>
        <v>21700</v>
      </c>
      <c r="C1492" s="13">
        <v>-2.8972000000000002</v>
      </c>
      <c r="D1492" s="13">
        <v>-2.5310999999999999</v>
      </c>
      <c r="E1492" s="13">
        <v>-3.2631999999999999</v>
      </c>
    </row>
    <row r="1493" spans="1:5" x14ac:dyDescent="0.2">
      <c r="A1493">
        <v>21709</v>
      </c>
      <c r="B1493">
        <f t="shared" si="23"/>
        <v>21700</v>
      </c>
      <c r="C1493" s="13">
        <v>-2.8910999999999998</v>
      </c>
      <c r="D1493" s="13">
        <v>-2.5194000000000001</v>
      </c>
      <c r="E1493" s="13">
        <v>-3.2627999999999999</v>
      </c>
    </row>
    <row r="1494" spans="1:5" x14ac:dyDescent="0.2">
      <c r="A1494">
        <v>21719</v>
      </c>
      <c r="B1494">
        <f t="shared" si="23"/>
        <v>21700</v>
      </c>
      <c r="C1494" s="13">
        <v>-2.8851</v>
      </c>
      <c r="D1494" s="13">
        <v>-2.5076000000000001</v>
      </c>
      <c r="E1494" s="13">
        <v>-3.2625000000000002</v>
      </c>
    </row>
    <row r="1495" spans="1:5" x14ac:dyDescent="0.2">
      <c r="A1495">
        <v>21729</v>
      </c>
      <c r="B1495">
        <f t="shared" si="23"/>
        <v>21700</v>
      </c>
      <c r="C1495" s="13">
        <v>-2.879</v>
      </c>
      <c r="D1495" s="13">
        <v>-2.4956999999999998</v>
      </c>
      <c r="E1495" s="13">
        <v>-3.2624</v>
      </c>
    </row>
    <row r="1496" spans="1:5" x14ac:dyDescent="0.2">
      <c r="A1496">
        <v>21740</v>
      </c>
      <c r="B1496">
        <f t="shared" si="23"/>
        <v>21700</v>
      </c>
      <c r="C1496" s="13">
        <v>-2.8730000000000002</v>
      </c>
      <c r="D1496" s="13">
        <v>-2.4836999999999998</v>
      </c>
      <c r="E1496" s="13">
        <v>-3.2623000000000002</v>
      </c>
    </row>
    <row r="1497" spans="1:5" x14ac:dyDescent="0.2">
      <c r="A1497">
        <v>21750</v>
      </c>
      <c r="B1497">
        <f t="shared" si="23"/>
        <v>21800</v>
      </c>
      <c r="C1497" s="13">
        <v>-2.867</v>
      </c>
      <c r="D1497" s="13">
        <v>-2.4716999999999998</v>
      </c>
      <c r="E1497" s="13">
        <v>-3.2623000000000002</v>
      </c>
    </row>
    <row r="1498" spans="1:5" x14ac:dyDescent="0.2">
      <c r="A1498">
        <v>21760</v>
      </c>
      <c r="B1498">
        <f t="shared" si="23"/>
        <v>21800</v>
      </c>
      <c r="C1498" s="13">
        <v>-2.8611</v>
      </c>
      <c r="D1498" s="13">
        <v>-2.4597000000000002</v>
      </c>
      <c r="E1498" s="13">
        <v>-3.2625000000000002</v>
      </c>
    </row>
    <row r="1499" spans="1:5" x14ac:dyDescent="0.2">
      <c r="A1499">
        <v>21770</v>
      </c>
      <c r="B1499">
        <f t="shared" si="23"/>
        <v>21800</v>
      </c>
      <c r="C1499" s="13">
        <v>-2.8551000000000002</v>
      </c>
      <c r="D1499" s="13">
        <v>-2.4476</v>
      </c>
      <c r="E1499" s="13">
        <v>-3.2627000000000002</v>
      </c>
    </row>
    <row r="1500" spans="1:5" x14ac:dyDescent="0.2">
      <c r="A1500">
        <v>21780</v>
      </c>
      <c r="B1500">
        <f t="shared" si="23"/>
        <v>21800</v>
      </c>
      <c r="C1500" s="13">
        <v>-2.8492000000000002</v>
      </c>
      <c r="D1500" s="13">
        <v>-2.4355000000000002</v>
      </c>
      <c r="E1500" s="13">
        <v>-3.2629999999999999</v>
      </c>
    </row>
    <row r="1501" spans="1:5" x14ac:dyDescent="0.2">
      <c r="A1501">
        <v>21790</v>
      </c>
      <c r="B1501">
        <f t="shared" si="23"/>
        <v>21800</v>
      </c>
      <c r="C1501" s="13">
        <v>-2.8433999999999999</v>
      </c>
      <c r="D1501" s="13">
        <v>-2.4234</v>
      </c>
      <c r="E1501" s="13">
        <v>-3.2633999999999999</v>
      </c>
    </row>
    <row r="1502" spans="1:5" x14ac:dyDescent="0.2">
      <c r="A1502">
        <v>21800</v>
      </c>
      <c r="B1502">
        <f t="shared" si="23"/>
        <v>21800</v>
      </c>
      <c r="C1502" s="13">
        <v>-2.8376000000000001</v>
      </c>
      <c r="D1502" s="13">
        <v>-2.4112</v>
      </c>
      <c r="E1502" s="13">
        <v>-3.2639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F256-0912-B14A-BC35-B0CBF16A2151}">
  <dimension ref="A1:AP91"/>
  <sheetViews>
    <sheetView topLeftCell="A25" zoomScale="111" workbookViewId="0">
      <selection activeCell="G62" sqref="G62"/>
    </sheetView>
  </sheetViews>
  <sheetFormatPr baseColWidth="10" defaultRowHeight="16" x14ac:dyDescent="0.2"/>
  <cols>
    <col min="4" max="7" width="12.6640625" bestFit="1" customWidth="1"/>
    <col min="10" max="10" width="12.6640625" bestFit="1" customWidth="1"/>
  </cols>
  <sheetData>
    <row r="1" spans="1:10" x14ac:dyDescent="0.2">
      <c r="A1" t="s">
        <v>56</v>
      </c>
      <c r="B1" t="s">
        <v>57</v>
      </c>
      <c r="C1" t="s">
        <v>58</v>
      </c>
      <c r="D1" t="s">
        <v>59</v>
      </c>
      <c r="E1" t="s">
        <v>62</v>
      </c>
      <c r="F1" t="s">
        <v>65</v>
      </c>
      <c r="G1" t="s">
        <v>63</v>
      </c>
      <c r="H1" t="s">
        <v>64</v>
      </c>
      <c r="I1" t="s">
        <v>60</v>
      </c>
      <c r="J1" t="s">
        <v>61</v>
      </c>
    </row>
    <row r="2" spans="1:10" x14ac:dyDescent="0.2">
      <c r="E2">
        <v>39.61</v>
      </c>
      <c r="F2">
        <v>4.2</v>
      </c>
      <c r="I2">
        <v>1.0271999999999999</v>
      </c>
      <c r="J2">
        <v>27.2</v>
      </c>
    </row>
    <row r="19" spans="1:11" x14ac:dyDescent="0.2">
      <c r="E19" t="s">
        <v>74</v>
      </c>
      <c r="F19" t="s">
        <v>75</v>
      </c>
    </row>
    <row r="20" spans="1:11" x14ac:dyDescent="0.2">
      <c r="C20" s="16">
        <f>LOG(D20)*-1</f>
        <v>8.5797480666878823</v>
      </c>
      <c r="D20">
        <f>(EXP(E20))</f>
        <v>2.6317942474507623E-9</v>
      </c>
      <c r="E20" s="2">
        <v>-19.755600000000001</v>
      </c>
      <c r="F20" s="2">
        <v>8.5790000000000006</v>
      </c>
      <c r="G20">
        <f>10^(-F20)</f>
        <v>2.6363313858253732E-9</v>
      </c>
      <c r="H20">
        <f>LN(G20)</f>
        <v>-19.753877512795921</v>
      </c>
      <c r="J20">
        <f>10^(-8.6)</f>
        <v>2.5118864315095812E-9</v>
      </c>
      <c r="K20">
        <f>LOG(J20)</f>
        <v>-8.6</v>
      </c>
    </row>
    <row r="21" spans="1:11" x14ac:dyDescent="0.2">
      <c r="D21">
        <f>LN(E21)</f>
        <v>-5.0618558788394205E-2</v>
      </c>
      <c r="E21">
        <f>EXP(1/E20)</f>
        <v>0.95064121512020561</v>
      </c>
      <c r="F21">
        <f>LN(1/F20)</f>
        <v>-2.1493173565908283</v>
      </c>
    </row>
    <row r="22" spans="1:11" x14ac:dyDescent="0.2">
      <c r="D22">
        <f>LN(E22)</f>
        <v>1.0930759900964988</v>
      </c>
      <c r="E22">
        <f>LN(-E20)</f>
        <v>2.9834369954598392</v>
      </c>
      <c r="F22">
        <f>EXP(1/F20)</f>
        <v>1.1236290856784394</v>
      </c>
    </row>
    <row r="23" spans="1:11" x14ac:dyDescent="0.2">
      <c r="D23">
        <f>LN(E23)</f>
        <v>0.25904354484854303</v>
      </c>
      <c r="E23">
        <f>LOG(-E20)</f>
        <v>1.2956902242342252</v>
      </c>
      <c r="F23">
        <f>LOG(F20)</f>
        <v>0.93343666782628054</v>
      </c>
    </row>
    <row r="24" spans="1:11" x14ac:dyDescent="0.2">
      <c r="E24">
        <f>LOG10(-E20)</f>
        <v>1.2956902242342252</v>
      </c>
    </row>
    <row r="30" spans="1:11" x14ac:dyDescent="0.2">
      <c r="A30" s="2" t="s">
        <v>80</v>
      </c>
      <c r="C30" t="s">
        <v>78</v>
      </c>
      <c r="D30" t="s">
        <v>79</v>
      </c>
      <c r="E30" s="2" t="s">
        <v>77</v>
      </c>
      <c r="G30" t="s">
        <v>76</v>
      </c>
    </row>
    <row r="31" spans="1:11" x14ac:dyDescent="0.2">
      <c r="C31" s="13">
        <f>D31-273</f>
        <v>20.149999999999977</v>
      </c>
      <c r="D31">
        <v>293.14999999999998</v>
      </c>
      <c r="E31" s="22">
        <v>-19.891200000000001</v>
      </c>
      <c r="F31" s="2">
        <f>EXP(E31)</f>
        <v>2.2980612597971195E-9</v>
      </c>
      <c r="G31" s="19">
        <f>LOG(F31)*-1</f>
        <v>8.6386383984339634</v>
      </c>
    </row>
    <row r="32" spans="1:11" s="23" customFormat="1" x14ac:dyDescent="0.2">
      <c r="A32" s="23">
        <v>-3.1</v>
      </c>
      <c r="C32" s="25">
        <f>C34-0.6</f>
        <v>20.399999999999999</v>
      </c>
      <c r="D32" s="25">
        <f>273+C32</f>
        <v>293.39999999999998</v>
      </c>
      <c r="E32" s="28">
        <f t="shared" ref="E32:E61" si="0">((D32-D$31)/(D$62-D$31))*(E$62-E$31)+E$31</f>
        <v>-19.884420000000002</v>
      </c>
      <c r="F32" s="23">
        <f>EXP(E32)</f>
        <v>2.3136950538119229E-9</v>
      </c>
      <c r="G32" s="26">
        <f>LOG(F32)*-1</f>
        <v>8.6356938818466595</v>
      </c>
    </row>
    <row r="33" spans="1:42" s="23" customFormat="1" x14ac:dyDescent="0.2">
      <c r="A33" s="23">
        <v>-2.8</v>
      </c>
      <c r="C33" s="25">
        <f>C35-0.4</f>
        <v>20.700000000000003</v>
      </c>
      <c r="D33" s="25">
        <f>273+C33</f>
        <v>293.7</v>
      </c>
      <c r="E33" s="28">
        <f t="shared" si="0"/>
        <v>-19.876284000000002</v>
      </c>
      <c r="F33" s="23">
        <f>EXP(E33)</f>
        <v>2.3325960618084913E-9</v>
      </c>
      <c r="G33" s="26">
        <f>LOG(F33)*-1</f>
        <v>8.6321604619418952</v>
      </c>
    </row>
    <row r="34" spans="1:42" x14ac:dyDescent="0.2">
      <c r="A34">
        <v>-2.5</v>
      </c>
      <c r="B34">
        <v>0</v>
      </c>
      <c r="C34" s="13">
        <f t="shared" ref="C34:C62" si="1">D34-273</f>
        <v>21</v>
      </c>
      <c r="D34">
        <v>294</v>
      </c>
      <c r="E34" s="15">
        <f t="shared" si="0"/>
        <v>-19.868148000000001</v>
      </c>
      <c r="F34" s="23">
        <f>EXP(E34)</f>
        <v>2.3516514756774745E-9</v>
      </c>
      <c r="G34" s="26">
        <f>LOG(F34)*-1</f>
        <v>8.6286270420371292</v>
      </c>
      <c r="AL34" s="13"/>
      <c r="AN34" s="15"/>
      <c r="AO34" s="23"/>
      <c r="AP34" s="24"/>
    </row>
    <row r="35" spans="1:42" x14ac:dyDescent="0.2">
      <c r="A35">
        <f t="shared" ref="A35:A59" si="2">A$34+B35</f>
        <v>-2.4</v>
      </c>
      <c r="B35">
        <v>0.1</v>
      </c>
      <c r="C35" s="13">
        <f t="shared" ref="C35:C49" si="3">C$34+B35</f>
        <v>21.1</v>
      </c>
      <c r="D35" s="13">
        <f>(C35-C34)+D34</f>
        <v>294.10000000000002</v>
      </c>
      <c r="E35" s="15">
        <f t="shared" si="0"/>
        <v>-19.865435999999999</v>
      </c>
      <c r="F35" s="23">
        <f>EXP(E35)</f>
        <v>2.3580378104351886E-9</v>
      </c>
      <c r="G35" s="26">
        <f>LOG(F35)*-1</f>
        <v>8.6274492354022065</v>
      </c>
      <c r="AL35" s="13"/>
      <c r="AM35" s="13"/>
      <c r="AN35" s="15"/>
      <c r="AO35" s="23"/>
      <c r="AP35" s="24"/>
    </row>
    <row r="36" spans="1:42" x14ac:dyDescent="0.2">
      <c r="A36">
        <f t="shared" si="2"/>
        <v>-2.2999999999999998</v>
      </c>
      <c r="B36">
        <v>0.2</v>
      </c>
      <c r="C36" s="13">
        <f t="shared" si="3"/>
        <v>21.2</v>
      </c>
      <c r="D36" s="13">
        <f>(C36-C35)+D35</f>
        <v>294.20000000000005</v>
      </c>
      <c r="E36" s="15">
        <f t="shared" si="0"/>
        <v>-19.862724</v>
      </c>
      <c r="F36" s="23">
        <f t="shared" ref="F36:F43" si="4">EXP(E36)</f>
        <v>2.3644414884395697E-9</v>
      </c>
      <c r="G36" s="26">
        <f t="shared" ref="G36:G43" si="5">LOG(F36)*-1</f>
        <v>8.6262714287672857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L36" s="13"/>
      <c r="AM36" s="13"/>
      <c r="AN36" s="15"/>
      <c r="AO36" s="23"/>
      <c r="AP36" s="24"/>
    </row>
    <row r="37" spans="1:42" x14ac:dyDescent="0.2">
      <c r="A37">
        <f t="shared" si="2"/>
        <v>-2.2000000000000002</v>
      </c>
      <c r="B37">
        <v>0.3</v>
      </c>
      <c r="C37" s="13">
        <f t="shared" si="3"/>
        <v>21.3</v>
      </c>
      <c r="D37" s="13">
        <f>(C37-C36)+D36</f>
        <v>294.30000000000007</v>
      </c>
      <c r="E37" s="15">
        <f t="shared" si="0"/>
        <v>-19.860011999999998</v>
      </c>
      <c r="F37" s="23">
        <f t="shared" si="4"/>
        <v>2.3708625567893564E-9</v>
      </c>
      <c r="G37" s="26">
        <f t="shared" si="5"/>
        <v>8.6250936221323631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L37" s="13"/>
      <c r="AM37" s="13"/>
      <c r="AN37" s="15"/>
      <c r="AO37" s="23"/>
      <c r="AP37" s="24"/>
    </row>
    <row r="38" spans="1:42" x14ac:dyDescent="0.2">
      <c r="A38">
        <f t="shared" si="2"/>
        <v>-2.1</v>
      </c>
      <c r="B38">
        <v>0.4</v>
      </c>
      <c r="C38" s="13">
        <f t="shared" si="3"/>
        <v>21.4</v>
      </c>
      <c r="D38" s="13">
        <f>(C38-C37)+D37</f>
        <v>294.40000000000009</v>
      </c>
      <c r="E38" s="15">
        <f t="shared" si="0"/>
        <v>-19.857299999999999</v>
      </c>
      <c r="F38" s="23">
        <f t="shared" si="4"/>
        <v>2.3773010627111595E-9</v>
      </c>
      <c r="G38" s="26">
        <f t="shared" si="5"/>
        <v>8.6239158154974422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L38" s="13"/>
      <c r="AM38" s="13"/>
      <c r="AN38" s="15"/>
      <c r="AO38" s="23"/>
      <c r="AP38" s="24"/>
    </row>
    <row r="39" spans="1:42" x14ac:dyDescent="0.2">
      <c r="A39">
        <f t="shared" si="2"/>
        <v>-2</v>
      </c>
      <c r="B39">
        <v>0.5</v>
      </c>
      <c r="C39" s="13">
        <f t="shared" si="3"/>
        <v>21.5</v>
      </c>
      <c r="D39" s="13">
        <f>(C39-C38)+D38</f>
        <v>294.50000000000011</v>
      </c>
      <c r="E39" s="15">
        <f t="shared" si="0"/>
        <v>-19.854587999999996</v>
      </c>
      <c r="F39" s="23">
        <f t="shared" si="4"/>
        <v>2.3837570535598755E-9</v>
      </c>
      <c r="G39" s="26">
        <f t="shared" si="5"/>
        <v>8.6227380088625196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L39" s="13"/>
      <c r="AM39" s="13"/>
      <c r="AN39" s="15"/>
      <c r="AO39" s="23"/>
      <c r="AP39" s="24"/>
    </row>
    <row r="40" spans="1:42" x14ac:dyDescent="0.2">
      <c r="A40">
        <f t="shared" si="2"/>
        <v>-1.9</v>
      </c>
      <c r="B40">
        <v>0.6</v>
      </c>
      <c r="C40" s="13">
        <f t="shared" si="3"/>
        <v>21.6</v>
      </c>
      <c r="D40" s="13">
        <f t="shared" ref="D40:D53" si="6">(C40-C39)+D39</f>
        <v>294.60000000000014</v>
      </c>
      <c r="E40" s="15">
        <f t="shared" si="0"/>
        <v>-19.851875999999997</v>
      </c>
      <c r="F40" s="23">
        <f t="shared" si="4"/>
        <v>2.390230576818967E-9</v>
      </c>
      <c r="G40" s="26">
        <f t="shared" si="5"/>
        <v>8.6215602022275988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L40" s="13"/>
      <c r="AM40" s="13"/>
      <c r="AN40" s="15"/>
      <c r="AO40" s="23"/>
      <c r="AP40" s="24"/>
    </row>
    <row r="41" spans="1:42" x14ac:dyDescent="0.2">
      <c r="A41">
        <f t="shared" si="2"/>
        <v>-1.8</v>
      </c>
      <c r="B41">
        <v>0.7</v>
      </c>
      <c r="C41" s="13">
        <f t="shared" si="3"/>
        <v>21.7</v>
      </c>
      <c r="D41" s="13">
        <f t="shared" si="6"/>
        <v>294.70000000000016</v>
      </c>
      <c r="E41" s="15">
        <f t="shared" si="0"/>
        <v>-19.849163999999995</v>
      </c>
      <c r="F41" s="23">
        <f t="shared" si="4"/>
        <v>2.3967216801008817E-9</v>
      </c>
      <c r="G41" s="26">
        <f t="shared" si="5"/>
        <v>8.6203823955926762</v>
      </c>
      <c r="AL41" s="13"/>
      <c r="AM41" s="13"/>
      <c r="AN41" s="15"/>
      <c r="AO41" s="23"/>
      <c r="AP41" s="24"/>
    </row>
    <row r="42" spans="1:42" x14ac:dyDescent="0.2">
      <c r="A42">
        <f t="shared" si="2"/>
        <v>-1.7</v>
      </c>
      <c r="B42">
        <v>0.8</v>
      </c>
      <c r="C42" s="13">
        <f t="shared" si="3"/>
        <v>21.8</v>
      </c>
      <c r="D42" s="13">
        <f t="shared" si="6"/>
        <v>294.80000000000018</v>
      </c>
      <c r="E42" s="15">
        <f t="shared" si="0"/>
        <v>-19.846451999999996</v>
      </c>
      <c r="F42" s="23">
        <f t="shared" si="4"/>
        <v>2.4032304111473328E-9</v>
      </c>
      <c r="G42" s="26">
        <f t="shared" si="5"/>
        <v>8.6192045889577535</v>
      </c>
      <c r="AL42" s="13"/>
      <c r="AM42" s="13"/>
      <c r="AN42" s="15"/>
      <c r="AO42" s="23"/>
      <c r="AP42" s="24"/>
    </row>
    <row r="43" spans="1:42" x14ac:dyDescent="0.2">
      <c r="A43">
        <f t="shared" si="2"/>
        <v>-1.6</v>
      </c>
      <c r="B43">
        <v>0.9</v>
      </c>
      <c r="C43" s="13">
        <f t="shared" si="3"/>
        <v>21.9</v>
      </c>
      <c r="D43" s="13">
        <f t="shared" si="6"/>
        <v>294.9000000000002</v>
      </c>
      <c r="E43" s="15">
        <f t="shared" si="0"/>
        <v>-19.843739999999997</v>
      </c>
      <c r="F43" s="23">
        <f t="shared" si="4"/>
        <v>2.4097568178297106E-9</v>
      </c>
      <c r="G43" s="26">
        <f t="shared" si="5"/>
        <v>8.6180267823228327</v>
      </c>
      <c r="AL43" s="13"/>
      <c r="AM43" s="13"/>
      <c r="AN43" s="15"/>
      <c r="AO43" s="23"/>
      <c r="AP43" s="24"/>
    </row>
    <row r="44" spans="1:42" x14ac:dyDescent="0.2">
      <c r="A44">
        <f t="shared" si="2"/>
        <v>-1.5</v>
      </c>
      <c r="B44">
        <v>1</v>
      </c>
      <c r="C44" s="13">
        <f t="shared" si="3"/>
        <v>22</v>
      </c>
      <c r="D44" s="13">
        <f t="shared" si="6"/>
        <v>295.00000000000023</v>
      </c>
      <c r="E44" s="15">
        <f t="shared" si="0"/>
        <v>-19.841027999999994</v>
      </c>
      <c r="F44" s="23">
        <f t="shared" ref="F44:F61" si="7">EXP(E44)</f>
        <v>2.4163009481494087E-9</v>
      </c>
      <c r="G44" s="26">
        <f t="shared" ref="G44:G61" si="8">LOG(F44)*-1</f>
        <v>8.6168489756879101</v>
      </c>
      <c r="AL44" s="13"/>
      <c r="AM44" s="13"/>
      <c r="AN44" s="15"/>
      <c r="AO44" s="23"/>
      <c r="AP44" s="24"/>
    </row>
    <row r="45" spans="1:42" x14ac:dyDescent="0.2">
      <c r="A45">
        <f t="shared" si="2"/>
        <v>-1.4</v>
      </c>
      <c r="B45">
        <v>1.1000000000000001</v>
      </c>
      <c r="C45" s="13">
        <f t="shared" si="3"/>
        <v>22.1</v>
      </c>
      <c r="D45" s="13">
        <f t="shared" si="6"/>
        <v>295.10000000000025</v>
      </c>
      <c r="E45" s="15">
        <f t="shared" si="0"/>
        <v>-19.838315999999995</v>
      </c>
      <c r="F45" s="23">
        <f t="shared" si="7"/>
        <v>2.4228628502381516E-9</v>
      </c>
      <c r="G45" s="26">
        <f t="shared" si="8"/>
        <v>8.6156711690529892</v>
      </c>
      <c r="AL45" s="13"/>
      <c r="AM45" s="13"/>
      <c r="AN45" s="15"/>
      <c r="AO45" s="23"/>
      <c r="AP45" s="24"/>
    </row>
    <row r="46" spans="1:42" x14ac:dyDescent="0.2">
      <c r="A46">
        <f t="shared" si="2"/>
        <v>-1.3</v>
      </c>
      <c r="B46">
        <v>1.2</v>
      </c>
      <c r="C46" s="13">
        <f t="shared" si="3"/>
        <v>22.2</v>
      </c>
      <c r="D46" s="13">
        <f t="shared" si="6"/>
        <v>295.20000000000027</v>
      </c>
      <c r="E46" s="15">
        <f t="shared" si="0"/>
        <v>-19.835603999999993</v>
      </c>
      <c r="F46" s="23">
        <f t="shared" si="7"/>
        <v>2.4294425723584085E-9</v>
      </c>
      <c r="G46" s="26">
        <f t="shared" si="8"/>
        <v>8.6144933624180666</v>
      </c>
      <c r="AL46" s="13"/>
      <c r="AM46" s="13"/>
      <c r="AN46" s="15"/>
      <c r="AO46" s="23"/>
      <c r="AP46" s="24"/>
    </row>
    <row r="47" spans="1:42" x14ac:dyDescent="0.2">
      <c r="A47">
        <f t="shared" si="2"/>
        <v>-1.2</v>
      </c>
      <c r="B47">
        <v>1.3</v>
      </c>
      <c r="C47" s="13">
        <f t="shared" si="3"/>
        <v>22.3</v>
      </c>
      <c r="D47" s="13">
        <f t="shared" si="6"/>
        <v>295.3000000000003</v>
      </c>
      <c r="E47" s="15">
        <f t="shared" si="0"/>
        <v>-19.832891999999994</v>
      </c>
      <c r="F47" s="23">
        <f t="shared" si="7"/>
        <v>2.4360401629036795E-9</v>
      </c>
      <c r="G47" s="26">
        <f t="shared" si="8"/>
        <v>8.6133155557831458</v>
      </c>
      <c r="AL47" s="13"/>
      <c r="AM47" s="13"/>
      <c r="AN47" s="15"/>
      <c r="AO47" s="23"/>
      <c r="AP47" s="24"/>
    </row>
    <row r="48" spans="1:42" x14ac:dyDescent="0.2">
      <c r="A48">
        <f t="shared" si="2"/>
        <v>-1.1000000000000001</v>
      </c>
      <c r="B48">
        <v>1.4</v>
      </c>
      <c r="C48" s="13">
        <f t="shared" si="3"/>
        <v>22.4</v>
      </c>
      <c r="D48" s="13">
        <f t="shared" si="6"/>
        <v>295.40000000000032</v>
      </c>
      <c r="E48" s="15">
        <f t="shared" si="0"/>
        <v>-19.830179999999991</v>
      </c>
      <c r="F48" s="23">
        <f t="shared" si="7"/>
        <v>2.4426556703989205E-9</v>
      </c>
      <c r="G48" s="26">
        <f t="shared" si="8"/>
        <v>8.6121377491482232</v>
      </c>
      <c r="AL48" s="13"/>
      <c r="AM48" s="13"/>
      <c r="AN48" s="15"/>
      <c r="AO48" s="23"/>
      <c r="AP48" s="24"/>
    </row>
    <row r="49" spans="1:42" x14ac:dyDescent="0.2">
      <c r="A49">
        <f t="shared" si="2"/>
        <v>-1</v>
      </c>
      <c r="B49">
        <v>1.5</v>
      </c>
      <c r="C49" s="13">
        <f t="shared" si="3"/>
        <v>22.5</v>
      </c>
      <c r="D49" s="13">
        <f t="shared" si="6"/>
        <v>295.50000000000034</v>
      </c>
      <c r="E49" s="15">
        <f t="shared" si="0"/>
        <v>-19.827467999999993</v>
      </c>
      <c r="F49" s="23">
        <f t="shared" si="7"/>
        <v>2.4492891435008312E-9</v>
      </c>
      <c r="G49" s="26">
        <f t="shared" si="8"/>
        <v>8.6109599425133023</v>
      </c>
      <c r="AL49" s="13"/>
      <c r="AM49" s="13"/>
      <c r="AN49" s="15"/>
      <c r="AO49" s="23"/>
      <c r="AP49" s="24"/>
    </row>
    <row r="50" spans="1:42" x14ac:dyDescent="0.2">
      <c r="A50">
        <f t="shared" si="2"/>
        <v>-0.89999999999999991</v>
      </c>
      <c r="B50">
        <v>1.6</v>
      </c>
      <c r="C50" s="13">
        <f t="shared" ref="C50:C58" si="9">C$34+B50</f>
        <v>22.6</v>
      </c>
      <c r="D50" s="13">
        <f t="shared" si="6"/>
        <v>295.60000000000036</v>
      </c>
      <c r="E50" s="15">
        <f t="shared" si="0"/>
        <v>-19.82475599999999</v>
      </c>
      <c r="F50" s="23">
        <f t="shared" si="7"/>
        <v>2.4559406309982819E-9</v>
      </c>
      <c r="G50" s="26">
        <f t="shared" si="8"/>
        <v>8.6097821358783779</v>
      </c>
      <c r="AL50" s="13"/>
      <c r="AM50" s="13"/>
      <c r="AN50" s="15"/>
      <c r="AO50" s="23"/>
      <c r="AP50" s="24"/>
    </row>
    <row r="51" spans="1:42" x14ac:dyDescent="0.2">
      <c r="A51">
        <f t="shared" si="2"/>
        <v>-0.8</v>
      </c>
      <c r="B51">
        <v>1.7</v>
      </c>
      <c r="C51" s="13">
        <f t="shared" si="9"/>
        <v>22.7</v>
      </c>
      <c r="D51" s="13">
        <f t="shared" si="6"/>
        <v>295.70000000000039</v>
      </c>
      <c r="E51" s="15">
        <f t="shared" si="0"/>
        <v>-19.822043999999991</v>
      </c>
      <c r="F51" s="23">
        <f t="shared" si="7"/>
        <v>2.4626101818126038E-9</v>
      </c>
      <c r="G51" s="26">
        <f t="shared" si="8"/>
        <v>8.6086043292434571</v>
      </c>
      <c r="AL51" s="13"/>
      <c r="AM51" s="13"/>
      <c r="AN51" s="15"/>
      <c r="AO51" s="23"/>
      <c r="AP51" s="24"/>
    </row>
    <row r="52" spans="1:42" x14ac:dyDescent="0.2">
      <c r="A52">
        <f t="shared" si="2"/>
        <v>-0.7</v>
      </c>
      <c r="B52">
        <v>1.8</v>
      </c>
      <c r="C52" s="13">
        <f t="shared" si="9"/>
        <v>22.8</v>
      </c>
      <c r="D52" s="13">
        <f t="shared" si="6"/>
        <v>295.80000000000041</v>
      </c>
      <c r="E52" s="15">
        <f t="shared" si="0"/>
        <v>-19.819331999999989</v>
      </c>
      <c r="F52" s="23">
        <f t="shared" si="7"/>
        <v>2.4692978449980164E-9</v>
      </c>
      <c r="G52" s="26">
        <f t="shared" si="8"/>
        <v>8.6074265226085345</v>
      </c>
      <c r="AL52" s="13"/>
      <c r="AM52" s="13"/>
      <c r="AN52" s="15"/>
      <c r="AO52" s="23"/>
      <c r="AP52" s="24"/>
    </row>
    <row r="53" spans="1:42" x14ac:dyDescent="0.2">
      <c r="A53">
        <f t="shared" si="2"/>
        <v>-0.60000000000000009</v>
      </c>
      <c r="B53">
        <v>1.9</v>
      </c>
      <c r="C53" s="13">
        <f t="shared" si="9"/>
        <v>22.9</v>
      </c>
      <c r="D53" s="13">
        <f t="shared" si="6"/>
        <v>295.90000000000043</v>
      </c>
      <c r="E53" s="15">
        <f t="shared" si="0"/>
        <v>-19.81661999999999</v>
      </c>
      <c r="F53" s="23">
        <f t="shared" si="7"/>
        <v>2.4760036697419215E-9</v>
      </c>
      <c r="G53" s="26">
        <f t="shared" si="8"/>
        <v>8.6062487159736136</v>
      </c>
      <c r="AL53" s="13"/>
      <c r="AM53" s="13"/>
      <c r="AN53" s="15"/>
      <c r="AO53" s="23"/>
      <c r="AP53" s="24"/>
    </row>
    <row r="54" spans="1:42" x14ac:dyDescent="0.2">
      <c r="A54">
        <f t="shared" si="2"/>
        <v>-0.5</v>
      </c>
      <c r="B54">
        <v>2</v>
      </c>
      <c r="C54" s="13">
        <f t="shared" si="9"/>
        <v>23</v>
      </c>
      <c r="D54" s="13">
        <f t="shared" ref="D54:D58" si="10">(C54-C53)+D53</f>
        <v>296.00000000000045</v>
      </c>
      <c r="E54" s="15">
        <f t="shared" si="0"/>
        <v>-19.813907999999987</v>
      </c>
      <c r="F54" s="23">
        <f t="shared" si="7"/>
        <v>2.4827277053653311E-9</v>
      </c>
      <c r="G54" s="26">
        <f t="shared" si="8"/>
        <v>8.605070909338691</v>
      </c>
      <c r="AL54" s="13"/>
      <c r="AM54" s="13"/>
      <c r="AN54" s="15"/>
      <c r="AO54" s="23"/>
      <c r="AP54" s="24"/>
    </row>
    <row r="55" spans="1:42" x14ac:dyDescent="0.2">
      <c r="A55">
        <f t="shared" si="2"/>
        <v>-0.39999999999999991</v>
      </c>
      <c r="B55">
        <v>2.1</v>
      </c>
      <c r="C55" s="13">
        <f t="shared" si="9"/>
        <v>23.1</v>
      </c>
      <c r="D55" s="13">
        <f t="shared" si="10"/>
        <v>296.10000000000048</v>
      </c>
      <c r="E55" s="15">
        <f t="shared" si="0"/>
        <v>-19.811195999999988</v>
      </c>
      <c r="F55" s="23">
        <f t="shared" si="7"/>
        <v>2.4894700013231648E-9</v>
      </c>
      <c r="G55" s="26">
        <f t="shared" si="8"/>
        <v>8.6038931027037702</v>
      </c>
      <c r="AL55" s="13"/>
      <c r="AM55" s="13"/>
      <c r="AN55" s="15"/>
      <c r="AO55" s="23"/>
      <c r="AP55" s="24"/>
    </row>
    <row r="56" spans="1:42" x14ac:dyDescent="0.2">
      <c r="A56">
        <f t="shared" si="2"/>
        <v>-0.29999999999999982</v>
      </c>
      <c r="B56">
        <v>2.2000000000000002</v>
      </c>
      <c r="C56" s="13">
        <f t="shared" si="9"/>
        <v>23.2</v>
      </c>
      <c r="D56" s="13">
        <f t="shared" si="10"/>
        <v>296.2000000000005</v>
      </c>
      <c r="E56" s="15">
        <f t="shared" si="0"/>
        <v>-19.808483999999986</v>
      </c>
      <c r="F56" s="23">
        <f t="shared" si="7"/>
        <v>2.4962306072046786E-9</v>
      </c>
      <c r="G56" s="26">
        <f t="shared" si="8"/>
        <v>8.6027152960688476</v>
      </c>
      <c r="AL56" s="13"/>
      <c r="AM56" s="13"/>
      <c r="AN56" s="15"/>
      <c r="AO56" s="23"/>
      <c r="AP56" s="24"/>
    </row>
    <row r="57" spans="1:42" x14ac:dyDescent="0.2">
      <c r="A57">
        <f t="shared" si="2"/>
        <v>-0.20000000000000018</v>
      </c>
      <c r="B57">
        <v>2.2999999999999998</v>
      </c>
      <c r="C57" s="13">
        <f t="shared" si="9"/>
        <v>23.3</v>
      </c>
      <c r="D57" s="13">
        <f t="shared" si="10"/>
        <v>296.30000000000052</v>
      </c>
      <c r="E57" s="15">
        <f t="shared" si="0"/>
        <v>-19.805771999999987</v>
      </c>
      <c r="F57" s="23">
        <f t="shared" si="7"/>
        <v>2.5030095727337637E-9</v>
      </c>
      <c r="G57" s="26">
        <f t="shared" si="8"/>
        <v>8.6015374894339267</v>
      </c>
      <c r="AL57" s="13"/>
      <c r="AM57" s="13"/>
      <c r="AN57" s="15"/>
      <c r="AO57" s="23"/>
      <c r="AP57" s="24"/>
    </row>
    <row r="58" spans="1:42" x14ac:dyDescent="0.2">
      <c r="A58">
        <f t="shared" si="2"/>
        <v>-0.10000000000000009</v>
      </c>
      <c r="B58">
        <v>2.4</v>
      </c>
      <c r="C58" s="13">
        <f t="shared" si="9"/>
        <v>23.4</v>
      </c>
      <c r="D58" s="13">
        <f t="shared" si="10"/>
        <v>296.40000000000055</v>
      </c>
      <c r="E58" s="15">
        <f t="shared" si="0"/>
        <v>-19.803059999999984</v>
      </c>
      <c r="F58" s="23">
        <f t="shared" si="7"/>
        <v>2.50980694776938E-9</v>
      </c>
      <c r="G58" s="26">
        <f t="shared" si="8"/>
        <v>8.6003596827990041</v>
      </c>
      <c r="AL58" s="13"/>
      <c r="AM58" s="13"/>
      <c r="AN58" s="15"/>
      <c r="AO58" s="23"/>
      <c r="AP58" s="24"/>
    </row>
    <row r="59" spans="1:42" x14ac:dyDescent="0.2">
      <c r="A59">
        <f t="shared" si="2"/>
        <v>0</v>
      </c>
      <c r="B59">
        <v>2.5</v>
      </c>
      <c r="C59" s="13">
        <v>23.5</v>
      </c>
      <c r="D59">
        <f>D54+0.5</f>
        <v>296.50000000000045</v>
      </c>
      <c r="E59" s="15">
        <f t="shared" si="0"/>
        <v>-19.800347999999989</v>
      </c>
      <c r="F59" s="23">
        <f t="shared" si="7"/>
        <v>2.516622782305844E-9</v>
      </c>
      <c r="G59" s="26">
        <f t="shared" si="8"/>
        <v>8.5991818761640832</v>
      </c>
      <c r="AL59" s="13"/>
      <c r="AN59" s="15"/>
      <c r="AO59" s="23"/>
      <c r="AP59" s="24"/>
    </row>
    <row r="60" spans="1:42" x14ac:dyDescent="0.2">
      <c r="B60">
        <v>3</v>
      </c>
      <c r="C60" s="13">
        <f t="shared" si="1"/>
        <v>24</v>
      </c>
      <c r="D60">
        <v>297</v>
      </c>
      <c r="E60" s="15">
        <f t="shared" si="0"/>
        <v>-19.786788000000001</v>
      </c>
      <c r="F60" s="23">
        <f t="shared" si="7"/>
        <v>2.5509806068276778E-9</v>
      </c>
      <c r="G60" s="26">
        <f t="shared" si="8"/>
        <v>8.5932928429894808</v>
      </c>
    </row>
    <row r="61" spans="1:42" x14ac:dyDescent="0.2">
      <c r="B61">
        <v>4</v>
      </c>
      <c r="C61" s="13">
        <f t="shared" si="1"/>
        <v>25</v>
      </c>
      <c r="D61">
        <v>298</v>
      </c>
      <c r="E61" s="15">
        <f t="shared" si="0"/>
        <v>-19.759668000000001</v>
      </c>
      <c r="F61" s="23">
        <f t="shared" si="7"/>
        <v>2.6211098552402167E-9</v>
      </c>
      <c r="G61" s="26">
        <f t="shared" si="8"/>
        <v>8.5815147766402653</v>
      </c>
    </row>
    <row r="62" spans="1:42" x14ac:dyDescent="0.2">
      <c r="C62" s="13">
        <f t="shared" si="1"/>
        <v>25.149999999999977</v>
      </c>
      <c r="D62">
        <v>298.14999999999998</v>
      </c>
      <c r="E62" s="22">
        <v>-19.755600000000001</v>
      </c>
      <c r="F62" s="2">
        <f>EXP(E62)</f>
        <v>2.6317942474507623E-9</v>
      </c>
      <c r="G62" s="19">
        <f>LOG(F62)*-1</f>
        <v>8.5797480666878823</v>
      </c>
    </row>
    <row r="66" spans="1:7" x14ac:dyDescent="0.2">
      <c r="A66" s="21">
        <v>0</v>
      </c>
      <c r="B66" s="21">
        <v>2.5</v>
      </c>
      <c r="C66" s="21">
        <v>23.5</v>
      </c>
      <c r="D66" s="21">
        <v>296.50000000000045</v>
      </c>
      <c r="E66" s="18">
        <v>-19.800347999999989</v>
      </c>
      <c r="F66" s="18">
        <v>2.516622782305844E-9</v>
      </c>
      <c r="G66" s="18">
        <v>8.5991818761640832</v>
      </c>
    </row>
    <row r="67" spans="1:7" x14ac:dyDescent="0.2">
      <c r="A67" s="21">
        <v>-0.10000000000000009</v>
      </c>
      <c r="B67" s="21">
        <v>2.4</v>
      </c>
      <c r="C67" s="21">
        <v>23.4</v>
      </c>
      <c r="D67" s="21">
        <v>296.40000000000055</v>
      </c>
      <c r="E67" s="18">
        <v>-19.803059999999984</v>
      </c>
      <c r="F67" s="18">
        <v>2.50980694776938E-9</v>
      </c>
      <c r="G67" s="18">
        <v>8.6003596827990041</v>
      </c>
    </row>
    <row r="68" spans="1:7" x14ac:dyDescent="0.2">
      <c r="A68" s="21">
        <v>-0.20000000000000018</v>
      </c>
      <c r="B68" s="21">
        <v>2.2999999999999998</v>
      </c>
      <c r="C68" s="21">
        <v>23.3</v>
      </c>
      <c r="D68" s="21">
        <v>296.30000000000052</v>
      </c>
      <c r="E68" s="18">
        <v>-19.805771999999987</v>
      </c>
      <c r="F68" s="18">
        <v>2.5030095727337637E-9</v>
      </c>
      <c r="G68" s="18">
        <v>8.6015374894339267</v>
      </c>
    </row>
    <row r="69" spans="1:7" x14ac:dyDescent="0.2">
      <c r="A69" s="21">
        <v>-0.29999999999999982</v>
      </c>
      <c r="B69" s="21">
        <v>2.2000000000000002</v>
      </c>
      <c r="C69" s="21">
        <v>23.2</v>
      </c>
      <c r="D69" s="21">
        <v>296.2000000000005</v>
      </c>
      <c r="E69" s="18">
        <v>-19.808483999999986</v>
      </c>
      <c r="F69" s="18">
        <v>2.4962306072046786E-9</v>
      </c>
      <c r="G69" s="18">
        <v>8.6027152960688476</v>
      </c>
    </row>
    <row r="70" spans="1:7" x14ac:dyDescent="0.2">
      <c r="A70" s="21">
        <v>-0.39999999999999991</v>
      </c>
      <c r="B70" s="21">
        <v>2.1</v>
      </c>
      <c r="C70" s="21">
        <v>23.1</v>
      </c>
      <c r="D70" s="21">
        <v>296.10000000000048</v>
      </c>
      <c r="E70" s="18">
        <v>-19.811195999999988</v>
      </c>
      <c r="F70" s="18">
        <v>2.4894700013231648E-9</v>
      </c>
      <c r="G70" s="18">
        <v>8.6038931027037702</v>
      </c>
    </row>
    <row r="71" spans="1:7" x14ac:dyDescent="0.2">
      <c r="A71" s="21">
        <v>-0.5</v>
      </c>
      <c r="B71" s="21">
        <v>2</v>
      </c>
      <c r="C71" s="21">
        <v>23</v>
      </c>
      <c r="D71" s="21">
        <v>296.00000000000045</v>
      </c>
      <c r="E71" s="18">
        <v>-19.813907999999987</v>
      </c>
      <c r="F71" s="18">
        <v>2.4827277053653311E-9</v>
      </c>
      <c r="G71" s="18">
        <v>8.605070909338691</v>
      </c>
    </row>
    <row r="72" spans="1:7" x14ac:dyDescent="0.2">
      <c r="A72" s="21">
        <v>-0.60000000000000009</v>
      </c>
      <c r="B72" s="21">
        <v>1.9</v>
      </c>
      <c r="C72" s="21">
        <v>22.9</v>
      </c>
      <c r="D72" s="21">
        <v>295.90000000000043</v>
      </c>
      <c r="E72" s="18">
        <v>-19.81661999999999</v>
      </c>
      <c r="F72" s="18">
        <v>2.4760036697419215E-9</v>
      </c>
      <c r="G72" s="18">
        <v>8.6062487159736136</v>
      </c>
    </row>
    <row r="73" spans="1:7" x14ac:dyDescent="0.2">
      <c r="A73" s="21">
        <v>-0.7</v>
      </c>
      <c r="B73" s="21">
        <v>1.8</v>
      </c>
      <c r="C73" s="21">
        <v>22.8</v>
      </c>
      <c r="D73" s="21">
        <v>295.80000000000041</v>
      </c>
      <c r="E73" s="18">
        <v>-19.819331999999989</v>
      </c>
      <c r="F73" s="18">
        <v>2.4692978449980164E-9</v>
      </c>
      <c r="G73" s="18">
        <v>8.6074265226085345</v>
      </c>
    </row>
    <row r="74" spans="1:7" x14ac:dyDescent="0.2">
      <c r="A74" s="21">
        <v>-0.8</v>
      </c>
      <c r="B74" s="21">
        <v>1.7</v>
      </c>
      <c r="C74" s="21">
        <v>22.7</v>
      </c>
      <c r="D74" s="21">
        <v>295.70000000000039</v>
      </c>
      <c r="E74" s="18">
        <v>-19.822043999999991</v>
      </c>
      <c r="F74" s="18">
        <v>2.4626101818126038E-9</v>
      </c>
      <c r="G74" s="18">
        <v>8.6086043292434571</v>
      </c>
    </row>
    <row r="75" spans="1:7" x14ac:dyDescent="0.2">
      <c r="A75" s="21">
        <v>-0.89999999999999991</v>
      </c>
      <c r="B75" s="21">
        <v>1.6</v>
      </c>
      <c r="C75" s="21">
        <v>22.6</v>
      </c>
      <c r="D75" s="21">
        <v>295.60000000000036</v>
      </c>
      <c r="E75" s="18">
        <v>-19.82475599999999</v>
      </c>
      <c r="F75" s="18">
        <v>2.4559406309982819E-9</v>
      </c>
      <c r="G75" s="18">
        <v>8.6097821358783779</v>
      </c>
    </row>
    <row r="76" spans="1:7" x14ac:dyDescent="0.2">
      <c r="A76" s="21">
        <v>-1</v>
      </c>
      <c r="B76" s="21">
        <v>1.5</v>
      </c>
      <c r="C76" s="21">
        <v>22.5</v>
      </c>
      <c r="D76" s="21">
        <v>295.50000000000034</v>
      </c>
      <c r="E76" s="18">
        <v>-19.827467999999993</v>
      </c>
      <c r="F76" s="18">
        <v>2.4492891435008312E-9</v>
      </c>
      <c r="G76" s="18">
        <v>8.6109599425133023</v>
      </c>
    </row>
    <row r="77" spans="1:7" x14ac:dyDescent="0.2">
      <c r="A77" s="21">
        <v>-1.1000000000000001</v>
      </c>
      <c r="B77" s="21">
        <v>1.4</v>
      </c>
      <c r="C77" s="21">
        <v>22.4</v>
      </c>
      <c r="D77" s="21">
        <v>295.40000000000032</v>
      </c>
      <c r="E77" s="18">
        <v>-19.830179999999991</v>
      </c>
      <c r="F77" s="18">
        <v>2.4426556703989205E-9</v>
      </c>
      <c r="G77" s="18">
        <v>8.6121377491482232</v>
      </c>
    </row>
    <row r="78" spans="1:7" x14ac:dyDescent="0.2">
      <c r="A78" s="21">
        <v>-1.2</v>
      </c>
      <c r="B78" s="21">
        <v>1.3</v>
      </c>
      <c r="C78" s="21">
        <v>22.3</v>
      </c>
      <c r="D78" s="21">
        <v>295.3000000000003</v>
      </c>
      <c r="E78" s="18">
        <v>-19.832891999999994</v>
      </c>
      <c r="F78" s="18">
        <v>2.4360401629036795E-9</v>
      </c>
      <c r="G78" s="18">
        <v>8.6133155557831458</v>
      </c>
    </row>
    <row r="79" spans="1:7" x14ac:dyDescent="0.2">
      <c r="A79" s="21">
        <v>-1.3</v>
      </c>
      <c r="B79" s="21">
        <v>1.2</v>
      </c>
      <c r="C79" s="21">
        <v>22.2</v>
      </c>
      <c r="D79" s="21">
        <v>295.20000000000027</v>
      </c>
      <c r="E79" s="18">
        <v>-19.835603999999993</v>
      </c>
      <c r="F79" s="18">
        <v>2.4294425723584085E-9</v>
      </c>
      <c r="G79" s="18">
        <v>8.6144933624180666</v>
      </c>
    </row>
    <row r="80" spans="1:7" x14ac:dyDescent="0.2">
      <c r="A80" s="21">
        <v>-1.4</v>
      </c>
      <c r="B80" s="21">
        <v>1.1000000000000001</v>
      </c>
      <c r="C80" s="21">
        <v>22.1</v>
      </c>
      <c r="D80" s="21">
        <v>295.10000000000025</v>
      </c>
      <c r="E80" s="18">
        <v>-19.838315999999995</v>
      </c>
      <c r="F80" s="18">
        <v>2.4228628502381516E-9</v>
      </c>
      <c r="G80" s="18">
        <v>8.6156711690529892</v>
      </c>
    </row>
    <row r="81" spans="1:7" x14ac:dyDescent="0.2">
      <c r="A81" s="21">
        <v>-1.5</v>
      </c>
      <c r="B81" s="21">
        <v>1</v>
      </c>
      <c r="C81" s="21">
        <v>22</v>
      </c>
      <c r="D81" s="21">
        <v>295.00000000000023</v>
      </c>
      <c r="E81" s="18">
        <v>-19.841027999999994</v>
      </c>
      <c r="F81" s="18">
        <v>2.4163009481494087E-9</v>
      </c>
      <c r="G81" s="18">
        <v>8.6168489756879101</v>
      </c>
    </row>
    <row r="82" spans="1:7" x14ac:dyDescent="0.2">
      <c r="A82" s="21">
        <v>-1.6</v>
      </c>
      <c r="B82" s="21">
        <v>0.9</v>
      </c>
      <c r="C82" s="21">
        <v>21.9</v>
      </c>
      <c r="D82" s="21">
        <v>294.9000000000002</v>
      </c>
      <c r="E82" s="18">
        <v>-19.843739999999997</v>
      </c>
      <c r="F82" s="18">
        <v>2.4097568178297106E-9</v>
      </c>
      <c r="G82" s="18">
        <v>8.6180267823228327</v>
      </c>
    </row>
    <row r="83" spans="1:7" x14ac:dyDescent="0.2">
      <c r="A83" s="21">
        <v>-1.7</v>
      </c>
      <c r="B83" s="21">
        <v>0.8</v>
      </c>
      <c r="C83" s="21">
        <v>21.8</v>
      </c>
      <c r="D83" s="21">
        <v>294.80000000000018</v>
      </c>
      <c r="E83" s="18">
        <v>-19.846451999999996</v>
      </c>
      <c r="F83" s="18">
        <v>2.4032304111473328E-9</v>
      </c>
      <c r="G83" s="18">
        <v>8.6192045889577535</v>
      </c>
    </row>
    <row r="84" spans="1:7" x14ac:dyDescent="0.2">
      <c r="A84" s="21">
        <v>-1.8</v>
      </c>
      <c r="B84" s="21">
        <v>0.7</v>
      </c>
      <c r="C84" s="21">
        <v>21.7</v>
      </c>
      <c r="D84" s="21">
        <v>294.70000000000016</v>
      </c>
      <c r="E84" s="18">
        <v>-19.849163999999995</v>
      </c>
      <c r="F84" s="18">
        <v>2.3967216801008817E-9</v>
      </c>
      <c r="G84" s="18">
        <v>8.6203823955926762</v>
      </c>
    </row>
    <row r="85" spans="1:7" x14ac:dyDescent="0.2">
      <c r="A85" s="24">
        <v>-1.9</v>
      </c>
      <c r="B85" s="24">
        <v>0.6</v>
      </c>
      <c r="C85" s="24">
        <v>21.6</v>
      </c>
      <c r="D85" s="24">
        <v>294.60000000000014</v>
      </c>
      <c r="E85" s="27">
        <v>-19.851875999999997</v>
      </c>
      <c r="F85" s="27">
        <v>2.390230576818967E-9</v>
      </c>
      <c r="G85" s="27">
        <v>8.6215602022275988</v>
      </c>
    </row>
    <row r="86" spans="1:7" x14ac:dyDescent="0.2">
      <c r="A86" s="24">
        <v>-2</v>
      </c>
      <c r="B86" s="24">
        <v>0.5</v>
      </c>
      <c r="C86" s="24">
        <v>21.5</v>
      </c>
      <c r="D86" s="24">
        <v>294.50000000000011</v>
      </c>
      <c r="E86" s="27">
        <v>-19.854587999999996</v>
      </c>
      <c r="F86" s="27">
        <v>2.3837570535598755E-9</v>
      </c>
      <c r="G86" s="27">
        <v>8.6227380088625196</v>
      </c>
    </row>
    <row r="87" spans="1:7" x14ac:dyDescent="0.2">
      <c r="A87" s="21">
        <v>-2.1</v>
      </c>
      <c r="B87" s="21">
        <v>0.4</v>
      </c>
      <c r="C87" s="21">
        <v>21.4</v>
      </c>
      <c r="D87" s="21">
        <v>294.40000000000009</v>
      </c>
      <c r="E87" s="18">
        <v>-19.857299999999999</v>
      </c>
      <c r="F87" s="18">
        <v>2.3773010627111595E-9</v>
      </c>
      <c r="G87" s="18">
        <v>8.6239158154974422</v>
      </c>
    </row>
    <row r="88" spans="1:7" x14ac:dyDescent="0.2">
      <c r="A88" s="21">
        <v>-2.2000000000000002</v>
      </c>
      <c r="B88" s="21">
        <v>0.3</v>
      </c>
      <c r="C88" s="21">
        <v>21.3</v>
      </c>
      <c r="D88" s="21">
        <v>294.30000000000007</v>
      </c>
      <c r="E88" s="18">
        <v>-19.860011999999998</v>
      </c>
      <c r="F88" s="18">
        <v>2.3708625567893564E-9</v>
      </c>
      <c r="G88" s="18">
        <v>8.6250936221323631</v>
      </c>
    </row>
    <row r="89" spans="1:7" x14ac:dyDescent="0.2">
      <c r="A89" s="21">
        <v>-2.2999999999999998</v>
      </c>
      <c r="B89" s="21">
        <v>0.2</v>
      </c>
      <c r="C89" s="21">
        <v>21.2</v>
      </c>
      <c r="D89" s="21">
        <v>294.20000000000005</v>
      </c>
      <c r="E89" s="18">
        <v>-19.862724</v>
      </c>
      <c r="F89" s="18">
        <v>2.3644414884395697E-9</v>
      </c>
      <c r="G89" s="18">
        <v>8.6262714287672857</v>
      </c>
    </row>
    <row r="90" spans="1:7" x14ac:dyDescent="0.2">
      <c r="A90" s="21">
        <v>-2.4</v>
      </c>
      <c r="B90" s="21">
        <v>0.1</v>
      </c>
      <c r="C90" s="21">
        <v>21.1</v>
      </c>
      <c r="D90" s="21">
        <v>294.10000000000002</v>
      </c>
      <c r="E90" s="18">
        <v>-19.865435999999999</v>
      </c>
      <c r="F90" s="18">
        <v>2.3580378104351886E-9</v>
      </c>
      <c r="G90" s="18">
        <v>8.6274492354022065</v>
      </c>
    </row>
    <row r="91" spans="1:7" x14ac:dyDescent="0.2">
      <c r="A91" s="21">
        <v>-2.5</v>
      </c>
      <c r="B91" s="21">
        <v>0</v>
      </c>
      <c r="C91" s="21">
        <v>21</v>
      </c>
      <c r="D91" s="21">
        <v>294</v>
      </c>
      <c r="E91" s="18">
        <v>-19.868148000000001</v>
      </c>
      <c r="F91" s="18">
        <v>2.3516514756774745E-9</v>
      </c>
      <c r="G91" s="18">
        <v>8.6286270420371292</v>
      </c>
    </row>
  </sheetData>
  <sortState xmlns:xlrd2="http://schemas.microsoft.com/office/spreadsheetml/2017/richdata2" ref="A66:G91">
    <sortCondition descending="1" ref="A66:A9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40B4-EC57-0044-BFB3-C1A1BFCF7BB8}">
  <dimension ref="A2:E9507"/>
  <sheetViews>
    <sheetView workbookViewId="0">
      <selection activeCell="E9448" sqref="E9448"/>
    </sheetView>
  </sheetViews>
  <sheetFormatPr baseColWidth="10" defaultRowHeight="16" x14ac:dyDescent="0.2"/>
  <sheetData>
    <row r="2" spans="1:5" x14ac:dyDescent="0.2">
      <c r="A2" t="s">
        <v>43</v>
      </c>
    </row>
    <row r="3" spans="1:5" x14ac:dyDescent="0.2">
      <c r="A3" t="s">
        <v>44</v>
      </c>
    </row>
    <row r="4" spans="1:5" x14ac:dyDescent="0.2">
      <c r="A4" t="s">
        <v>45</v>
      </c>
    </row>
    <row r="6" spans="1:5" x14ac:dyDescent="0.2">
      <c r="A6" t="s">
        <v>46</v>
      </c>
      <c r="B6" t="s">
        <v>47</v>
      </c>
      <c r="C6" t="s">
        <v>48</v>
      </c>
      <c r="D6" t="s">
        <v>49</v>
      </c>
      <c r="E6" t="s">
        <v>48</v>
      </c>
    </row>
    <row r="7" spans="1:5" x14ac:dyDescent="0.2">
      <c r="A7">
        <v>0</v>
      </c>
      <c r="B7">
        <v>199</v>
      </c>
      <c r="C7">
        <v>11</v>
      </c>
      <c r="D7">
        <v>-24.5</v>
      </c>
      <c r="E7">
        <v>1.4</v>
      </c>
    </row>
    <row r="8" spans="1:5" x14ac:dyDescent="0.2">
      <c r="A8">
        <v>1</v>
      </c>
      <c r="B8">
        <v>197</v>
      </c>
      <c r="C8">
        <v>11</v>
      </c>
      <c r="D8">
        <v>-24.1</v>
      </c>
      <c r="E8">
        <v>1.4</v>
      </c>
    </row>
    <row r="9" spans="1:5" x14ac:dyDescent="0.2">
      <c r="A9">
        <v>2</v>
      </c>
      <c r="B9">
        <v>195</v>
      </c>
      <c r="C9">
        <v>11</v>
      </c>
      <c r="D9">
        <v>-23.8</v>
      </c>
      <c r="E9">
        <v>1.4</v>
      </c>
    </row>
    <row r="10" spans="1:5" x14ac:dyDescent="0.2">
      <c r="A10">
        <v>3</v>
      </c>
      <c r="B10">
        <v>193</v>
      </c>
      <c r="C10">
        <v>11</v>
      </c>
      <c r="D10">
        <v>-23.3</v>
      </c>
      <c r="E10">
        <v>1.4</v>
      </c>
    </row>
    <row r="11" spans="1:5" x14ac:dyDescent="0.2">
      <c r="A11">
        <v>4</v>
      </c>
      <c r="B11">
        <v>190</v>
      </c>
      <c r="C11">
        <v>11</v>
      </c>
      <c r="D11">
        <v>-22.9</v>
      </c>
      <c r="E11">
        <v>1.3</v>
      </c>
    </row>
    <row r="12" spans="1:5" x14ac:dyDescent="0.2">
      <c r="A12">
        <v>5</v>
      </c>
      <c r="B12">
        <v>188</v>
      </c>
      <c r="C12">
        <v>11</v>
      </c>
      <c r="D12">
        <v>-22.5</v>
      </c>
      <c r="E12">
        <v>1.3</v>
      </c>
    </row>
    <row r="13" spans="1:5" x14ac:dyDescent="0.2">
      <c r="A13">
        <v>6</v>
      </c>
      <c r="B13">
        <v>185</v>
      </c>
      <c r="C13">
        <v>11</v>
      </c>
      <c r="D13">
        <v>-22</v>
      </c>
      <c r="E13">
        <v>1.3</v>
      </c>
    </row>
    <row r="14" spans="1:5" x14ac:dyDescent="0.2">
      <c r="A14">
        <v>7</v>
      </c>
      <c r="B14">
        <v>181</v>
      </c>
      <c r="C14">
        <v>11</v>
      </c>
      <c r="D14">
        <v>-21.5</v>
      </c>
      <c r="E14">
        <v>1.3</v>
      </c>
    </row>
    <row r="15" spans="1:5" x14ac:dyDescent="0.2">
      <c r="A15">
        <v>8</v>
      </c>
      <c r="B15">
        <v>178</v>
      </c>
      <c r="C15">
        <v>11</v>
      </c>
      <c r="D15">
        <v>-20.9</v>
      </c>
      <c r="E15">
        <v>1.3</v>
      </c>
    </row>
    <row r="16" spans="1:5" x14ac:dyDescent="0.2">
      <c r="A16">
        <v>9</v>
      </c>
      <c r="B16">
        <v>174</v>
      </c>
      <c r="C16">
        <v>11</v>
      </c>
      <c r="D16">
        <v>-20.3</v>
      </c>
      <c r="E16">
        <v>1.3</v>
      </c>
    </row>
    <row r="17" spans="1:5" x14ac:dyDescent="0.2">
      <c r="A17">
        <v>10</v>
      </c>
      <c r="B17">
        <v>170</v>
      </c>
      <c r="C17">
        <v>11</v>
      </c>
      <c r="D17">
        <v>-19.7</v>
      </c>
      <c r="E17">
        <v>1.3</v>
      </c>
    </row>
    <row r="18" spans="1:5" x14ac:dyDescent="0.2">
      <c r="A18">
        <v>11</v>
      </c>
      <c r="B18">
        <v>166</v>
      </c>
      <c r="C18">
        <v>11</v>
      </c>
      <c r="D18">
        <v>-19.100000000000001</v>
      </c>
      <c r="E18">
        <v>1.3</v>
      </c>
    </row>
    <row r="19" spans="1:5" x14ac:dyDescent="0.2">
      <c r="A19">
        <v>12</v>
      </c>
      <c r="B19">
        <v>163</v>
      </c>
      <c r="C19">
        <v>11</v>
      </c>
      <c r="D19">
        <v>-18.600000000000001</v>
      </c>
      <c r="E19">
        <v>1.3</v>
      </c>
    </row>
    <row r="20" spans="1:5" x14ac:dyDescent="0.2">
      <c r="A20">
        <v>13</v>
      </c>
      <c r="B20">
        <v>161</v>
      </c>
      <c r="C20">
        <v>11</v>
      </c>
      <c r="D20">
        <v>-18.3</v>
      </c>
      <c r="E20">
        <v>1.3</v>
      </c>
    </row>
    <row r="21" spans="1:5" x14ac:dyDescent="0.2">
      <c r="A21">
        <v>14</v>
      </c>
      <c r="B21">
        <v>160</v>
      </c>
      <c r="C21">
        <v>10</v>
      </c>
      <c r="D21">
        <v>-18</v>
      </c>
      <c r="E21">
        <v>1.3</v>
      </c>
    </row>
    <row r="22" spans="1:5" x14ac:dyDescent="0.2">
      <c r="A22">
        <v>15</v>
      </c>
      <c r="B22">
        <v>160</v>
      </c>
      <c r="C22">
        <v>10</v>
      </c>
      <c r="D22">
        <v>-17.899999999999999</v>
      </c>
      <c r="E22">
        <v>1.3</v>
      </c>
    </row>
    <row r="23" spans="1:5" x14ac:dyDescent="0.2">
      <c r="A23">
        <v>16</v>
      </c>
      <c r="B23">
        <v>161</v>
      </c>
      <c r="C23">
        <v>10</v>
      </c>
      <c r="D23">
        <v>-17.899999999999999</v>
      </c>
      <c r="E23">
        <v>1.2</v>
      </c>
    </row>
    <row r="24" spans="1:5" x14ac:dyDescent="0.2">
      <c r="A24">
        <v>17</v>
      </c>
      <c r="B24">
        <v>162</v>
      </c>
      <c r="C24">
        <v>10</v>
      </c>
      <c r="D24">
        <v>-18</v>
      </c>
      <c r="E24">
        <v>1.2</v>
      </c>
    </row>
    <row r="25" spans="1:5" x14ac:dyDescent="0.2">
      <c r="A25">
        <v>18</v>
      </c>
      <c r="B25">
        <v>163</v>
      </c>
      <c r="C25">
        <v>10</v>
      </c>
      <c r="D25">
        <v>-18</v>
      </c>
      <c r="E25">
        <v>1.2</v>
      </c>
    </row>
    <row r="26" spans="1:5" x14ac:dyDescent="0.2">
      <c r="A26">
        <v>19</v>
      </c>
      <c r="B26">
        <v>164</v>
      </c>
      <c r="C26">
        <v>10</v>
      </c>
      <c r="D26">
        <v>-17.899999999999999</v>
      </c>
      <c r="E26">
        <v>1.2</v>
      </c>
    </row>
    <row r="27" spans="1:5" x14ac:dyDescent="0.2">
      <c r="A27">
        <v>20</v>
      </c>
      <c r="B27">
        <v>163</v>
      </c>
      <c r="C27">
        <v>10</v>
      </c>
      <c r="D27">
        <v>-17.8</v>
      </c>
      <c r="E27">
        <v>1.2</v>
      </c>
    </row>
    <row r="28" spans="1:5" x14ac:dyDescent="0.2">
      <c r="A28">
        <v>21</v>
      </c>
      <c r="B28">
        <v>162</v>
      </c>
      <c r="C28">
        <v>10</v>
      </c>
      <c r="D28">
        <v>-17.5</v>
      </c>
      <c r="E28">
        <v>1.2</v>
      </c>
    </row>
    <row r="29" spans="1:5" x14ac:dyDescent="0.2">
      <c r="A29">
        <v>22</v>
      </c>
      <c r="B29">
        <v>160</v>
      </c>
      <c r="C29">
        <v>10</v>
      </c>
      <c r="D29">
        <v>-17.100000000000001</v>
      </c>
      <c r="E29">
        <v>1.2</v>
      </c>
    </row>
    <row r="30" spans="1:5" x14ac:dyDescent="0.2">
      <c r="A30">
        <v>23</v>
      </c>
      <c r="B30">
        <v>156</v>
      </c>
      <c r="C30">
        <v>10</v>
      </c>
      <c r="D30">
        <v>-16.5</v>
      </c>
      <c r="E30">
        <v>1.2</v>
      </c>
    </row>
    <row r="31" spans="1:5" x14ac:dyDescent="0.2">
      <c r="A31">
        <v>24</v>
      </c>
      <c r="B31">
        <v>153</v>
      </c>
      <c r="C31">
        <v>10</v>
      </c>
      <c r="D31">
        <v>-16</v>
      </c>
      <c r="E31">
        <v>1.2</v>
      </c>
    </row>
    <row r="32" spans="1:5" x14ac:dyDescent="0.2">
      <c r="A32">
        <v>25</v>
      </c>
      <c r="B32">
        <v>149</v>
      </c>
      <c r="C32">
        <v>10</v>
      </c>
      <c r="D32">
        <v>-15.4</v>
      </c>
      <c r="E32">
        <v>1.2</v>
      </c>
    </row>
    <row r="33" spans="1:5" x14ac:dyDescent="0.2">
      <c r="A33">
        <v>26</v>
      </c>
      <c r="B33">
        <v>146</v>
      </c>
      <c r="C33">
        <v>10</v>
      </c>
      <c r="D33">
        <v>-14.9</v>
      </c>
      <c r="E33">
        <v>1.2</v>
      </c>
    </row>
    <row r="34" spans="1:5" x14ac:dyDescent="0.2">
      <c r="A34">
        <v>27</v>
      </c>
      <c r="B34">
        <v>143</v>
      </c>
      <c r="C34">
        <v>10</v>
      </c>
      <c r="D34">
        <v>-14.5</v>
      </c>
      <c r="E34">
        <v>1.2</v>
      </c>
    </row>
    <row r="35" spans="1:5" x14ac:dyDescent="0.2">
      <c r="A35">
        <v>28</v>
      </c>
      <c r="B35">
        <v>141</v>
      </c>
      <c r="C35">
        <v>9</v>
      </c>
      <c r="D35">
        <v>-14.1</v>
      </c>
      <c r="E35">
        <v>1.2</v>
      </c>
    </row>
    <row r="36" spans="1:5" x14ac:dyDescent="0.2">
      <c r="A36">
        <v>29</v>
      </c>
      <c r="B36">
        <v>140</v>
      </c>
      <c r="C36">
        <v>10</v>
      </c>
      <c r="D36">
        <v>-13.8</v>
      </c>
      <c r="E36">
        <v>1.2</v>
      </c>
    </row>
    <row r="37" spans="1:5" x14ac:dyDescent="0.2">
      <c r="A37">
        <v>30</v>
      </c>
      <c r="B37">
        <v>137</v>
      </c>
      <c r="C37">
        <v>10</v>
      </c>
      <c r="D37">
        <v>-13.4</v>
      </c>
      <c r="E37">
        <v>1.2</v>
      </c>
    </row>
    <row r="38" spans="1:5" x14ac:dyDescent="0.2">
      <c r="A38">
        <v>31</v>
      </c>
      <c r="B38">
        <v>135</v>
      </c>
      <c r="C38">
        <v>10</v>
      </c>
      <c r="D38">
        <v>-12.9</v>
      </c>
      <c r="E38">
        <v>1.2</v>
      </c>
    </row>
    <row r="39" spans="1:5" x14ac:dyDescent="0.2">
      <c r="A39">
        <v>32</v>
      </c>
      <c r="B39">
        <v>132</v>
      </c>
      <c r="C39">
        <v>10</v>
      </c>
      <c r="D39">
        <v>-12.4</v>
      </c>
      <c r="E39">
        <v>1.2</v>
      </c>
    </row>
    <row r="40" spans="1:5" x14ac:dyDescent="0.2">
      <c r="A40">
        <v>33</v>
      </c>
      <c r="B40">
        <v>129</v>
      </c>
      <c r="C40">
        <v>10</v>
      </c>
      <c r="D40">
        <v>-11.9</v>
      </c>
      <c r="E40">
        <v>1.2</v>
      </c>
    </row>
    <row r="41" spans="1:5" x14ac:dyDescent="0.2">
      <c r="A41">
        <v>34</v>
      </c>
      <c r="B41">
        <v>126</v>
      </c>
      <c r="C41">
        <v>10</v>
      </c>
      <c r="D41">
        <v>-11.5</v>
      </c>
      <c r="E41">
        <v>1.2</v>
      </c>
    </row>
    <row r="42" spans="1:5" x14ac:dyDescent="0.2">
      <c r="A42">
        <v>35</v>
      </c>
      <c r="B42">
        <v>123</v>
      </c>
      <c r="C42">
        <v>10</v>
      </c>
      <c r="D42">
        <v>-11</v>
      </c>
      <c r="E42">
        <v>1.2</v>
      </c>
    </row>
    <row r="43" spans="1:5" x14ac:dyDescent="0.2">
      <c r="A43">
        <v>36</v>
      </c>
      <c r="B43">
        <v>121</v>
      </c>
      <c r="C43">
        <v>10</v>
      </c>
      <c r="D43">
        <v>-10.7</v>
      </c>
      <c r="E43">
        <v>1.2</v>
      </c>
    </row>
    <row r="44" spans="1:5" x14ac:dyDescent="0.2">
      <c r="A44">
        <v>37</v>
      </c>
      <c r="B44">
        <v>120</v>
      </c>
      <c r="C44">
        <v>10</v>
      </c>
      <c r="D44">
        <v>-10.4</v>
      </c>
      <c r="E44">
        <v>1.2</v>
      </c>
    </row>
    <row r="45" spans="1:5" x14ac:dyDescent="0.2">
      <c r="A45">
        <v>38</v>
      </c>
      <c r="B45">
        <v>119</v>
      </c>
      <c r="C45">
        <v>9</v>
      </c>
      <c r="D45">
        <v>-10.199999999999999</v>
      </c>
      <c r="E45">
        <v>1.2</v>
      </c>
    </row>
    <row r="46" spans="1:5" x14ac:dyDescent="0.2">
      <c r="A46">
        <v>39</v>
      </c>
      <c r="B46">
        <v>119</v>
      </c>
      <c r="C46">
        <v>10</v>
      </c>
      <c r="D46">
        <v>-10</v>
      </c>
      <c r="E46">
        <v>1.2</v>
      </c>
    </row>
    <row r="47" spans="1:5" x14ac:dyDescent="0.2">
      <c r="A47">
        <v>40</v>
      </c>
      <c r="B47">
        <v>118</v>
      </c>
      <c r="C47">
        <v>10</v>
      </c>
      <c r="D47">
        <v>-9.6999999999999993</v>
      </c>
      <c r="E47">
        <v>1.2</v>
      </c>
    </row>
    <row r="48" spans="1:5" x14ac:dyDescent="0.2">
      <c r="A48">
        <v>41</v>
      </c>
      <c r="B48">
        <v>116</v>
      </c>
      <c r="C48">
        <v>10</v>
      </c>
      <c r="D48">
        <v>-9.4</v>
      </c>
      <c r="E48">
        <v>1.2</v>
      </c>
    </row>
    <row r="49" spans="1:5" x14ac:dyDescent="0.2">
      <c r="A49">
        <v>42</v>
      </c>
      <c r="B49">
        <v>113</v>
      </c>
      <c r="C49">
        <v>10</v>
      </c>
      <c r="D49">
        <v>-8.9</v>
      </c>
      <c r="E49">
        <v>1.2</v>
      </c>
    </row>
    <row r="50" spans="1:5" x14ac:dyDescent="0.2">
      <c r="A50">
        <v>43</v>
      </c>
      <c r="B50">
        <v>110</v>
      </c>
      <c r="C50">
        <v>10</v>
      </c>
      <c r="D50">
        <v>-8.4</v>
      </c>
      <c r="E50">
        <v>1.2</v>
      </c>
    </row>
    <row r="51" spans="1:5" x14ac:dyDescent="0.2">
      <c r="A51">
        <v>44</v>
      </c>
      <c r="B51">
        <v>106</v>
      </c>
      <c r="C51">
        <v>10</v>
      </c>
      <c r="D51">
        <v>-7.8</v>
      </c>
      <c r="E51">
        <v>1.2</v>
      </c>
    </row>
    <row r="52" spans="1:5" x14ac:dyDescent="0.2">
      <c r="A52">
        <v>45</v>
      </c>
      <c r="B52">
        <v>102</v>
      </c>
      <c r="C52">
        <v>9</v>
      </c>
      <c r="D52">
        <v>-7.2</v>
      </c>
      <c r="E52">
        <v>1.2</v>
      </c>
    </row>
    <row r="53" spans="1:5" x14ac:dyDescent="0.2">
      <c r="A53">
        <v>46</v>
      </c>
      <c r="B53">
        <v>99</v>
      </c>
      <c r="C53">
        <v>10</v>
      </c>
      <c r="D53">
        <v>-6.7</v>
      </c>
      <c r="E53">
        <v>1.2</v>
      </c>
    </row>
    <row r="54" spans="1:5" x14ac:dyDescent="0.2">
      <c r="A54">
        <v>47</v>
      </c>
      <c r="B54">
        <v>96</v>
      </c>
      <c r="C54">
        <v>10</v>
      </c>
      <c r="D54">
        <v>-6.3</v>
      </c>
      <c r="E54">
        <v>1.2</v>
      </c>
    </row>
    <row r="55" spans="1:5" x14ac:dyDescent="0.2">
      <c r="A55">
        <v>48</v>
      </c>
      <c r="B55">
        <v>95</v>
      </c>
      <c r="C55">
        <v>10</v>
      </c>
      <c r="D55">
        <v>-6</v>
      </c>
      <c r="E55">
        <v>1.2</v>
      </c>
    </row>
    <row r="56" spans="1:5" x14ac:dyDescent="0.2">
      <c r="A56">
        <v>49</v>
      </c>
      <c r="B56">
        <v>95</v>
      </c>
      <c r="C56">
        <v>10</v>
      </c>
      <c r="D56">
        <v>-5.9</v>
      </c>
      <c r="E56">
        <v>1.2</v>
      </c>
    </row>
    <row r="57" spans="1:5" x14ac:dyDescent="0.2">
      <c r="A57">
        <v>50</v>
      </c>
      <c r="B57">
        <v>96</v>
      </c>
      <c r="C57">
        <v>10</v>
      </c>
      <c r="D57">
        <v>-5.9</v>
      </c>
      <c r="E57">
        <v>1.2</v>
      </c>
    </row>
    <row r="58" spans="1:5" x14ac:dyDescent="0.2">
      <c r="A58">
        <v>51</v>
      </c>
      <c r="B58">
        <v>97</v>
      </c>
      <c r="C58">
        <v>10</v>
      </c>
      <c r="D58">
        <v>-5.9</v>
      </c>
      <c r="E58">
        <v>1.2</v>
      </c>
    </row>
    <row r="59" spans="1:5" x14ac:dyDescent="0.2">
      <c r="A59">
        <v>52</v>
      </c>
      <c r="B59">
        <v>98</v>
      </c>
      <c r="C59">
        <v>10</v>
      </c>
      <c r="D59">
        <v>-5.9</v>
      </c>
      <c r="E59">
        <v>1.2</v>
      </c>
    </row>
    <row r="60" spans="1:5" x14ac:dyDescent="0.2">
      <c r="A60">
        <v>53</v>
      </c>
      <c r="B60">
        <v>99</v>
      </c>
      <c r="C60">
        <v>10</v>
      </c>
      <c r="D60">
        <v>-5.8</v>
      </c>
      <c r="E60">
        <v>1.2</v>
      </c>
    </row>
    <row r="61" spans="1:5" x14ac:dyDescent="0.2">
      <c r="A61">
        <v>54</v>
      </c>
      <c r="B61">
        <v>98</v>
      </c>
      <c r="C61">
        <v>9</v>
      </c>
      <c r="D61">
        <v>-5.7</v>
      </c>
      <c r="E61">
        <v>1.2</v>
      </c>
    </row>
    <row r="62" spans="1:5" x14ac:dyDescent="0.2">
      <c r="A62">
        <v>55</v>
      </c>
      <c r="B62">
        <v>99</v>
      </c>
      <c r="C62">
        <v>9</v>
      </c>
      <c r="D62">
        <v>-5.6</v>
      </c>
      <c r="E62">
        <v>1.2</v>
      </c>
    </row>
    <row r="63" spans="1:5" x14ac:dyDescent="0.2">
      <c r="A63">
        <v>56</v>
      </c>
      <c r="B63">
        <v>99</v>
      </c>
      <c r="C63">
        <v>10</v>
      </c>
      <c r="D63">
        <v>-5.5</v>
      </c>
      <c r="E63">
        <v>1.2</v>
      </c>
    </row>
    <row r="64" spans="1:5" x14ac:dyDescent="0.2">
      <c r="A64">
        <v>57</v>
      </c>
      <c r="B64">
        <v>101</v>
      </c>
      <c r="C64">
        <v>9</v>
      </c>
      <c r="D64">
        <v>-5.6</v>
      </c>
      <c r="E64">
        <v>1.2</v>
      </c>
    </row>
    <row r="65" spans="1:5" x14ac:dyDescent="0.2">
      <c r="A65">
        <v>58</v>
      </c>
      <c r="B65">
        <v>103</v>
      </c>
      <c r="C65">
        <v>9</v>
      </c>
      <c r="D65">
        <v>-5.8</v>
      </c>
      <c r="E65">
        <v>1.2</v>
      </c>
    </row>
    <row r="66" spans="1:5" x14ac:dyDescent="0.2">
      <c r="A66">
        <v>59</v>
      </c>
      <c r="B66">
        <v>107</v>
      </c>
      <c r="C66">
        <v>9</v>
      </c>
      <c r="D66">
        <v>-6.1</v>
      </c>
      <c r="E66">
        <v>1.2</v>
      </c>
    </row>
    <row r="67" spans="1:5" x14ac:dyDescent="0.2">
      <c r="A67">
        <v>60</v>
      </c>
      <c r="B67">
        <v>110</v>
      </c>
      <c r="C67">
        <v>9</v>
      </c>
      <c r="D67">
        <v>-6.4</v>
      </c>
      <c r="E67">
        <v>1.2</v>
      </c>
    </row>
    <row r="68" spans="1:5" x14ac:dyDescent="0.2">
      <c r="A68">
        <v>61</v>
      </c>
      <c r="B68">
        <v>113</v>
      </c>
      <c r="C68">
        <v>9</v>
      </c>
      <c r="D68">
        <v>-6.7</v>
      </c>
      <c r="E68">
        <v>1.2</v>
      </c>
    </row>
    <row r="69" spans="1:5" x14ac:dyDescent="0.2">
      <c r="A69">
        <v>62</v>
      </c>
      <c r="B69">
        <v>115</v>
      </c>
      <c r="C69">
        <v>9</v>
      </c>
      <c r="D69">
        <v>-6.8</v>
      </c>
      <c r="E69">
        <v>1.2</v>
      </c>
    </row>
    <row r="70" spans="1:5" x14ac:dyDescent="0.2">
      <c r="A70">
        <v>63</v>
      </c>
      <c r="B70">
        <v>116</v>
      </c>
      <c r="C70">
        <v>9</v>
      </c>
      <c r="D70">
        <v>-6.8</v>
      </c>
      <c r="E70">
        <v>1.2</v>
      </c>
    </row>
    <row r="71" spans="1:5" x14ac:dyDescent="0.2">
      <c r="A71">
        <v>64</v>
      </c>
      <c r="B71">
        <v>117</v>
      </c>
      <c r="C71">
        <v>10</v>
      </c>
      <c r="D71">
        <v>-6.7</v>
      </c>
      <c r="E71">
        <v>1.2</v>
      </c>
    </row>
    <row r="72" spans="1:5" x14ac:dyDescent="0.2">
      <c r="A72">
        <v>65</v>
      </c>
      <c r="B72">
        <v>116</v>
      </c>
      <c r="C72">
        <v>9</v>
      </c>
      <c r="D72">
        <v>-6.5</v>
      </c>
      <c r="E72">
        <v>1.2</v>
      </c>
    </row>
    <row r="73" spans="1:5" x14ac:dyDescent="0.2">
      <c r="A73">
        <v>66</v>
      </c>
      <c r="B73">
        <v>115</v>
      </c>
      <c r="C73">
        <v>10</v>
      </c>
      <c r="D73">
        <v>-6.3</v>
      </c>
      <c r="E73">
        <v>1.2</v>
      </c>
    </row>
    <row r="74" spans="1:5" x14ac:dyDescent="0.2">
      <c r="A74">
        <v>67</v>
      </c>
      <c r="B74">
        <v>114</v>
      </c>
      <c r="C74">
        <v>10</v>
      </c>
      <c r="D74">
        <v>-6.1</v>
      </c>
      <c r="E74">
        <v>1.2</v>
      </c>
    </row>
    <row r="75" spans="1:5" x14ac:dyDescent="0.2">
      <c r="A75">
        <v>68</v>
      </c>
      <c r="B75">
        <v>114</v>
      </c>
      <c r="C75">
        <v>10</v>
      </c>
      <c r="D75">
        <v>-6</v>
      </c>
      <c r="E75">
        <v>1.2</v>
      </c>
    </row>
    <row r="76" spans="1:5" x14ac:dyDescent="0.2">
      <c r="A76">
        <v>69</v>
      </c>
      <c r="B76">
        <v>116</v>
      </c>
      <c r="C76">
        <v>10</v>
      </c>
      <c r="D76">
        <v>-6</v>
      </c>
      <c r="E76">
        <v>1.2</v>
      </c>
    </row>
    <row r="77" spans="1:5" x14ac:dyDescent="0.2">
      <c r="A77">
        <v>70</v>
      </c>
      <c r="B77">
        <v>118</v>
      </c>
      <c r="C77">
        <v>10</v>
      </c>
      <c r="D77">
        <v>-6.2</v>
      </c>
      <c r="E77">
        <v>1.2</v>
      </c>
    </row>
    <row r="78" spans="1:5" x14ac:dyDescent="0.2">
      <c r="A78">
        <v>71</v>
      </c>
      <c r="B78">
        <v>121</v>
      </c>
      <c r="C78">
        <v>10</v>
      </c>
      <c r="D78">
        <v>-6.5</v>
      </c>
      <c r="E78">
        <v>1.2</v>
      </c>
    </row>
    <row r="79" spans="1:5" x14ac:dyDescent="0.2">
      <c r="A79">
        <v>72</v>
      </c>
      <c r="B79">
        <v>125</v>
      </c>
      <c r="C79">
        <v>10</v>
      </c>
      <c r="D79">
        <v>-6.8</v>
      </c>
      <c r="E79">
        <v>1.2</v>
      </c>
    </row>
    <row r="80" spans="1:5" x14ac:dyDescent="0.2">
      <c r="A80">
        <v>73</v>
      </c>
      <c r="B80">
        <v>128</v>
      </c>
      <c r="C80">
        <v>10</v>
      </c>
      <c r="D80">
        <v>-7</v>
      </c>
      <c r="E80">
        <v>1.2</v>
      </c>
    </row>
    <row r="81" spans="1:5" x14ac:dyDescent="0.2">
      <c r="A81">
        <v>74</v>
      </c>
      <c r="B81">
        <v>130</v>
      </c>
      <c r="C81">
        <v>10</v>
      </c>
      <c r="D81">
        <v>-7.1</v>
      </c>
      <c r="E81">
        <v>1.2</v>
      </c>
    </row>
    <row r="82" spans="1:5" x14ac:dyDescent="0.2">
      <c r="A82">
        <v>75</v>
      </c>
      <c r="B82">
        <v>130</v>
      </c>
      <c r="C82">
        <v>10</v>
      </c>
      <c r="D82">
        <v>-7.1</v>
      </c>
      <c r="E82">
        <v>1.2</v>
      </c>
    </row>
    <row r="83" spans="1:5" x14ac:dyDescent="0.2">
      <c r="A83">
        <v>76</v>
      </c>
      <c r="B83">
        <v>130</v>
      </c>
      <c r="C83">
        <v>9</v>
      </c>
      <c r="D83">
        <v>-7</v>
      </c>
      <c r="E83">
        <v>1.2</v>
      </c>
    </row>
    <row r="84" spans="1:5" x14ac:dyDescent="0.2">
      <c r="A84">
        <v>77</v>
      </c>
      <c r="B84">
        <v>129</v>
      </c>
      <c r="C84">
        <v>9</v>
      </c>
      <c r="D84">
        <v>-6.7</v>
      </c>
      <c r="E84">
        <v>1.2</v>
      </c>
    </row>
    <row r="85" spans="1:5" x14ac:dyDescent="0.2">
      <c r="A85">
        <v>78</v>
      </c>
      <c r="B85">
        <v>127</v>
      </c>
      <c r="C85">
        <v>9</v>
      </c>
      <c r="D85">
        <v>-6.3</v>
      </c>
      <c r="E85">
        <v>1.2</v>
      </c>
    </row>
    <row r="86" spans="1:5" x14ac:dyDescent="0.2">
      <c r="A86">
        <v>79</v>
      </c>
      <c r="B86">
        <v>125</v>
      </c>
      <c r="C86">
        <v>9</v>
      </c>
      <c r="D86">
        <v>-6</v>
      </c>
      <c r="E86">
        <v>1.2</v>
      </c>
    </row>
    <row r="87" spans="1:5" x14ac:dyDescent="0.2">
      <c r="A87">
        <v>80</v>
      </c>
      <c r="B87">
        <v>124</v>
      </c>
      <c r="C87">
        <v>9</v>
      </c>
      <c r="D87">
        <v>-5.7</v>
      </c>
      <c r="E87">
        <v>1.2</v>
      </c>
    </row>
    <row r="88" spans="1:5" x14ac:dyDescent="0.2">
      <c r="A88">
        <v>81</v>
      </c>
      <c r="B88">
        <v>123</v>
      </c>
      <c r="C88">
        <v>9</v>
      </c>
      <c r="D88">
        <v>-5.5</v>
      </c>
      <c r="E88">
        <v>1.2</v>
      </c>
    </row>
    <row r="89" spans="1:5" x14ac:dyDescent="0.2">
      <c r="A89">
        <v>82</v>
      </c>
      <c r="B89">
        <v>124</v>
      </c>
      <c r="C89">
        <v>9</v>
      </c>
      <c r="D89">
        <v>-5.5</v>
      </c>
      <c r="E89">
        <v>1.2</v>
      </c>
    </row>
    <row r="90" spans="1:5" x14ac:dyDescent="0.2">
      <c r="A90">
        <v>83</v>
      </c>
      <c r="B90">
        <v>125</v>
      </c>
      <c r="C90">
        <v>9</v>
      </c>
      <c r="D90">
        <v>-5.5</v>
      </c>
      <c r="E90">
        <v>1.2</v>
      </c>
    </row>
    <row r="91" spans="1:5" x14ac:dyDescent="0.2">
      <c r="A91">
        <v>84</v>
      </c>
      <c r="B91">
        <v>127</v>
      </c>
      <c r="C91">
        <v>9</v>
      </c>
      <c r="D91">
        <v>-5.6</v>
      </c>
      <c r="E91">
        <v>1.2</v>
      </c>
    </row>
    <row r="92" spans="1:5" x14ac:dyDescent="0.2">
      <c r="A92">
        <v>85</v>
      </c>
      <c r="B92">
        <v>128</v>
      </c>
      <c r="C92">
        <v>9</v>
      </c>
      <c r="D92">
        <v>-5.6</v>
      </c>
      <c r="E92">
        <v>1.2</v>
      </c>
    </row>
    <row r="93" spans="1:5" x14ac:dyDescent="0.2">
      <c r="A93">
        <v>86</v>
      </c>
      <c r="B93">
        <v>129</v>
      </c>
      <c r="C93">
        <v>9</v>
      </c>
      <c r="D93">
        <v>-5.6</v>
      </c>
      <c r="E93">
        <v>1.2</v>
      </c>
    </row>
    <row r="94" spans="1:5" x14ac:dyDescent="0.2">
      <c r="A94">
        <v>87</v>
      </c>
      <c r="B94">
        <v>128</v>
      </c>
      <c r="C94">
        <v>9</v>
      </c>
      <c r="D94">
        <v>-5.4</v>
      </c>
      <c r="E94">
        <v>1.2</v>
      </c>
    </row>
    <row r="95" spans="1:5" x14ac:dyDescent="0.2">
      <c r="A95">
        <v>88</v>
      </c>
      <c r="B95">
        <v>127</v>
      </c>
      <c r="C95">
        <v>9</v>
      </c>
      <c r="D95">
        <v>-5.0999999999999996</v>
      </c>
      <c r="E95">
        <v>1.2</v>
      </c>
    </row>
    <row r="96" spans="1:5" x14ac:dyDescent="0.2">
      <c r="A96">
        <v>89</v>
      </c>
      <c r="B96">
        <v>126</v>
      </c>
      <c r="C96">
        <v>9</v>
      </c>
      <c r="D96">
        <v>-4.9000000000000004</v>
      </c>
      <c r="E96">
        <v>1.2</v>
      </c>
    </row>
    <row r="97" spans="1:5" x14ac:dyDescent="0.2">
      <c r="A97">
        <v>90</v>
      </c>
      <c r="B97">
        <v>125</v>
      </c>
      <c r="C97">
        <v>9</v>
      </c>
      <c r="D97">
        <v>-4.5999999999999996</v>
      </c>
      <c r="E97">
        <v>1.2</v>
      </c>
    </row>
    <row r="98" spans="1:5" x14ac:dyDescent="0.2">
      <c r="A98">
        <v>91</v>
      </c>
      <c r="B98">
        <v>124</v>
      </c>
      <c r="C98">
        <v>10</v>
      </c>
      <c r="D98">
        <v>-4.4000000000000004</v>
      </c>
      <c r="E98">
        <v>1.2</v>
      </c>
    </row>
    <row r="99" spans="1:5" x14ac:dyDescent="0.2">
      <c r="A99">
        <v>92</v>
      </c>
      <c r="B99">
        <v>125</v>
      </c>
      <c r="C99">
        <v>10</v>
      </c>
      <c r="D99">
        <v>-4.4000000000000004</v>
      </c>
      <c r="E99">
        <v>1.2</v>
      </c>
    </row>
    <row r="100" spans="1:5" x14ac:dyDescent="0.2">
      <c r="A100">
        <v>93</v>
      </c>
      <c r="B100">
        <v>125</v>
      </c>
      <c r="C100">
        <v>10</v>
      </c>
      <c r="D100">
        <v>-4.3</v>
      </c>
      <c r="E100">
        <v>1.2</v>
      </c>
    </row>
    <row r="101" spans="1:5" x14ac:dyDescent="0.2">
      <c r="A101">
        <v>94</v>
      </c>
      <c r="B101">
        <v>126</v>
      </c>
      <c r="C101">
        <v>10</v>
      </c>
      <c r="D101">
        <v>-4.3</v>
      </c>
      <c r="E101">
        <v>1.2</v>
      </c>
    </row>
    <row r="102" spans="1:5" x14ac:dyDescent="0.2">
      <c r="A102">
        <v>95</v>
      </c>
      <c r="B102">
        <v>127</v>
      </c>
      <c r="C102">
        <v>10</v>
      </c>
      <c r="D102">
        <v>-4.3</v>
      </c>
      <c r="E102">
        <v>1.2</v>
      </c>
    </row>
    <row r="103" spans="1:5" x14ac:dyDescent="0.2">
      <c r="A103">
        <v>96</v>
      </c>
      <c r="B103">
        <v>127</v>
      </c>
      <c r="C103">
        <v>10</v>
      </c>
      <c r="D103">
        <v>-4.2</v>
      </c>
      <c r="E103">
        <v>1.2</v>
      </c>
    </row>
    <row r="104" spans="1:5" x14ac:dyDescent="0.2">
      <c r="A104">
        <v>97</v>
      </c>
      <c r="B104">
        <v>127</v>
      </c>
      <c r="C104">
        <v>10</v>
      </c>
      <c r="D104">
        <v>-4</v>
      </c>
      <c r="E104">
        <v>1.2</v>
      </c>
    </row>
    <row r="105" spans="1:5" x14ac:dyDescent="0.2">
      <c r="A105">
        <v>98</v>
      </c>
      <c r="B105">
        <v>126</v>
      </c>
      <c r="C105">
        <v>10</v>
      </c>
      <c r="D105">
        <v>-3.8</v>
      </c>
      <c r="E105">
        <v>1.2</v>
      </c>
    </row>
    <row r="106" spans="1:5" x14ac:dyDescent="0.2">
      <c r="A106">
        <v>99</v>
      </c>
      <c r="B106">
        <v>125</v>
      </c>
      <c r="C106">
        <v>10</v>
      </c>
      <c r="D106">
        <v>-3.6</v>
      </c>
      <c r="E106">
        <v>1.2</v>
      </c>
    </row>
    <row r="107" spans="1:5" x14ac:dyDescent="0.2">
      <c r="A107">
        <v>100</v>
      </c>
      <c r="B107">
        <v>124</v>
      </c>
      <c r="C107">
        <v>10</v>
      </c>
      <c r="D107">
        <v>-3.4</v>
      </c>
      <c r="E107">
        <v>1.2</v>
      </c>
    </row>
    <row r="108" spans="1:5" x14ac:dyDescent="0.2">
      <c r="A108">
        <v>101</v>
      </c>
      <c r="B108">
        <v>124</v>
      </c>
      <c r="C108">
        <v>10</v>
      </c>
      <c r="D108">
        <v>-3.2</v>
      </c>
      <c r="E108">
        <v>1.2</v>
      </c>
    </row>
    <row r="109" spans="1:5" x14ac:dyDescent="0.2">
      <c r="A109">
        <v>102</v>
      </c>
      <c r="B109">
        <v>123</v>
      </c>
      <c r="C109">
        <v>10</v>
      </c>
      <c r="D109">
        <v>-3</v>
      </c>
      <c r="E109">
        <v>1.2</v>
      </c>
    </row>
    <row r="110" spans="1:5" x14ac:dyDescent="0.2">
      <c r="A110">
        <v>103</v>
      </c>
      <c r="B110">
        <v>124</v>
      </c>
      <c r="C110">
        <v>10</v>
      </c>
      <c r="D110">
        <v>-2.9</v>
      </c>
      <c r="E110">
        <v>1.2</v>
      </c>
    </row>
    <row r="111" spans="1:5" x14ac:dyDescent="0.2">
      <c r="A111">
        <v>104</v>
      </c>
      <c r="B111">
        <v>124</v>
      </c>
      <c r="C111">
        <v>10</v>
      </c>
      <c r="D111">
        <v>-2.9</v>
      </c>
      <c r="E111">
        <v>1.2</v>
      </c>
    </row>
    <row r="112" spans="1:5" x14ac:dyDescent="0.2">
      <c r="A112">
        <v>105</v>
      </c>
      <c r="B112">
        <v>125</v>
      </c>
      <c r="C112">
        <v>10</v>
      </c>
      <c r="D112">
        <v>-2.8</v>
      </c>
      <c r="E112">
        <v>1.2</v>
      </c>
    </row>
    <row r="113" spans="1:5" x14ac:dyDescent="0.2">
      <c r="A113">
        <v>106</v>
      </c>
      <c r="B113">
        <v>126</v>
      </c>
      <c r="C113">
        <v>10</v>
      </c>
      <c r="D113">
        <v>-2.8</v>
      </c>
      <c r="E113">
        <v>1.2</v>
      </c>
    </row>
    <row r="114" spans="1:5" x14ac:dyDescent="0.2">
      <c r="A114">
        <v>107</v>
      </c>
      <c r="B114">
        <v>127</v>
      </c>
      <c r="C114">
        <v>10</v>
      </c>
      <c r="D114">
        <v>-2.8</v>
      </c>
      <c r="E114">
        <v>1.2</v>
      </c>
    </row>
    <row r="115" spans="1:5" x14ac:dyDescent="0.2">
      <c r="A115">
        <v>108</v>
      </c>
      <c r="B115">
        <v>128</v>
      </c>
      <c r="C115">
        <v>10</v>
      </c>
      <c r="D115">
        <v>-2.9</v>
      </c>
      <c r="E115">
        <v>1.2</v>
      </c>
    </row>
    <row r="116" spans="1:5" x14ac:dyDescent="0.2">
      <c r="A116">
        <v>109</v>
      </c>
      <c r="B116">
        <v>129</v>
      </c>
      <c r="C116">
        <v>10</v>
      </c>
      <c r="D116">
        <v>-2.8</v>
      </c>
      <c r="E116">
        <v>1.2</v>
      </c>
    </row>
    <row r="117" spans="1:5" x14ac:dyDescent="0.2">
      <c r="A117">
        <v>110</v>
      </c>
      <c r="B117">
        <v>129</v>
      </c>
      <c r="C117">
        <v>10</v>
      </c>
      <c r="D117">
        <v>-2.7</v>
      </c>
      <c r="E117">
        <v>1.2</v>
      </c>
    </row>
    <row r="118" spans="1:5" x14ac:dyDescent="0.2">
      <c r="A118">
        <v>111</v>
      </c>
      <c r="B118">
        <v>128</v>
      </c>
      <c r="C118">
        <v>10</v>
      </c>
      <c r="D118">
        <v>-2.5</v>
      </c>
      <c r="E118">
        <v>1.2</v>
      </c>
    </row>
    <row r="119" spans="1:5" x14ac:dyDescent="0.2">
      <c r="A119">
        <v>112</v>
      </c>
      <c r="B119">
        <v>127</v>
      </c>
      <c r="C119">
        <v>10</v>
      </c>
      <c r="D119">
        <v>-2.2000000000000002</v>
      </c>
      <c r="E119">
        <v>1.2</v>
      </c>
    </row>
    <row r="120" spans="1:5" x14ac:dyDescent="0.2">
      <c r="A120">
        <v>113</v>
      </c>
      <c r="B120">
        <v>124</v>
      </c>
      <c r="C120">
        <v>9</v>
      </c>
      <c r="D120">
        <v>-1.8</v>
      </c>
      <c r="E120">
        <v>1.2</v>
      </c>
    </row>
    <row r="121" spans="1:5" x14ac:dyDescent="0.2">
      <c r="A121">
        <v>114</v>
      </c>
      <c r="B121">
        <v>121</v>
      </c>
      <c r="C121">
        <v>10</v>
      </c>
      <c r="D121">
        <v>-1.3</v>
      </c>
      <c r="E121">
        <v>1.2</v>
      </c>
    </row>
    <row r="122" spans="1:5" x14ac:dyDescent="0.2">
      <c r="A122">
        <v>115</v>
      </c>
      <c r="B122">
        <v>117</v>
      </c>
      <c r="C122">
        <v>9</v>
      </c>
      <c r="D122">
        <v>-0.6</v>
      </c>
      <c r="E122">
        <v>1.2</v>
      </c>
    </row>
    <row r="123" spans="1:5" x14ac:dyDescent="0.2">
      <c r="A123">
        <v>116</v>
      </c>
      <c r="B123">
        <v>112</v>
      </c>
      <c r="C123">
        <v>10</v>
      </c>
      <c r="D123">
        <v>0</v>
      </c>
      <c r="E123">
        <v>1.2</v>
      </c>
    </row>
    <row r="124" spans="1:5" x14ac:dyDescent="0.2">
      <c r="A124">
        <v>117</v>
      </c>
      <c r="B124">
        <v>108</v>
      </c>
      <c r="C124">
        <v>10</v>
      </c>
      <c r="D124">
        <v>0.7</v>
      </c>
      <c r="E124">
        <v>1.2</v>
      </c>
    </row>
    <row r="125" spans="1:5" x14ac:dyDescent="0.2">
      <c r="A125">
        <v>118</v>
      </c>
      <c r="B125">
        <v>104</v>
      </c>
      <c r="C125">
        <v>9</v>
      </c>
      <c r="D125">
        <v>1.4</v>
      </c>
      <c r="E125">
        <v>1.2</v>
      </c>
    </row>
    <row r="126" spans="1:5" x14ac:dyDescent="0.2">
      <c r="A126">
        <v>119</v>
      </c>
      <c r="B126">
        <v>100</v>
      </c>
      <c r="C126">
        <v>9</v>
      </c>
      <c r="D126">
        <v>1.9</v>
      </c>
      <c r="E126">
        <v>1.2</v>
      </c>
    </row>
    <row r="127" spans="1:5" x14ac:dyDescent="0.2">
      <c r="A127">
        <v>120</v>
      </c>
      <c r="B127">
        <v>98</v>
      </c>
      <c r="C127">
        <v>9</v>
      </c>
      <c r="D127">
        <v>2.4</v>
      </c>
      <c r="E127">
        <v>1.2</v>
      </c>
    </row>
    <row r="128" spans="1:5" x14ac:dyDescent="0.2">
      <c r="A128">
        <v>121</v>
      </c>
      <c r="B128">
        <v>96</v>
      </c>
      <c r="C128">
        <v>10</v>
      </c>
      <c r="D128">
        <v>2.7</v>
      </c>
      <c r="E128">
        <v>1.2</v>
      </c>
    </row>
    <row r="129" spans="1:5" x14ac:dyDescent="0.2">
      <c r="A129">
        <v>122</v>
      </c>
      <c r="B129">
        <v>96</v>
      </c>
      <c r="C129">
        <v>10</v>
      </c>
      <c r="D129">
        <v>2.9</v>
      </c>
      <c r="E129">
        <v>1.2</v>
      </c>
    </row>
    <row r="130" spans="1:5" x14ac:dyDescent="0.2">
      <c r="A130">
        <v>123</v>
      </c>
      <c r="B130">
        <v>96</v>
      </c>
      <c r="C130">
        <v>9</v>
      </c>
      <c r="D130">
        <v>2.9</v>
      </c>
      <c r="E130">
        <v>1.2</v>
      </c>
    </row>
    <row r="131" spans="1:5" x14ac:dyDescent="0.2">
      <c r="A131">
        <v>124</v>
      </c>
      <c r="B131">
        <v>98</v>
      </c>
      <c r="C131">
        <v>9</v>
      </c>
      <c r="D131">
        <v>2.8</v>
      </c>
      <c r="E131">
        <v>1.2</v>
      </c>
    </row>
    <row r="132" spans="1:5" x14ac:dyDescent="0.2">
      <c r="A132">
        <v>125</v>
      </c>
      <c r="B132">
        <v>100</v>
      </c>
      <c r="C132">
        <v>9</v>
      </c>
      <c r="D132">
        <v>2.7</v>
      </c>
      <c r="E132">
        <v>1.2</v>
      </c>
    </row>
    <row r="133" spans="1:5" x14ac:dyDescent="0.2">
      <c r="A133">
        <v>126</v>
      </c>
      <c r="B133">
        <v>102</v>
      </c>
      <c r="C133">
        <v>9</v>
      </c>
      <c r="D133">
        <v>2.5</v>
      </c>
      <c r="E133">
        <v>1.2</v>
      </c>
    </row>
    <row r="134" spans="1:5" x14ac:dyDescent="0.2">
      <c r="A134">
        <v>127</v>
      </c>
      <c r="B134">
        <v>104</v>
      </c>
      <c r="C134">
        <v>9</v>
      </c>
      <c r="D134">
        <v>2.5</v>
      </c>
      <c r="E134">
        <v>1.2</v>
      </c>
    </row>
    <row r="135" spans="1:5" x14ac:dyDescent="0.2">
      <c r="A135">
        <v>128</v>
      </c>
      <c r="B135">
        <v>104</v>
      </c>
      <c r="C135">
        <v>9</v>
      </c>
      <c r="D135">
        <v>2.5</v>
      </c>
      <c r="E135">
        <v>1.2</v>
      </c>
    </row>
    <row r="136" spans="1:5" x14ac:dyDescent="0.2">
      <c r="A136">
        <v>129</v>
      </c>
      <c r="B136">
        <v>105</v>
      </c>
      <c r="C136">
        <v>9</v>
      </c>
      <c r="D136">
        <v>2.6</v>
      </c>
      <c r="E136">
        <v>1.2</v>
      </c>
    </row>
    <row r="137" spans="1:5" x14ac:dyDescent="0.2">
      <c r="A137">
        <v>130</v>
      </c>
      <c r="B137">
        <v>104</v>
      </c>
      <c r="C137">
        <v>9</v>
      </c>
      <c r="D137">
        <v>2.7</v>
      </c>
      <c r="E137">
        <v>1.2</v>
      </c>
    </row>
    <row r="138" spans="1:5" x14ac:dyDescent="0.2">
      <c r="A138">
        <v>131</v>
      </c>
      <c r="B138">
        <v>104</v>
      </c>
      <c r="C138">
        <v>9</v>
      </c>
      <c r="D138">
        <v>2.9</v>
      </c>
      <c r="E138">
        <v>1.2</v>
      </c>
    </row>
    <row r="139" spans="1:5" x14ac:dyDescent="0.2">
      <c r="A139">
        <v>132</v>
      </c>
      <c r="B139">
        <v>105</v>
      </c>
      <c r="C139">
        <v>9</v>
      </c>
      <c r="D139">
        <v>2.9</v>
      </c>
      <c r="E139">
        <v>1.2</v>
      </c>
    </row>
    <row r="140" spans="1:5" x14ac:dyDescent="0.2">
      <c r="A140">
        <v>133</v>
      </c>
      <c r="B140">
        <v>106</v>
      </c>
      <c r="C140">
        <v>10</v>
      </c>
      <c r="D140">
        <v>2.9</v>
      </c>
      <c r="E140">
        <v>1.2</v>
      </c>
    </row>
    <row r="141" spans="1:5" x14ac:dyDescent="0.2">
      <c r="A141">
        <v>134</v>
      </c>
      <c r="B141">
        <v>107</v>
      </c>
      <c r="C141">
        <v>10</v>
      </c>
      <c r="D141">
        <v>2.8</v>
      </c>
      <c r="E141">
        <v>1.2</v>
      </c>
    </row>
    <row r="142" spans="1:5" x14ac:dyDescent="0.2">
      <c r="A142">
        <v>135</v>
      </c>
      <c r="B142">
        <v>110</v>
      </c>
      <c r="C142">
        <v>10</v>
      </c>
      <c r="D142">
        <v>2.7</v>
      </c>
      <c r="E142">
        <v>1.2</v>
      </c>
    </row>
    <row r="143" spans="1:5" x14ac:dyDescent="0.2">
      <c r="A143">
        <v>136</v>
      </c>
      <c r="B143">
        <v>113</v>
      </c>
      <c r="C143">
        <v>10</v>
      </c>
      <c r="D143">
        <v>2.4</v>
      </c>
      <c r="E143">
        <v>1.2</v>
      </c>
    </row>
    <row r="144" spans="1:5" x14ac:dyDescent="0.2">
      <c r="A144">
        <v>137</v>
      </c>
      <c r="B144">
        <v>117</v>
      </c>
      <c r="C144">
        <v>10</v>
      </c>
      <c r="D144">
        <v>2.1</v>
      </c>
      <c r="E144">
        <v>1.2</v>
      </c>
    </row>
    <row r="145" spans="1:5" x14ac:dyDescent="0.2">
      <c r="A145">
        <v>138</v>
      </c>
      <c r="B145">
        <v>121</v>
      </c>
      <c r="C145">
        <v>10</v>
      </c>
      <c r="D145">
        <v>1.6</v>
      </c>
      <c r="E145">
        <v>1.2</v>
      </c>
    </row>
    <row r="146" spans="1:5" x14ac:dyDescent="0.2">
      <c r="A146">
        <v>139</v>
      </c>
      <c r="B146">
        <v>127</v>
      </c>
      <c r="C146">
        <v>10</v>
      </c>
      <c r="D146">
        <v>1.1000000000000001</v>
      </c>
      <c r="E146">
        <v>1.2</v>
      </c>
    </row>
    <row r="147" spans="1:5" x14ac:dyDescent="0.2">
      <c r="A147">
        <v>140</v>
      </c>
      <c r="B147">
        <v>133</v>
      </c>
      <c r="C147">
        <v>10</v>
      </c>
      <c r="D147">
        <v>0.4</v>
      </c>
      <c r="E147">
        <v>1.2</v>
      </c>
    </row>
    <row r="148" spans="1:5" x14ac:dyDescent="0.2">
      <c r="A148">
        <v>141</v>
      </c>
      <c r="B148">
        <v>139</v>
      </c>
      <c r="C148">
        <v>10</v>
      </c>
      <c r="D148">
        <v>-0.3</v>
      </c>
      <c r="E148">
        <v>1.2</v>
      </c>
    </row>
    <row r="149" spans="1:5" x14ac:dyDescent="0.2">
      <c r="A149">
        <v>142</v>
      </c>
      <c r="B149">
        <v>145</v>
      </c>
      <c r="C149">
        <v>10</v>
      </c>
      <c r="D149">
        <v>-0.8</v>
      </c>
      <c r="E149">
        <v>1.2</v>
      </c>
    </row>
    <row r="150" spans="1:5" x14ac:dyDescent="0.2">
      <c r="A150">
        <v>143</v>
      </c>
      <c r="B150">
        <v>150</v>
      </c>
      <c r="C150">
        <v>10</v>
      </c>
      <c r="D150">
        <v>-1.3</v>
      </c>
      <c r="E150">
        <v>1.2</v>
      </c>
    </row>
    <row r="151" spans="1:5" x14ac:dyDescent="0.2">
      <c r="A151">
        <v>144</v>
      </c>
      <c r="B151">
        <v>153</v>
      </c>
      <c r="C151">
        <v>10</v>
      </c>
      <c r="D151">
        <v>-1.6</v>
      </c>
      <c r="E151">
        <v>1.2</v>
      </c>
    </row>
    <row r="152" spans="1:5" x14ac:dyDescent="0.2">
      <c r="A152">
        <v>145</v>
      </c>
      <c r="B152">
        <v>156</v>
      </c>
      <c r="C152">
        <v>10</v>
      </c>
      <c r="D152">
        <v>-1.8</v>
      </c>
      <c r="E152">
        <v>1.2</v>
      </c>
    </row>
    <row r="153" spans="1:5" x14ac:dyDescent="0.2">
      <c r="A153">
        <v>146</v>
      </c>
      <c r="B153">
        <v>157</v>
      </c>
      <c r="C153">
        <v>10</v>
      </c>
      <c r="D153">
        <v>-1.9</v>
      </c>
      <c r="E153">
        <v>1.2</v>
      </c>
    </row>
    <row r="154" spans="1:5" x14ac:dyDescent="0.2">
      <c r="A154">
        <v>147</v>
      </c>
      <c r="B154">
        <v>159</v>
      </c>
      <c r="C154">
        <v>10</v>
      </c>
      <c r="D154">
        <v>-2</v>
      </c>
      <c r="E154">
        <v>1.2</v>
      </c>
    </row>
    <row r="155" spans="1:5" x14ac:dyDescent="0.2">
      <c r="A155">
        <v>148</v>
      </c>
      <c r="B155">
        <v>161</v>
      </c>
      <c r="C155">
        <v>10</v>
      </c>
      <c r="D155">
        <v>-2.1</v>
      </c>
      <c r="E155">
        <v>1.2</v>
      </c>
    </row>
    <row r="156" spans="1:5" x14ac:dyDescent="0.2">
      <c r="A156">
        <v>149</v>
      </c>
      <c r="B156">
        <v>163</v>
      </c>
      <c r="C156">
        <v>10</v>
      </c>
      <c r="D156">
        <v>-2.2999999999999998</v>
      </c>
      <c r="E156">
        <v>1.2</v>
      </c>
    </row>
    <row r="157" spans="1:5" x14ac:dyDescent="0.2">
      <c r="A157">
        <v>150</v>
      </c>
      <c r="B157">
        <v>167</v>
      </c>
      <c r="C157">
        <v>10</v>
      </c>
      <c r="D157">
        <v>-2.7</v>
      </c>
      <c r="E157">
        <v>1.2</v>
      </c>
    </row>
    <row r="158" spans="1:5" x14ac:dyDescent="0.2">
      <c r="A158">
        <v>151</v>
      </c>
      <c r="B158">
        <v>173</v>
      </c>
      <c r="C158">
        <v>10</v>
      </c>
      <c r="D158">
        <v>-3.3</v>
      </c>
      <c r="E158">
        <v>1.2</v>
      </c>
    </row>
    <row r="159" spans="1:5" x14ac:dyDescent="0.2">
      <c r="A159">
        <v>152</v>
      </c>
      <c r="B159">
        <v>180</v>
      </c>
      <c r="C159">
        <v>10</v>
      </c>
      <c r="D159">
        <v>-4</v>
      </c>
      <c r="E159">
        <v>1.2</v>
      </c>
    </row>
    <row r="160" spans="1:5" x14ac:dyDescent="0.2">
      <c r="A160">
        <v>153</v>
      </c>
      <c r="B160">
        <v>189</v>
      </c>
      <c r="C160">
        <v>10</v>
      </c>
      <c r="D160">
        <v>-5</v>
      </c>
      <c r="E160">
        <v>1.2</v>
      </c>
    </row>
    <row r="161" spans="1:5" x14ac:dyDescent="0.2">
      <c r="A161">
        <v>154</v>
      </c>
      <c r="B161">
        <v>198</v>
      </c>
      <c r="C161">
        <v>10</v>
      </c>
      <c r="D161">
        <v>-6</v>
      </c>
      <c r="E161">
        <v>1.2</v>
      </c>
    </row>
    <row r="162" spans="1:5" x14ac:dyDescent="0.2">
      <c r="A162">
        <v>155</v>
      </c>
      <c r="B162">
        <v>207</v>
      </c>
      <c r="C162">
        <v>10</v>
      </c>
      <c r="D162">
        <v>-7</v>
      </c>
      <c r="E162">
        <v>1.2</v>
      </c>
    </row>
    <row r="163" spans="1:5" x14ac:dyDescent="0.2">
      <c r="A163">
        <v>156</v>
      </c>
      <c r="B163">
        <v>215</v>
      </c>
      <c r="C163">
        <v>10</v>
      </c>
      <c r="D163">
        <v>-7.9</v>
      </c>
      <c r="E163">
        <v>1.2</v>
      </c>
    </row>
    <row r="164" spans="1:5" x14ac:dyDescent="0.2">
      <c r="A164">
        <v>157</v>
      </c>
      <c r="B164">
        <v>221</v>
      </c>
      <c r="C164">
        <v>10</v>
      </c>
      <c r="D164">
        <v>-8.5</v>
      </c>
      <c r="E164">
        <v>1.2</v>
      </c>
    </row>
    <row r="165" spans="1:5" x14ac:dyDescent="0.2">
      <c r="A165">
        <v>158</v>
      </c>
      <c r="B165">
        <v>225</v>
      </c>
      <c r="C165">
        <v>10</v>
      </c>
      <c r="D165">
        <v>-8.9</v>
      </c>
      <c r="E165">
        <v>1.2</v>
      </c>
    </row>
    <row r="166" spans="1:5" x14ac:dyDescent="0.2">
      <c r="A166">
        <v>159</v>
      </c>
      <c r="B166">
        <v>227</v>
      </c>
      <c r="C166">
        <v>10</v>
      </c>
      <c r="D166">
        <v>-9</v>
      </c>
      <c r="E166">
        <v>1.2</v>
      </c>
    </row>
    <row r="167" spans="1:5" x14ac:dyDescent="0.2">
      <c r="A167">
        <v>160</v>
      </c>
      <c r="B167">
        <v>228</v>
      </c>
      <c r="C167">
        <v>10</v>
      </c>
      <c r="D167">
        <v>-9</v>
      </c>
      <c r="E167">
        <v>1.2</v>
      </c>
    </row>
    <row r="168" spans="1:5" x14ac:dyDescent="0.2">
      <c r="A168">
        <v>161</v>
      </c>
      <c r="B168">
        <v>227</v>
      </c>
      <c r="C168">
        <v>10</v>
      </c>
      <c r="D168">
        <v>-8.6999999999999993</v>
      </c>
      <c r="E168">
        <v>1.2</v>
      </c>
    </row>
    <row r="169" spans="1:5" x14ac:dyDescent="0.2">
      <c r="A169">
        <v>162</v>
      </c>
      <c r="B169">
        <v>224</v>
      </c>
      <c r="C169">
        <v>10</v>
      </c>
      <c r="D169">
        <v>-8.3000000000000007</v>
      </c>
      <c r="E169">
        <v>1.2</v>
      </c>
    </row>
    <row r="170" spans="1:5" x14ac:dyDescent="0.2">
      <c r="A170">
        <v>163</v>
      </c>
      <c r="B170">
        <v>221</v>
      </c>
      <c r="C170">
        <v>10</v>
      </c>
      <c r="D170">
        <v>-7.8</v>
      </c>
      <c r="E170">
        <v>1.2</v>
      </c>
    </row>
    <row r="171" spans="1:5" x14ac:dyDescent="0.2">
      <c r="A171">
        <v>164</v>
      </c>
      <c r="B171">
        <v>218</v>
      </c>
      <c r="C171">
        <v>10</v>
      </c>
      <c r="D171">
        <v>-7.2</v>
      </c>
      <c r="E171">
        <v>1.2</v>
      </c>
    </row>
    <row r="172" spans="1:5" x14ac:dyDescent="0.2">
      <c r="A172">
        <v>165</v>
      </c>
      <c r="B172">
        <v>214</v>
      </c>
      <c r="C172">
        <v>10</v>
      </c>
      <c r="D172">
        <v>-6.6</v>
      </c>
      <c r="E172">
        <v>1.2</v>
      </c>
    </row>
    <row r="173" spans="1:5" x14ac:dyDescent="0.2">
      <c r="A173">
        <v>166</v>
      </c>
      <c r="B173">
        <v>209</v>
      </c>
      <c r="C173">
        <v>10</v>
      </c>
      <c r="D173">
        <v>-6</v>
      </c>
      <c r="E173">
        <v>1.2</v>
      </c>
    </row>
    <row r="174" spans="1:5" x14ac:dyDescent="0.2">
      <c r="A174">
        <v>167</v>
      </c>
      <c r="B174">
        <v>205</v>
      </c>
      <c r="C174">
        <v>10</v>
      </c>
      <c r="D174">
        <v>-5.3</v>
      </c>
      <c r="E174">
        <v>1.2</v>
      </c>
    </row>
    <row r="175" spans="1:5" x14ac:dyDescent="0.2">
      <c r="A175">
        <v>168</v>
      </c>
      <c r="B175">
        <v>200</v>
      </c>
      <c r="C175">
        <v>10</v>
      </c>
      <c r="D175">
        <v>-4.5999999999999996</v>
      </c>
      <c r="E175">
        <v>1.2</v>
      </c>
    </row>
    <row r="176" spans="1:5" x14ac:dyDescent="0.2">
      <c r="A176">
        <v>169</v>
      </c>
      <c r="B176">
        <v>195</v>
      </c>
      <c r="C176">
        <v>10</v>
      </c>
      <c r="D176">
        <v>-3.8</v>
      </c>
      <c r="E176">
        <v>1.2</v>
      </c>
    </row>
    <row r="177" spans="1:5" x14ac:dyDescent="0.2">
      <c r="A177">
        <v>170</v>
      </c>
      <c r="B177">
        <v>189</v>
      </c>
      <c r="C177">
        <v>10</v>
      </c>
      <c r="D177">
        <v>-3</v>
      </c>
      <c r="E177">
        <v>1.2</v>
      </c>
    </row>
    <row r="178" spans="1:5" x14ac:dyDescent="0.2">
      <c r="A178">
        <v>171</v>
      </c>
      <c r="B178">
        <v>184</v>
      </c>
      <c r="C178">
        <v>10</v>
      </c>
      <c r="D178">
        <v>-2.2000000000000002</v>
      </c>
      <c r="E178">
        <v>1.2</v>
      </c>
    </row>
    <row r="179" spans="1:5" x14ac:dyDescent="0.2">
      <c r="A179">
        <v>172</v>
      </c>
      <c r="B179">
        <v>179</v>
      </c>
      <c r="C179">
        <v>10</v>
      </c>
      <c r="D179">
        <v>-1.5</v>
      </c>
      <c r="E179">
        <v>1.2</v>
      </c>
    </row>
    <row r="180" spans="1:5" x14ac:dyDescent="0.2">
      <c r="A180">
        <v>173</v>
      </c>
      <c r="B180">
        <v>176</v>
      </c>
      <c r="C180">
        <v>10</v>
      </c>
      <c r="D180">
        <v>-1</v>
      </c>
      <c r="E180">
        <v>1.2</v>
      </c>
    </row>
    <row r="181" spans="1:5" x14ac:dyDescent="0.2">
      <c r="A181">
        <v>174</v>
      </c>
      <c r="B181">
        <v>174</v>
      </c>
      <c r="C181">
        <v>10</v>
      </c>
      <c r="D181">
        <v>-0.6</v>
      </c>
      <c r="E181">
        <v>1.2</v>
      </c>
    </row>
    <row r="182" spans="1:5" x14ac:dyDescent="0.2">
      <c r="A182">
        <v>175</v>
      </c>
      <c r="B182">
        <v>174</v>
      </c>
      <c r="C182">
        <v>10</v>
      </c>
      <c r="D182">
        <v>-0.5</v>
      </c>
      <c r="E182">
        <v>1.2</v>
      </c>
    </row>
    <row r="183" spans="1:5" x14ac:dyDescent="0.2">
      <c r="A183">
        <v>176</v>
      </c>
      <c r="B183">
        <v>175</v>
      </c>
      <c r="C183">
        <v>10</v>
      </c>
      <c r="D183">
        <v>-0.5</v>
      </c>
      <c r="E183">
        <v>1.2</v>
      </c>
    </row>
    <row r="184" spans="1:5" x14ac:dyDescent="0.2">
      <c r="A184">
        <v>177</v>
      </c>
      <c r="B184">
        <v>178</v>
      </c>
      <c r="C184">
        <v>10</v>
      </c>
      <c r="D184">
        <v>-0.7</v>
      </c>
      <c r="E184">
        <v>1.2</v>
      </c>
    </row>
    <row r="185" spans="1:5" x14ac:dyDescent="0.2">
      <c r="A185">
        <v>178</v>
      </c>
      <c r="B185">
        <v>181</v>
      </c>
      <c r="C185">
        <v>10</v>
      </c>
      <c r="D185">
        <v>-0.9</v>
      </c>
      <c r="E185">
        <v>1.2</v>
      </c>
    </row>
    <row r="186" spans="1:5" x14ac:dyDescent="0.2">
      <c r="A186">
        <v>179</v>
      </c>
      <c r="B186">
        <v>183</v>
      </c>
      <c r="C186">
        <v>10</v>
      </c>
      <c r="D186">
        <v>-1.1000000000000001</v>
      </c>
      <c r="E186">
        <v>1.2</v>
      </c>
    </row>
    <row r="187" spans="1:5" x14ac:dyDescent="0.2">
      <c r="A187">
        <v>180</v>
      </c>
      <c r="B187">
        <v>185</v>
      </c>
      <c r="C187">
        <v>10</v>
      </c>
      <c r="D187">
        <v>-1.2</v>
      </c>
      <c r="E187">
        <v>1.2</v>
      </c>
    </row>
    <row r="188" spans="1:5" x14ac:dyDescent="0.2">
      <c r="A188">
        <v>181</v>
      </c>
      <c r="B188">
        <v>185</v>
      </c>
      <c r="C188">
        <v>10</v>
      </c>
      <c r="D188">
        <v>-1.1000000000000001</v>
      </c>
      <c r="E188">
        <v>1.2</v>
      </c>
    </row>
    <row r="189" spans="1:5" x14ac:dyDescent="0.2">
      <c r="A189">
        <v>182</v>
      </c>
      <c r="B189">
        <v>184</v>
      </c>
      <c r="C189">
        <v>10</v>
      </c>
      <c r="D189">
        <v>-0.9</v>
      </c>
      <c r="E189">
        <v>1.2</v>
      </c>
    </row>
    <row r="190" spans="1:5" x14ac:dyDescent="0.2">
      <c r="A190">
        <v>183</v>
      </c>
      <c r="B190">
        <v>182</v>
      </c>
      <c r="C190">
        <v>10</v>
      </c>
      <c r="D190">
        <v>-0.5</v>
      </c>
      <c r="E190">
        <v>1.2</v>
      </c>
    </row>
    <row r="191" spans="1:5" x14ac:dyDescent="0.2">
      <c r="A191">
        <v>184</v>
      </c>
      <c r="B191">
        <v>179</v>
      </c>
      <c r="C191">
        <v>10</v>
      </c>
      <c r="D191">
        <v>-0.1</v>
      </c>
      <c r="E191">
        <v>1.2</v>
      </c>
    </row>
    <row r="192" spans="1:5" x14ac:dyDescent="0.2">
      <c r="A192">
        <v>185</v>
      </c>
      <c r="B192">
        <v>177</v>
      </c>
      <c r="C192">
        <v>10</v>
      </c>
      <c r="D192">
        <v>0.4</v>
      </c>
      <c r="E192">
        <v>1.2</v>
      </c>
    </row>
    <row r="193" spans="1:5" x14ac:dyDescent="0.2">
      <c r="A193">
        <v>186</v>
      </c>
      <c r="B193">
        <v>174</v>
      </c>
      <c r="C193">
        <v>10</v>
      </c>
      <c r="D193">
        <v>0.9</v>
      </c>
      <c r="E193">
        <v>1.2</v>
      </c>
    </row>
    <row r="194" spans="1:5" x14ac:dyDescent="0.2">
      <c r="A194">
        <v>187</v>
      </c>
      <c r="B194">
        <v>171</v>
      </c>
      <c r="C194">
        <v>10</v>
      </c>
      <c r="D194">
        <v>1.4</v>
      </c>
      <c r="E194">
        <v>1.2</v>
      </c>
    </row>
    <row r="195" spans="1:5" x14ac:dyDescent="0.2">
      <c r="A195">
        <v>188</v>
      </c>
      <c r="B195">
        <v>168</v>
      </c>
      <c r="C195">
        <v>10</v>
      </c>
      <c r="D195">
        <v>1.9</v>
      </c>
      <c r="E195">
        <v>1.2</v>
      </c>
    </row>
    <row r="196" spans="1:5" x14ac:dyDescent="0.2">
      <c r="A196">
        <v>189</v>
      </c>
      <c r="B196">
        <v>165</v>
      </c>
      <c r="C196">
        <v>10</v>
      </c>
      <c r="D196">
        <v>2.4</v>
      </c>
      <c r="E196">
        <v>1.2</v>
      </c>
    </row>
    <row r="197" spans="1:5" x14ac:dyDescent="0.2">
      <c r="A197">
        <v>190</v>
      </c>
      <c r="B197">
        <v>161</v>
      </c>
      <c r="C197">
        <v>10</v>
      </c>
      <c r="D197">
        <v>2.9</v>
      </c>
      <c r="E197">
        <v>1.2</v>
      </c>
    </row>
    <row r="198" spans="1:5" x14ac:dyDescent="0.2">
      <c r="A198">
        <v>191</v>
      </c>
      <c r="B198">
        <v>159</v>
      </c>
      <c r="C198">
        <v>10</v>
      </c>
      <c r="D198">
        <v>3.3</v>
      </c>
      <c r="E198">
        <v>1.2</v>
      </c>
    </row>
    <row r="199" spans="1:5" x14ac:dyDescent="0.2">
      <c r="A199">
        <v>192</v>
      </c>
      <c r="B199">
        <v>158</v>
      </c>
      <c r="C199">
        <v>10</v>
      </c>
      <c r="D199">
        <v>3.5</v>
      </c>
      <c r="E199">
        <v>1.2</v>
      </c>
    </row>
    <row r="200" spans="1:5" x14ac:dyDescent="0.2">
      <c r="A200">
        <v>193</v>
      </c>
      <c r="B200">
        <v>159</v>
      </c>
      <c r="C200">
        <v>10</v>
      </c>
      <c r="D200">
        <v>3.6</v>
      </c>
      <c r="E200">
        <v>1.2</v>
      </c>
    </row>
    <row r="201" spans="1:5" x14ac:dyDescent="0.2">
      <c r="A201">
        <v>194</v>
      </c>
      <c r="B201">
        <v>161</v>
      </c>
      <c r="C201">
        <v>9</v>
      </c>
      <c r="D201">
        <v>3.5</v>
      </c>
      <c r="E201">
        <v>1.2</v>
      </c>
    </row>
    <row r="202" spans="1:5" x14ac:dyDescent="0.2">
      <c r="A202">
        <v>195</v>
      </c>
      <c r="B202">
        <v>163</v>
      </c>
      <c r="C202">
        <v>9</v>
      </c>
      <c r="D202">
        <v>3.3</v>
      </c>
      <c r="E202">
        <v>1.2</v>
      </c>
    </row>
    <row r="203" spans="1:5" x14ac:dyDescent="0.2">
      <c r="A203">
        <v>196</v>
      </c>
      <c r="B203">
        <v>166</v>
      </c>
      <c r="C203">
        <v>10</v>
      </c>
      <c r="D203">
        <v>3</v>
      </c>
      <c r="E203">
        <v>1.2</v>
      </c>
    </row>
    <row r="204" spans="1:5" x14ac:dyDescent="0.2">
      <c r="A204">
        <v>197</v>
      </c>
      <c r="B204">
        <v>169</v>
      </c>
      <c r="C204">
        <v>10</v>
      </c>
      <c r="D204">
        <v>2.8</v>
      </c>
      <c r="E204">
        <v>1.2</v>
      </c>
    </row>
    <row r="205" spans="1:5" x14ac:dyDescent="0.2">
      <c r="A205">
        <v>198</v>
      </c>
      <c r="B205">
        <v>172</v>
      </c>
      <c r="C205">
        <v>10</v>
      </c>
      <c r="D205">
        <v>2.5</v>
      </c>
      <c r="E205">
        <v>1.2</v>
      </c>
    </row>
    <row r="206" spans="1:5" x14ac:dyDescent="0.2">
      <c r="A206">
        <v>199</v>
      </c>
      <c r="B206">
        <v>175</v>
      </c>
      <c r="C206">
        <v>10</v>
      </c>
      <c r="D206">
        <v>2.2999999999999998</v>
      </c>
      <c r="E206">
        <v>1.2</v>
      </c>
    </row>
    <row r="207" spans="1:5" x14ac:dyDescent="0.2">
      <c r="A207">
        <v>200</v>
      </c>
      <c r="B207">
        <v>177</v>
      </c>
      <c r="C207">
        <v>10</v>
      </c>
      <c r="D207">
        <v>2.2000000000000002</v>
      </c>
      <c r="E207">
        <v>1.2</v>
      </c>
    </row>
    <row r="208" spans="1:5" x14ac:dyDescent="0.2">
      <c r="A208">
        <v>201</v>
      </c>
      <c r="B208">
        <v>178</v>
      </c>
      <c r="C208">
        <v>10</v>
      </c>
      <c r="D208">
        <v>2.1</v>
      </c>
      <c r="E208">
        <v>1.2</v>
      </c>
    </row>
    <row r="209" spans="1:5" x14ac:dyDescent="0.2">
      <c r="A209">
        <v>202</v>
      </c>
      <c r="B209">
        <v>179</v>
      </c>
      <c r="C209">
        <v>10</v>
      </c>
      <c r="D209">
        <v>2.1</v>
      </c>
      <c r="E209">
        <v>1.2</v>
      </c>
    </row>
    <row r="210" spans="1:5" x14ac:dyDescent="0.2">
      <c r="A210">
        <v>203</v>
      </c>
      <c r="B210">
        <v>180</v>
      </c>
      <c r="C210">
        <v>10</v>
      </c>
      <c r="D210">
        <v>2.2000000000000002</v>
      </c>
      <c r="E210">
        <v>1.2</v>
      </c>
    </row>
    <row r="211" spans="1:5" x14ac:dyDescent="0.2">
      <c r="A211">
        <v>204</v>
      </c>
      <c r="B211">
        <v>180</v>
      </c>
      <c r="C211">
        <v>10</v>
      </c>
      <c r="D211">
        <v>2.2000000000000002</v>
      </c>
      <c r="E211">
        <v>1.2</v>
      </c>
    </row>
    <row r="212" spans="1:5" x14ac:dyDescent="0.2">
      <c r="A212">
        <v>205</v>
      </c>
      <c r="B212">
        <v>180</v>
      </c>
      <c r="C212">
        <v>10</v>
      </c>
      <c r="D212">
        <v>2.4</v>
      </c>
      <c r="E212">
        <v>1.2</v>
      </c>
    </row>
    <row r="213" spans="1:5" x14ac:dyDescent="0.2">
      <c r="A213">
        <v>206</v>
      </c>
      <c r="B213">
        <v>180</v>
      </c>
      <c r="C213">
        <v>10</v>
      </c>
      <c r="D213">
        <v>2.6</v>
      </c>
      <c r="E213">
        <v>1.2</v>
      </c>
    </row>
    <row r="214" spans="1:5" x14ac:dyDescent="0.2">
      <c r="A214">
        <v>207</v>
      </c>
      <c r="B214">
        <v>178</v>
      </c>
      <c r="C214">
        <v>10</v>
      </c>
      <c r="D214">
        <v>2.9</v>
      </c>
      <c r="E214">
        <v>1.2</v>
      </c>
    </row>
    <row r="215" spans="1:5" x14ac:dyDescent="0.2">
      <c r="A215">
        <v>208</v>
      </c>
      <c r="B215">
        <v>176</v>
      </c>
      <c r="C215">
        <v>10</v>
      </c>
      <c r="D215">
        <v>3.3</v>
      </c>
      <c r="E215">
        <v>1.2</v>
      </c>
    </row>
    <row r="216" spans="1:5" x14ac:dyDescent="0.2">
      <c r="A216">
        <v>209</v>
      </c>
      <c r="B216">
        <v>173</v>
      </c>
      <c r="C216">
        <v>10</v>
      </c>
      <c r="D216">
        <v>3.7</v>
      </c>
      <c r="E216">
        <v>1.2</v>
      </c>
    </row>
    <row r="217" spans="1:5" x14ac:dyDescent="0.2">
      <c r="A217">
        <v>210</v>
      </c>
      <c r="B217">
        <v>170</v>
      </c>
      <c r="C217">
        <v>10</v>
      </c>
      <c r="D217">
        <v>4.3</v>
      </c>
      <c r="E217">
        <v>1.2</v>
      </c>
    </row>
    <row r="218" spans="1:5" x14ac:dyDescent="0.2">
      <c r="A218">
        <v>211</v>
      </c>
      <c r="B218">
        <v>167</v>
      </c>
      <c r="C218">
        <v>10</v>
      </c>
      <c r="D218">
        <v>4.7</v>
      </c>
      <c r="E218">
        <v>1.2</v>
      </c>
    </row>
    <row r="219" spans="1:5" x14ac:dyDescent="0.2">
      <c r="A219">
        <v>212</v>
      </c>
      <c r="B219">
        <v>165</v>
      </c>
      <c r="C219">
        <v>10</v>
      </c>
      <c r="D219">
        <v>5.2</v>
      </c>
      <c r="E219">
        <v>1.2</v>
      </c>
    </row>
    <row r="220" spans="1:5" x14ac:dyDescent="0.2">
      <c r="A220">
        <v>213</v>
      </c>
      <c r="B220">
        <v>163</v>
      </c>
      <c r="C220">
        <v>10</v>
      </c>
      <c r="D220">
        <v>5.5</v>
      </c>
      <c r="E220">
        <v>1.2</v>
      </c>
    </row>
    <row r="221" spans="1:5" x14ac:dyDescent="0.2">
      <c r="A221">
        <v>214</v>
      </c>
      <c r="B221">
        <v>162</v>
      </c>
      <c r="C221">
        <v>10</v>
      </c>
      <c r="D221">
        <v>5.8</v>
      </c>
      <c r="E221">
        <v>1.2</v>
      </c>
    </row>
    <row r="222" spans="1:5" x14ac:dyDescent="0.2">
      <c r="A222">
        <v>215</v>
      </c>
      <c r="B222">
        <v>161</v>
      </c>
      <c r="C222">
        <v>10</v>
      </c>
      <c r="D222">
        <v>6</v>
      </c>
      <c r="E222">
        <v>1.2</v>
      </c>
    </row>
    <row r="223" spans="1:5" x14ac:dyDescent="0.2">
      <c r="A223">
        <v>216</v>
      </c>
      <c r="B223">
        <v>160</v>
      </c>
      <c r="C223">
        <v>10</v>
      </c>
      <c r="D223">
        <v>6.2</v>
      </c>
      <c r="E223">
        <v>1.2</v>
      </c>
    </row>
    <row r="224" spans="1:5" x14ac:dyDescent="0.2">
      <c r="A224">
        <v>217</v>
      </c>
      <c r="B224">
        <v>159</v>
      </c>
      <c r="C224">
        <v>10</v>
      </c>
      <c r="D224">
        <v>6.5</v>
      </c>
      <c r="E224">
        <v>1.2</v>
      </c>
    </row>
    <row r="225" spans="1:5" x14ac:dyDescent="0.2">
      <c r="A225">
        <v>218</v>
      </c>
      <c r="B225">
        <v>157</v>
      </c>
      <c r="C225">
        <v>10</v>
      </c>
      <c r="D225">
        <v>6.9</v>
      </c>
      <c r="E225">
        <v>1.2</v>
      </c>
    </row>
    <row r="226" spans="1:5" x14ac:dyDescent="0.2">
      <c r="A226">
        <v>219</v>
      </c>
      <c r="B226">
        <v>154</v>
      </c>
      <c r="C226">
        <v>10</v>
      </c>
      <c r="D226">
        <v>7.4</v>
      </c>
      <c r="E226">
        <v>1.2</v>
      </c>
    </row>
    <row r="227" spans="1:5" x14ac:dyDescent="0.2">
      <c r="A227">
        <v>220</v>
      </c>
      <c r="B227">
        <v>149</v>
      </c>
      <c r="C227">
        <v>10</v>
      </c>
      <c r="D227">
        <v>8</v>
      </c>
      <c r="E227">
        <v>1.2</v>
      </c>
    </row>
    <row r="228" spans="1:5" x14ac:dyDescent="0.2">
      <c r="A228">
        <v>221</v>
      </c>
      <c r="B228">
        <v>145</v>
      </c>
      <c r="C228">
        <v>10</v>
      </c>
      <c r="D228">
        <v>8.8000000000000007</v>
      </c>
      <c r="E228">
        <v>1.2</v>
      </c>
    </row>
    <row r="229" spans="1:5" x14ac:dyDescent="0.2">
      <c r="A229">
        <v>222</v>
      </c>
      <c r="B229">
        <v>140</v>
      </c>
      <c r="C229">
        <v>10</v>
      </c>
      <c r="D229">
        <v>9.5</v>
      </c>
      <c r="E229">
        <v>1.2</v>
      </c>
    </row>
    <row r="230" spans="1:5" x14ac:dyDescent="0.2">
      <c r="A230">
        <v>223</v>
      </c>
      <c r="B230">
        <v>135</v>
      </c>
      <c r="C230">
        <v>10</v>
      </c>
      <c r="D230">
        <v>10.199999999999999</v>
      </c>
      <c r="E230">
        <v>1.2</v>
      </c>
    </row>
    <row r="231" spans="1:5" x14ac:dyDescent="0.2">
      <c r="A231">
        <v>224</v>
      </c>
      <c r="B231">
        <v>131</v>
      </c>
      <c r="C231">
        <v>10</v>
      </c>
      <c r="D231">
        <v>10.9</v>
      </c>
      <c r="E231">
        <v>1.2</v>
      </c>
    </row>
    <row r="232" spans="1:5" x14ac:dyDescent="0.2">
      <c r="A232">
        <v>225</v>
      </c>
      <c r="B232">
        <v>127</v>
      </c>
      <c r="C232">
        <v>10</v>
      </c>
      <c r="D232">
        <v>11.5</v>
      </c>
      <c r="E232">
        <v>1.2</v>
      </c>
    </row>
    <row r="233" spans="1:5" x14ac:dyDescent="0.2">
      <c r="A233">
        <v>226</v>
      </c>
      <c r="B233">
        <v>123</v>
      </c>
      <c r="C233">
        <v>9</v>
      </c>
      <c r="D233">
        <v>12.1</v>
      </c>
      <c r="E233">
        <v>1.2</v>
      </c>
    </row>
    <row r="234" spans="1:5" x14ac:dyDescent="0.2">
      <c r="A234">
        <v>227</v>
      </c>
      <c r="B234">
        <v>119</v>
      </c>
      <c r="C234">
        <v>9</v>
      </c>
      <c r="D234">
        <v>12.7</v>
      </c>
      <c r="E234">
        <v>1.2</v>
      </c>
    </row>
    <row r="235" spans="1:5" x14ac:dyDescent="0.2">
      <c r="A235">
        <v>228</v>
      </c>
      <c r="B235">
        <v>115</v>
      </c>
      <c r="C235">
        <v>9</v>
      </c>
      <c r="D235">
        <v>13.3</v>
      </c>
      <c r="E235">
        <v>1.2</v>
      </c>
    </row>
    <row r="236" spans="1:5" x14ac:dyDescent="0.2">
      <c r="A236">
        <v>229</v>
      </c>
      <c r="B236">
        <v>111</v>
      </c>
      <c r="C236">
        <v>9</v>
      </c>
      <c r="D236">
        <v>14</v>
      </c>
      <c r="E236">
        <v>1.2</v>
      </c>
    </row>
    <row r="237" spans="1:5" x14ac:dyDescent="0.2">
      <c r="A237">
        <v>230</v>
      </c>
      <c r="B237">
        <v>107</v>
      </c>
      <c r="C237">
        <v>9</v>
      </c>
      <c r="D237">
        <v>14.6</v>
      </c>
      <c r="E237">
        <v>1.2</v>
      </c>
    </row>
    <row r="238" spans="1:5" x14ac:dyDescent="0.2">
      <c r="A238">
        <v>231</v>
      </c>
      <c r="B238">
        <v>103</v>
      </c>
      <c r="C238">
        <v>9</v>
      </c>
      <c r="D238">
        <v>15.2</v>
      </c>
      <c r="E238">
        <v>1.2</v>
      </c>
    </row>
    <row r="239" spans="1:5" x14ac:dyDescent="0.2">
      <c r="A239">
        <v>232</v>
      </c>
      <c r="B239">
        <v>100</v>
      </c>
      <c r="C239">
        <v>9</v>
      </c>
      <c r="D239">
        <v>15.8</v>
      </c>
      <c r="E239">
        <v>1.2</v>
      </c>
    </row>
    <row r="240" spans="1:5" x14ac:dyDescent="0.2">
      <c r="A240">
        <v>233</v>
      </c>
      <c r="B240">
        <v>97</v>
      </c>
      <c r="C240">
        <v>9</v>
      </c>
      <c r="D240">
        <v>16.2</v>
      </c>
      <c r="E240">
        <v>1.2</v>
      </c>
    </row>
    <row r="241" spans="1:5" x14ac:dyDescent="0.2">
      <c r="A241">
        <v>234</v>
      </c>
      <c r="B241">
        <v>96</v>
      </c>
      <c r="C241">
        <v>9</v>
      </c>
      <c r="D241">
        <v>16.5</v>
      </c>
      <c r="E241">
        <v>1.2</v>
      </c>
    </row>
    <row r="242" spans="1:5" x14ac:dyDescent="0.2">
      <c r="A242">
        <v>235</v>
      </c>
      <c r="B242">
        <v>96</v>
      </c>
      <c r="C242">
        <v>9</v>
      </c>
      <c r="D242">
        <v>16.600000000000001</v>
      </c>
      <c r="E242">
        <v>1.2</v>
      </c>
    </row>
    <row r="243" spans="1:5" x14ac:dyDescent="0.2">
      <c r="A243">
        <v>236</v>
      </c>
      <c r="B243">
        <v>97</v>
      </c>
      <c r="C243">
        <v>9</v>
      </c>
      <c r="D243">
        <v>16.600000000000001</v>
      </c>
      <c r="E243">
        <v>1.2</v>
      </c>
    </row>
    <row r="244" spans="1:5" x14ac:dyDescent="0.2">
      <c r="A244">
        <v>237</v>
      </c>
      <c r="B244">
        <v>98</v>
      </c>
      <c r="C244">
        <v>9</v>
      </c>
      <c r="D244">
        <v>16.600000000000001</v>
      </c>
      <c r="E244">
        <v>1.2</v>
      </c>
    </row>
    <row r="245" spans="1:5" x14ac:dyDescent="0.2">
      <c r="A245">
        <v>238</v>
      </c>
      <c r="B245">
        <v>99</v>
      </c>
      <c r="C245">
        <v>9</v>
      </c>
      <c r="D245">
        <v>16.5</v>
      </c>
      <c r="E245">
        <v>1.2</v>
      </c>
    </row>
    <row r="246" spans="1:5" x14ac:dyDescent="0.2">
      <c r="A246">
        <v>239</v>
      </c>
      <c r="B246">
        <v>101</v>
      </c>
      <c r="C246">
        <v>9</v>
      </c>
      <c r="D246">
        <v>16.5</v>
      </c>
      <c r="E246">
        <v>1.2</v>
      </c>
    </row>
    <row r="247" spans="1:5" x14ac:dyDescent="0.2">
      <c r="A247">
        <v>240</v>
      </c>
      <c r="B247">
        <v>103</v>
      </c>
      <c r="C247">
        <v>9</v>
      </c>
      <c r="D247">
        <v>16.3</v>
      </c>
      <c r="E247">
        <v>1.2</v>
      </c>
    </row>
    <row r="248" spans="1:5" x14ac:dyDescent="0.2">
      <c r="A248">
        <v>241</v>
      </c>
      <c r="B248">
        <v>105</v>
      </c>
      <c r="C248">
        <v>9</v>
      </c>
      <c r="D248">
        <v>16.2</v>
      </c>
      <c r="E248">
        <v>1.2</v>
      </c>
    </row>
    <row r="249" spans="1:5" x14ac:dyDescent="0.2">
      <c r="A249">
        <v>242</v>
      </c>
      <c r="B249">
        <v>107</v>
      </c>
      <c r="C249">
        <v>9</v>
      </c>
      <c r="D249">
        <v>16.100000000000001</v>
      </c>
      <c r="E249">
        <v>1.2</v>
      </c>
    </row>
    <row r="250" spans="1:5" x14ac:dyDescent="0.2">
      <c r="A250">
        <v>243</v>
      </c>
      <c r="B250">
        <v>108</v>
      </c>
      <c r="C250">
        <v>9</v>
      </c>
      <c r="D250">
        <v>16.100000000000001</v>
      </c>
      <c r="E250">
        <v>1.2</v>
      </c>
    </row>
    <row r="251" spans="1:5" x14ac:dyDescent="0.2">
      <c r="A251">
        <v>244</v>
      </c>
      <c r="B251">
        <v>108</v>
      </c>
      <c r="C251">
        <v>9</v>
      </c>
      <c r="D251">
        <v>16.100000000000001</v>
      </c>
      <c r="E251">
        <v>1.2</v>
      </c>
    </row>
    <row r="252" spans="1:5" x14ac:dyDescent="0.2">
      <c r="A252">
        <v>245</v>
      </c>
      <c r="B252">
        <v>108</v>
      </c>
      <c r="C252">
        <v>9</v>
      </c>
      <c r="D252">
        <v>16.3</v>
      </c>
      <c r="E252">
        <v>1.2</v>
      </c>
    </row>
    <row r="253" spans="1:5" x14ac:dyDescent="0.2">
      <c r="A253">
        <v>246</v>
      </c>
      <c r="B253">
        <v>108</v>
      </c>
      <c r="C253">
        <v>9</v>
      </c>
      <c r="D253">
        <v>16.5</v>
      </c>
      <c r="E253">
        <v>1.2</v>
      </c>
    </row>
    <row r="254" spans="1:5" x14ac:dyDescent="0.2">
      <c r="A254">
        <v>247</v>
      </c>
      <c r="B254">
        <v>107</v>
      </c>
      <c r="C254">
        <v>9</v>
      </c>
      <c r="D254">
        <v>16.600000000000001</v>
      </c>
      <c r="E254">
        <v>1.2</v>
      </c>
    </row>
    <row r="255" spans="1:5" x14ac:dyDescent="0.2">
      <c r="A255">
        <v>248</v>
      </c>
      <c r="B255">
        <v>107</v>
      </c>
      <c r="C255">
        <v>9</v>
      </c>
      <c r="D255">
        <v>16.8</v>
      </c>
      <c r="E255">
        <v>1.2</v>
      </c>
    </row>
    <row r="256" spans="1:5" x14ac:dyDescent="0.2">
      <c r="A256">
        <v>249</v>
      </c>
      <c r="B256">
        <v>108</v>
      </c>
      <c r="C256">
        <v>9</v>
      </c>
      <c r="D256">
        <v>16.8</v>
      </c>
      <c r="E256">
        <v>1.2</v>
      </c>
    </row>
    <row r="257" spans="1:5" x14ac:dyDescent="0.2">
      <c r="A257">
        <v>250</v>
      </c>
      <c r="B257">
        <v>110</v>
      </c>
      <c r="C257">
        <v>9</v>
      </c>
      <c r="D257">
        <v>16.7</v>
      </c>
      <c r="E257">
        <v>1.2</v>
      </c>
    </row>
    <row r="258" spans="1:5" x14ac:dyDescent="0.2">
      <c r="A258">
        <v>251</v>
      </c>
      <c r="B258">
        <v>112</v>
      </c>
      <c r="C258">
        <v>9</v>
      </c>
      <c r="D258">
        <v>16.600000000000001</v>
      </c>
      <c r="E258">
        <v>1.2</v>
      </c>
    </row>
    <row r="259" spans="1:5" x14ac:dyDescent="0.2">
      <c r="A259">
        <v>252</v>
      </c>
      <c r="B259">
        <v>115</v>
      </c>
      <c r="C259">
        <v>9</v>
      </c>
      <c r="D259">
        <v>16.3</v>
      </c>
      <c r="E259">
        <v>1.2</v>
      </c>
    </row>
    <row r="260" spans="1:5" x14ac:dyDescent="0.2">
      <c r="A260">
        <v>253</v>
      </c>
      <c r="B260">
        <v>118</v>
      </c>
      <c r="C260">
        <v>9</v>
      </c>
      <c r="D260">
        <v>16.100000000000001</v>
      </c>
      <c r="E260">
        <v>1.2</v>
      </c>
    </row>
    <row r="261" spans="1:5" x14ac:dyDescent="0.2">
      <c r="A261">
        <v>254</v>
      </c>
      <c r="B261">
        <v>122</v>
      </c>
      <c r="C261">
        <v>9</v>
      </c>
      <c r="D261">
        <v>15.7</v>
      </c>
      <c r="E261">
        <v>1.2</v>
      </c>
    </row>
    <row r="262" spans="1:5" x14ac:dyDescent="0.2">
      <c r="A262">
        <v>255</v>
      </c>
      <c r="B262">
        <v>125</v>
      </c>
      <c r="C262">
        <v>9</v>
      </c>
      <c r="D262">
        <v>15.4</v>
      </c>
      <c r="E262">
        <v>1.2</v>
      </c>
    </row>
    <row r="263" spans="1:5" x14ac:dyDescent="0.2">
      <c r="A263">
        <v>256</v>
      </c>
      <c r="B263">
        <v>129</v>
      </c>
      <c r="C263">
        <v>9</v>
      </c>
      <c r="D263">
        <v>15.1</v>
      </c>
      <c r="E263">
        <v>1.2</v>
      </c>
    </row>
    <row r="264" spans="1:5" x14ac:dyDescent="0.2">
      <c r="A264">
        <v>257</v>
      </c>
      <c r="B264">
        <v>132</v>
      </c>
      <c r="C264">
        <v>9</v>
      </c>
      <c r="D264">
        <v>14.8</v>
      </c>
      <c r="E264">
        <v>1.2</v>
      </c>
    </row>
    <row r="265" spans="1:5" x14ac:dyDescent="0.2">
      <c r="A265">
        <v>258</v>
      </c>
      <c r="B265">
        <v>135</v>
      </c>
      <c r="C265">
        <v>9</v>
      </c>
      <c r="D265">
        <v>14.5</v>
      </c>
      <c r="E265">
        <v>1.2</v>
      </c>
    </row>
    <row r="266" spans="1:5" x14ac:dyDescent="0.2">
      <c r="A266">
        <v>259</v>
      </c>
      <c r="B266">
        <v>138</v>
      </c>
      <c r="C266">
        <v>9</v>
      </c>
      <c r="D266">
        <v>14.3</v>
      </c>
      <c r="E266">
        <v>1.2</v>
      </c>
    </row>
    <row r="267" spans="1:5" x14ac:dyDescent="0.2">
      <c r="A267">
        <v>260</v>
      </c>
      <c r="B267">
        <v>141</v>
      </c>
      <c r="C267">
        <v>9</v>
      </c>
      <c r="D267">
        <v>14</v>
      </c>
      <c r="E267">
        <v>1.2</v>
      </c>
    </row>
    <row r="268" spans="1:5" x14ac:dyDescent="0.2">
      <c r="A268">
        <v>261</v>
      </c>
      <c r="B268">
        <v>144</v>
      </c>
      <c r="C268">
        <v>9</v>
      </c>
      <c r="D268">
        <v>13.8</v>
      </c>
      <c r="E268">
        <v>1.2</v>
      </c>
    </row>
    <row r="269" spans="1:5" x14ac:dyDescent="0.2">
      <c r="A269">
        <v>262</v>
      </c>
      <c r="B269">
        <v>147</v>
      </c>
      <c r="C269">
        <v>9</v>
      </c>
      <c r="D269">
        <v>13.5</v>
      </c>
      <c r="E269">
        <v>1.2</v>
      </c>
    </row>
    <row r="270" spans="1:5" x14ac:dyDescent="0.2">
      <c r="A270">
        <v>263</v>
      </c>
      <c r="B270">
        <v>150</v>
      </c>
      <c r="C270">
        <v>9</v>
      </c>
      <c r="D270">
        <v>13.2</v>
      </c>
      <c r="E270">
        <v>1.2</v>
      </c>
    </row>
    <row r="271" spans="1:5" x14ac:dyDescent="0.2">
      <c r="A271">
        <v>264</v>
      </c>
      <c r="B271">
        <v>153</v>
      </c>
      <c r="C271">
        <v>9</v>
      </c>
      <c r="D271">
        <v>13</v>
      </c>
      <c r="E271">
        <v>1.2</v>
      </c>
    </row>
    <row r="272" spans="1:5" x14ac:dyDescent="0.2">
      <c r="A272">
        <v>265</v>
      </c>
      <c r="B272">
        <v>156</v>
      </c>
      <c r="C272">
        <v>10</v>
      </c>
      <c r="D272">
        <v>12.7</v>
      </c>
      <c r="E272">
        <v>1.2</v>
      </c>
    </row>
    <row r="273" spans="1:5" x14ac:dyDescent="0.2">
      <c r="A273">
        <v>266</v>
      </c>
      <c r="B273">
        <v>159</v>
      </c>
      <c r="C273">
        <v>10</v>
      </c>
      <c r="D273">
        <v>12.4</v>
      </c>
      <c r="E273">
        <v>1.2</v>
      </c>
    </row>
    <row r="274" spans="1:5" x14ac:dyDescent="0.2">
      <c r="A274">
        <v>267</v>
      </c>
      <c r="B274">
        <v>163</v>
      </c>
      <c r="C274">
        <v>10</v>
      </c>
      <c r="D274">
        <v>12.1</v>
      </c>
      <c r="E274">
        <v>1.2</v>
      </c>
    </row>
    <row r="275" spans="1:5" x14ac:dyDescent="0.2">
      <c r="A275">
        <v>268</v>
      </c>
      <c r="B275">
        <v>166</v>
      </c>
      <c r="C275">
        <v>10</v>
      </c>
      <c r="D275">
        <v>11.9</v>
      </c>
      <c r="E275">
        <v>1.2</v>
      </c>
    </row>
    <row r="276" spans="1:5" x14ac:dyDescent="0.2">
      <c r="A276">
        <v>269</v>
      </c>
      <c r="B276">
        <v>168</v>
      </c>
      <c r="C276">
        <v>10</v>
      </c>
      <c r="D276">
        <v>11.6</v>
      </c>
      <c r="E276">
        <v>1.2</v>
      </c>
    </row>
    <row r="277" spans="1:5" x14ac:dyDescent="0.2">
      <c r="A277">
        <v>270</v>
      </c>
      <c r="B277">
        <v>171</v>
      </c>
      <c r="C277">
        <v>10</v>
      </c>
      <c r="D277">
        <v>11.4</v>
      </c>
      <c r="E277">
        <v>1.2</v>
      </c>
    </row>
    <row r="278" spans="1:5" x14ac:dyDescent="0.2">
      <c r="A278">
        <v>271</v>
      </c>
      <c r="B278">
        <v>173</v>
      </c>
      <c r="C278">
        <v>10</v>
      </c>
      <c r="D278">
        <v>11.3</v>
      </c>
      <c r="E278">
        <v>1.2</v>
      </c>
    </row>
    <row r="279" spans="1:5" x14ac:dyDescent="0.2">
      <c r="A279">
        <v>272</v>
      </c>
      <c r="B279">
        <v>175</v>
      </c>
      <c r="C279">
        <v>10</v>
      </c>
      <c r="D279">
        <v>11.2</v>
      </c>
      <c r="E279">
        <v>1.2</v>
      </c>
    </row>
    <row r="280" spans="1:5" x14ac:dyDescent="0.2">
      <c r="A280">
        <v>273</v>
      </c>
      <c r="B280">
        <v>176</v>
      </c>
      <c r="C280">
        <v>10</v>
      </c>
      <c r="D280">
        <v>11.2</v>
      </c>
      <c r="E280">
        <v>1.2</v>
      </c>
    </row>
    <row r="281" spans="1:5" x14ac:dyDescent="0.2">
      <c r="A281">
        <v>274</v>
      </c>
      <c r="B281">
        <v>176</v>
      </c>
      <c r="C281">
        <v>10</v>
      </c>
      <c r="D281">
        <v>11.3</v>
      </c>
      <c r="E281">
        <v>1.2</v>
      </c>
    </row>
    <row r="282" spans="1:5" x14ac:dyDescent="0.2">
      <c r="A282">
        <v>275</v>
      </c>
      <c r="B282">
        <v>176</v>
      </c>
      <c r="C282">
        <v>10</v>
      </c>
      <c r="D282">
        <v>11.4</v>
      </c>
      <c r="E282">
        <v>1.2</v>
      </c>
    </row>
    <row r="283" spans="1:5" x14ac:dyDescent="0.2">
      <c r="A283">
        <v>276</v>
      </c>
      <c r="B283">
        <v>176</v>
      </c>
      <c r="C283">
        <v>10</v>
      </c>
      <c r="D283">
        <v>11.5</v>
      </c>
      <c r="E283">
        <v>1.2</v>
      </c>
    </row>
    <row r="284" spans="1:5" x14ac:dyDescent="0.2">
      <c r="A284">
        <v>277</v>
      </c>
      <c r="B284">
        <v>177</v>
      </c>
      <c r="C284">
        <v>10</v>
      </c>
      <c r="D284">
        <v>11.5</v>
      </c>
      <c r="E284">
        <v>1.2</v>
      </c>
    </row>
    <row r="285" spans="1:5" x14ac:dyDescent="0.2">
      <c r="A285">
        <v>278</v>
      </c>
      <c r="B285">
        <v>179</v>
      </c>
      <c r="C285">
        <v>10</v>
      </c>
      <c r="D285">
        <v>11.4</v>
      </c>
      <c r="E285">
        <v>1.2</v>
      </c>
    </row>
    <row r="286" spans="1:5" x14ac:dyDescent="0.2">
      <c r="A286">
        <v>279</v>
      </c>
      <c r="B286">
        <v>183</v>
      </c>
      <c r="C286">
        <v>10</v>
      </c>
      <c r="D286">
        <v>11.1</v>
      </c>
      <c r="E286">
        <v>1.2</v>
      </c>
    </row>
    <row r="287" spans="1:5" x14ac:dyDescent="0.2">
      <c r="A287">
        <v>280</v>
      </c>
      <c r="B287">
        <v>187</v>
      </c>
      <c r="C287">
        <v>10</v>
      </c>
      <c r="D287">
        <v>10.7</v>
      </c>
      <c r="E287">
        <v>1.2</v>
      </c>
    </row>
    <row r="288" spans="1:5" x14ac:dyDescent="0.2">
      <c r="A288">
        <v>281</v>
      </c>
      <c r="B288">
        <v>192</v>
      </c>
      <c r="C288">
        <v>10</v>
      </c>
      <c r="D288">
        <v>10.199999999999999</v>
      </c>
      <c r="E288">
        <v>1.2</v>
      </c>
    </row>
    <row r="289" spans="1:5" x14ac:dyDescent="0.2">
      <c r="A289">
        <v>282</v>
      </c>
      <c r="B289">
        <v>196</v>
      </c>
      <c r="C289">
        <v>10</v>
      </c>
      <c r="D289">
        <v>9.6999999999999993</v>
      </c>
      <c r="E289">
        <v>1.2</v>
      </c>
    </row>
    <row r="290" spans="1:5" x14ac:dyDescent="0.2">
      <c r="A290">
        <v>283</v>
      </c>
      <c r="B290">
        <v>201</v>
      </c>
      <c r="C290">
        <v>10</v>
      </c>
      <c r="D290">
        <v>9.1999999999999993</v>
      </c>
      <c r="E290">
        <v>1.2</v>
      </c>
    </row>
    <row r="291" spans="1:5" x14ac:dyDescent="0.2">
      <c r="A291">
        <v>284</v>
      </c>
      <c r="B291">
        <v>206</v>
      </c>
      <c r="C291">
        <v>10</v>
      </c>
      <c r="D291">
        <v>8.8000000000000007</v>
      </c>
      <c r="E291">
        <v>1.2</v>
      </c>
    </row>
    <row r="292" spans="1:5" x14ac:dyDescent="0.2">
      <c r="A292">
        <v>285</v>
      </c>
      <c r="B292">
        <v>210</v>
      </c>
      <c r="C292">
        <v>10</v>
      </c>
      <c r="D292">
        <v>8.4</v>
      </c>
      <c r="E292">
        <v>1.2</v>
      </c>
    </row>
    <row r="293" spans="1:5" x14ac:dyDescent="0.2">
      <c r="A293">
        <v>286</v>
      </c>
      <c r="B293">
        <v>214</v>
      </c>
      <c r="C293">
        <v>10</v>
      </c>
      <c r="D293">
        <v>8</v>
      </c>
      <c r="E293">
        <v>1.2</v>
      </c>
    </row>
    <row r="294" spans="1:5" x14ac:dyDescent="0.2">
      <c r="A294">
        <v>287</v>
      </c>
      <c r="B294">
        <v>217</v>
      </c>
      <c r="C294">
        <v>10</v>
      </c>
      <c r="D294">
        <v>7.7</v>
      </c>
      <c r="E294">
        <v>1.2</v>
      </c>
    </row>
    <row r="295" spans="1:5" x14ac:dyDescent="0.2">
      <c r="A295">
        <v>288</v>
      </c>
      <c r="B295">
        <v>221</v>
      </c>
      <c r="C295">
        <v>10</v>
      </c>
      <c r="D295">
        <v>7.3</v>
      </c>
      <c r="E295">
        <v>1.2</v>
      </c>
    </row>
    <row r="296" spans="1:5" x14ac:dyDescent="0.2">
      <c r="A296">
        <v>289</v>
      </c>
      <c r="B296">
        <v>225</v>
      </c>
      <c r="C296">
        <v>10</v>
      </c>
      <c r="D296">
        <v>7</v>
      </c>
      <c r="E296">
        <v>1.2</v>
      </c>
    </row>
    <row r="297" spans="1:5" x14ac:dyDescent="0.2">
      <c r="A297">
        <v>290</v>
      </c>
      <c r="B297">
        <v>229</v>
      </c>
      <c r="C297">
        <v>10</v>
      </c>
      <c r="D297">
        <v>6.6</v>
      </c>
      <c r="E297">
        <v>1.2</v>
      </c>
    </row>
    <row r="298" spans="1:5" x14ac:dyDescent="0.2">
      <c r="A298">
        <v>291</v>
      </c>
      <c r="B298">
        <v>233</v>
      </c>
      <c r="C298">
        <v>10</v>
      </c>
      <c r="D298">
        <v>6.2</v>
      </c>
      <c r="E298">
        <v>1.2</v>
      </c>
    </row>
    <row r="299" spans="1:5" x14ac:dyDescent="0.2">
      <c r="A299">
        <v>292</v>
      </c>
      <c r="B299">
        <v>236</v>
      </c>
      <c r="C299">
        <v>10</v>
      </c>
      <c r="D299">
        <v>5.9</v>
      </c>
      <c r="E299">
        <v>1.2</v>
      </c>
    </row>
    <row r="300" spans="1:5" x14ac:dyDescent="0.2">
      <c r="A300">
        <v>293</v>
      </c>
      <c r="B300">
        <v>239</v>
      </c>
      <c r="C300">
        <v>10</v>
      </c>
      <c r="D300">
        <v>5.7</v>
      </c>
      <c r="E300">
        <v>1.2</v>
      </c>
    </row>
    <row r="301" spans="1:5" x14ac:dyDescent="0.2">
      <c r="A301">
        <v>294</v>
      </c>
      <c r="B301">
        <v>242</v>
      </c>
      <c r="C301">
        <v>10</v>
      </c>
      <c r="D301">
        <v>5.5</v>
      </c>
      <c r="E301">
        <v>1.2</v>
      </c>
    </row>
    <row r="302" spans="1:5" x14ac:dyDescent="0.2">
      <c r="A302">
        <v>295</v>
      </c>
      <c r="B302">
        <v>244</v>
      </c>
      <c r="C302">
        <v>10</v>
      </c>
      <c r="D302">
        <v>5.4</v>
      </c>
      <c r="E302">
        <v>1.2</v>
      </c>
    </row>
    <row r="303" spans="1:5" x14ac:dyDescent="0.2">
      <c r="A303">
        <v>296</v>
      </c>
      <c r="B303">
        <v>245</v>
      </c>
      <c r="C303">
        <v>10</v>
      </c>
      <c r="D303">
        <v>5.3</v>
      </c>
      <c r="E303">
        <v>1.2</v>
      </c>
    </row>
    <row r="304" spans="1:5" x14ac:dyDescent="0.2">
      <c r="A304">
        <v>297</v>
      </c>
      <c r="B304">
        <v>247</v>
      </c>
      <c r="C304">
        <v>10</v>
      </c>
      <c r="D304">
        <v>5.2</v>
      </c>
      <c r="E304">
        <v>1.2</v>
      </c>
    </row>
    <row r="305" spans="1:5" x14ac:dyDescent="0.2">
      <c r="A305">
        <v>298</v>
      </c>
      <c r="B305">
        <v>248</v>
      </c>
      <c r="C305">
        <v>10</v>
      </c>
      <c r="D305">
        <v>5.2</v>
      </c>
      <c r="E305">
        <v>1.2</v>
      </c>
    </row>
    <row r="306" spans="1:5" x14ac:dyDescent="0.2">
      <c r="A306">
        <v>299</v>
      </c>
      <c r="B306">
        <v>250</v>
      </c>
      <c r="C306">
        <v>10</v>
      </c>
      <c r="D306">
        <v>5.0999999999999996</v>
      </c>
      <c r="E306">
        <v>1.2</v>
      </c>
    </row>
    <row r="307" spans="1:5" x14ac:dyDescent="0.2">
      <c r="A307">
        <v>300</v>
      </c>
      <c r="B307">
        <v>252</v>
      </c>
      <c r="C307">
        <v>10</v>
      </c>
      <c r="D307">
        <v>4.9000000000000004</v>
      </c>
      <c r="E307">
        <v>1.2</v>
      </c>
    </row>
    <row r="308" spans="1:5" x14ac:dyDescent="0.2">
      <c r="A308">
        <v>301</v>
      </c>
      <c r="B308">
        <v>254</v>
      </c>
      <c r="C308">
        <v>10</v>
      </c>
      <c r="D308">
        <v>4.7</v>
      </c>
      <c r="E308">
        <v>1.2</v>
      </c>
    </row>
    <row r="309" spans="1:5" x14ac:dyDescent="0.2">
      <c r="A309">
        <v>302</v>
      </c>
      <c r="B309">
        <v>257</v>
      </c>
      <c r="C309">
        <v>10</v>
      </c>
      <c r="D309">
        <v>4.5</v>
      </c>
      <c r="E309">
        <v>1.2</v>
      </c>
    </row>
    <row r="310" spans="1:5" x14ac:dyDescent="0.2">
      <c r="A310">
        <v>303</v>
      </c>
      <c r="B310">
        <v>261</v>
      </c>
      <c r="C310">
        <v>10</v>
      </c>
      <c r="D310">
        <v>4.2</v>
      </c>
      <c r="E310">
        <v>1.2</v>
      </c>
    </row>
    <row r="311" spans="1:5" x14ac:dyDescent="0.2">
      <c r="A311">
        <v>304</v>
      </c>
      <c r="B311">
        <v>264</v>
      </c>
      <c r="C311">
        <v>10</v>
      </c>
      <c r="D311">
        <v>3.9</v>
      </c>
      <c r="E311">
        <v>1.2</v>
      </c>
    </row>
    <row r="312" spans="1:5" x14ac:dyDescent="0.2">
      <c r="A312">
        <v>305</v>
      </c>
      <c r="B312">
        <v>267</v>
      </c>
      <c r="C312">
        <v>10</v>
      </c>
      <c r="D312">
        <v>3.6</v>
      </c>
      <c r="E312">
        <v>1.2</v>
      </c>
    </row>
    <row r="313" spans="1:5" x14ac:dyDescent="0.2">
      <c r="A313">
        <v>306</v>
      </c>
      <c r="B313">
        <v>270</v>
      </c>
      <c r="C313">
        <v>10</v>
      </c>
      <c r="D313">
        <v>3.3</v>
      </c>
      <c r="E313">
        <v>1.2</v>
      </c>
    </row>
    <row r="314" spans="1:5" x14ac:dyDescent="0.2">
      <c r="A314">
        <v>307</v>
      </c>
      <c r="B314">
        <v>274</v>
      </c>
      <c r="C314">
        <v>10</v>
      </c>
      <c r="D314">
        <v>3</v>
      </c>
      <c r="E314">
        <v>1.2</v>
      </c>
    </row>
    <row r="315" spans="1:5" x14ac:dyDescent="0.2">
      <c r="A315">
        <v>308</v>
      </c>
      <c r="B315">
        <v>278</v>
      </c>
      <c r="C315">
        <v>10</v>
      </c>
      <c r="D315">
        <v>2.6</v>
      </c>
      <c r="E315">
        <v>1.2</v>
      </c>
    </row>
    <row r="316" spans="1:5" x14ac:dyDescent="0.2">
      <c r="A316">
        <v>309</v>
      </c>
      <c r="B316">
        <v>282</v>
      </c>
      <c r="C316">
        <v>10</v>
      </c>
      <c r="D316">
        <v>2.2000000000000002</v>
      </c>
      <c r="E316">
        <v>1.2</v>
      </c>
    </row>
    <row r="317" spans="1:5" x14ac:dyDescent="0.2">
      <c r="A317">
        <v>310</v>
      </c>
      <c r="B317">
        <v>287</v>
      </c>
      <c r="C317">
        <v>10</v>
      </c>
      <c r="D317">
        <v>1.8</v>
      </c>
      <c r="E317">
        <v>1.2</v>
      </c>
    </row>
    <row r="318" spans="1:5" x14ac:dyDescent="0.2">
      <c r="A318">
        <v>311</v>
      </c>
      <c r="B318">
        <v>291</v>
      </c>
      <c r="C318">
        <v>10</v>
      </c>
      <c r="D318">
        <v>1.4</v>
      </c>
      <c r="E318">
        <v>1.2</v>
      </c>
    </row>
    <row r="319" spans="1:5" x14ac:dyDescent="0.2">
      <c r="A319">
        <v>312</v>
      </c>
      <c r="B319">
        <v>295</v>
      </c>
      <c r="C319">
        <v>10</v>
      </c>
      <c r="D319">
        <v>1.1000000000000001</v>
      </c>
      <c r="E319">
        <v>1.2</v>
      </c>
    </row>
    <row r="320" spans="1:5" x14ac:dyDescent="0.2">
      <c r="A320">
        <v>313</v>
      </c>
      <c r="B320">
        <v>298</v>
      </c>
      <c r="C320">
        <v>10</v>
      </c>
      <c r="D320">
        <v>0.7</v>
      </c>
      <c r="E320">
        <v>1.2</v>
      </c>
    </row>
    <row r="321" spans="1:5" x14ac:dyDescent="0.2">
      <c r="A321">
        <v>314</v>
      </c>
      <c r="B321">
        <v>302</v>
      </c>
      <c r="C321">
        <v>10</v>
      </c>
      <c r="D321">
        <v>0.4</v>
      </c>
      <c r="E321">
        <v>1.2</v>
      </c>
    </row>
    <row r="322" spans="1:5" x14ac:dyDescent="0.2">
      <c r="A322">
        <v>315</v>
      </c>
      <c r="B322">
        <v>306</v>
      </c>
      <c r="C322">
        <v>10</v>
      </c>
      <c r="D322">
        <v>0</v>
      </c>
      <c r="E322">
        <v>1.2</v>
      </c>
    </row>
    <row r="323" spans="1:5" x14ac:dyDescent="0.2">
      <c r="A323">
        <v>316</v>
      </c>
      <c r="B323">
        <v>311</v>
      </c>
      <c r="C323">
        <v>10</v>
      </c>
      <c r="D323">
        <v>-0.5</v>
      </c>
      <c r="E323">
        <v>1.2</v>
      </c>
    </row>
    <row r="324" spans="1:5" x14ac:dyDescent="0.2">
      <c r="A324">
        <v>317</v>
      </c>
      <c r="B324">
        <v>315</v>
      </c>
      <c r="C324">
        <v>10</v>
      </c>
      <c r="D324">
        <v>-0.9</v>
      </c>
      <c r="E324">
        <v>1.2</v>
      </c>
    </row>
    <row r="325" spans="1:5" x14ac:dyDescent="0.2">
      <c r="A325">
        <v>318</v>
      </c>
      <c r="B325">
        <v>320</v>
      </c>
      <c r="C325">
        <v>10</v>
      </c>
      <c r="D325">
        <v>-1.3</v>
      </c>
      <c r="E325">
        <v>1.2</v>
      </c>
    </row>
    <row r="326" spans="1:5" x14ac:dyDescent="0.2">
      <c r="A326">
        <v>319</v>
      </c>
      <c r="B326">
        <v>324</v>
      </c>
      <c r="C326">
        <v>10</v>
      </c>
      <c r="D326">
        <v>-1.7</v>
      </c>
      <c r="E326">
        <v>1.2</v>
      </c>
    </row>
    <row r="327" spans="1:5" x14ac:dyDescent="0.2">
      <c r="A327">
        <v>320</v>
      </c>
      <c r="B327">
        <v>326</v>
      </c>
      <c r="C327">
        <v>10</v>
      </c>
      <c r="D327">
        <v>-1.9</v>
      </c>
      <c r="E327">
        <v>1.2</v>
      </c>
    </row>
    <row r="328" spans="1:5" x14ac:dyDescent="0.2">
      <c r="A328">
        <v>321</v>
      </c>
      <c r="B328">
        <v>328</v>
      </c>
      <c r="C328">
        <v>10</v>
      </c>
      <c r="D328">
        <v>-2.1</v>
      </c>
      <c r="E328">
        <v>1.2</v>
      </c>
    </row>
    <row r="329" spans="1:5" x14ac:dyDescent="0.2">
      <c r="A329">
        <v>322</v>
      </c>
      <c r="B329">
        <v>330</v>
      </c>
      <c r="C329">
        <v>10</v>
      </c>
      <c r="D329">
        <v>-2.1</v>
      </c>
      <c r="E329">
        <v>1.2</v>
      </c>
    </row>
    <row r="330" spans="1:5" x14ac:dyDescent="0.2">
      <c r="A330">
        <v>323</v>
      </c>
      <c r="B330">
        <v>330</v>
      </c>
      <c r="C330">
        <v>10</v>
      </c>
      <c r="D330">
        <v>-2</v>
      </c>
      <c r="E330">
        <v>1.2</v>
      </c>
    </row>
    <row r="331" spans="1:5" x14ac:dyDescent="0.2">
      <c r="A331">
        <v>324</v>
      </c>
      <c r="B331">
        <v>329</v>
      </c>
      <c r="C331">
        <v>10</v>
      </c>
      <c r="D331">
        <v>-1.8</v>
      </c>
      <c r="E331">
        <v>1.2</v>
      </c>
    </row>
    <row r="332" spans="1:5" x14ac:dyDescent="0.2">
      <c r="A332">
        <v>325</v>
      </c>
      <c r="B332">
        <v>329</v>
      </c>
      <c r="C332">
        <v>10</v>
      </c>
      <c r="D332">
        <v>-1.7</v>
      </c>
      <c r="E332">
        <v>1.2</v>
      </c>
    </row>
    <row r="333" spans="1:5" x14ac:dyDescent="0.2">
      <c r="A333">
        <v>326</v>
      </c>
      <c r="B333">
        <v>330</v>
      </c>
      <c r="C333">
        <v>10</v>
      </c>
      <c r="D333">
        <v>-1.6</v>
      </c>
      <c r="E333">
        <v>1.2</v>
      </c>
    </row>
    <row r="334" spans="1:5" x14ac:dyDescent="0.2">
      <c r="A334">
        <v>327</v>
      </c>
      <c r="B334">
        <v>331</v>
      </c>
      <c r="C334">
        <v>10</v>
      </c>
      <c r="D334">
        <v>-1.6</v>
      </c>
      <c r="E334">
        <v>1.2</v>
      </c>
    </row>
    <row r="335" spans="1:5" x14ac:dyDescent="0.2">
      <c r="A335">
        <v>328</v>
      </c>
      <c r="B335">
        <v>333</v>
      </c>
      <c r="C335">
        <v>10</v>
      </c>
      <c r="D335">
        <v>-1.8</v>
      </c>
      <c r="E335">
        <v>1.2</v>
      </c>
    </row>
    <row r="336" spans="1:5" x14ac:dyDescent="0.2">
      <c r="A336">
        <v>329</v>
      </c>
      <c r="B336">
        <v>337</v>
      </c>
      <c r="C336">
        <v>10</v>
      </c>
      <c r="D336">
        <v>-2.1</v>
      </c>
      <c r="E336">
        <v>1.2</v>
      </c>
    </row>
    <row r="337" spans="1:5" x14ac:dyDescent="0.2">
      <c r="A337">
        <v>330</v>
      </c>
      <c r="B337">
        <v>341</v>
      </c>
      <c r="C337">
        <v>10</v>
      </c>
      <c r="D337">
        <v>-2.5</v>
      </c>
      <c r="E337">
        <v>1.2</v>
      </c>
    </row>
    <row r="338" spans="1:5" x14ac:dyDescent="0.2">
      <c r="A338">
        <v>331</v>
      </c>
      <c r="B338">
        <v>345</v>
      </c>
      <c r="C338">
        <v>10</v>
      </c>
      <c r="D338">
        <v>-2.9</v>
      </c>
      <c r="E338">
        <v>1.2</v>
      </c>
    </row>
    <row r="339" spans="1:5" x14ac:dyDescent="0.2">
      <c r="A339">
        <v>332</v>
      </c>
      <c r="B339">
        <v>348</v>
      </c>
      <c r="C339">
        <v>10</v>
      </c>
      <c r="D339">
        <v>-3.2</v>
      </c>
      <c r="E339">
        <v>1.2</v>
      </c>
    </row>
    <row r="340" spans="1:5" x14ac:dyDescent="0.2">
      <c r="A340">
        <v>333</v>
      </c>
      <c r="B340">
        <v>352</v>
      </c>
      <c r="C340">
        <v>10</v>
      </c>
      <c r="D340">
        <v>-3.5</v>
      </c>
      <c r="E340">
        <v>1.2</v>
      </c>
    </row>
    <row r="341" spans="1:5" x14ac:dyDescent="0.2">
      <c r="A341">
        <v>334</v>
      </c>
      <c r="B341">
        <v>355</v>
      </c>
      <c r="C341">
        <v>10</v>
      </c>
      <c r="D341">
        <v>-3.7</v>
      </c>
      <c r="E341">
        <v>1.2</v>
      </c>
    </row>
    <row r="342" spans="1:5" x14ac:dyDescent="0.2">
      <c r="A342">
        <v>335</v>
      </c>
      <c r="B342">
        <v>356</v>
      </c>
      <c r="C342">
        <v>10</v>
      </c>
      <c r="D342">
        <v>-3.8</v>
      </c>
      <c r="E342">
        <v>1.2</v>
      </c>
    </row>
    <row r="343" spans="1:5" x14ac:dyDescent="0.2">
      <c r="A343">
        <v>336</v>
      </c>
      <c r="B343">
        <v>357</v>
      </c>
      <c r="C343">
        <v>10</v>
      </c>
      <c r="D343">
        <v>-3.8</v>
      </c>
      <c r="E343">
        <v>1.2</v>
      </c>
    </row>
    <row r="344" spans="1:5" x14ac:dyDescent="0.2">
      <c r="A344">
        <v>337</v>
      </c>
      <c r="B344">
        <v>357</v>
      </c>
      <c r="C344">
        <v>10</v>
      </c>
      <c r="D344">
        <v>-3.7</v>
      </c>
      <c r="E344">
        <v>1.2</v>
      </c>
    </row>
    <row r="345" spans="1:5" x14ac:dyDescent="0.2">
      <c r="A345">
        <v>338</v>
      </c>
      <c r="B345">
        <v>357</v>
      </c>
      <c r="C345">
        <v>10</v>
      </c>
      <c r="D345">
        <v>-3.6</v>
      </c>
      <c r="E345">
        <v>1.2</v>
      </c>
    </row>
    <row r="346" spans="1:5" x14ac:dyDescent="0.2">
      <c r="A346">
        <v>339</v>
      </c>
      <c r="B346">
        <v>357</v>
      </c>
      <c r="C346">
        <v>10</v>
      </c>
      <c r="D346">
        <v>-3.5</v>
      </c>
      <c r="E346">
        <v>1.2</v>
      </c>
    </row>
    <row r="347" spans="1:5" x14ac:dyDescent="0.2">
      <c r="A347">
        <v>340</v>
      </c>
      <c r="B347">
        <v>358</v>
      </c>
      <c r="C347">
        <v>10</v>
      </c>
      <c r="D347">
        <v>-3.5</v>
      </c>
      <c r="E347">
        <v>1.2</v>
      </c>
    </row>
    <row r="348" spans="1:5" x14ac:dyDescent="0.2">
      <c r="A348">
        <v>341</v>
      </c>
      <c r="B348">
        <v>360</v>
      </c>
      <c r="C348">
        <v>10</v>
      </c>
      <c r="D348">
        <v>-3.5</v>
      </c>
      <c r="E348">
        <v>1.2</v>
      </c>
    </row>
    <row r="349" spans="1:5" x14ac:dyDescent="0.2">
      <c r="A349">
        <v>342</v>
      </c>
      <c r="B349">
        <v>362</v>
      </c>
      <c r="C349">
        <v>10</v>
      </c>
      <c r="D349">
        <v>-3.6</v>
      </c>
      <c r="E349">
        <v>1.2</v>
      </c>
    </row>
    <row r="350" spans="1:5" x14ac:dyDescent="0.2">
      <c r="A350">
        <v>343</v>
      </c>
      <c r="B350">
        <v>364</v>
      </c>
      <c r="C350">
        <v>10</v>
      </c>
      <c r="D350">
        <v>-3.8</v>
      </c>
      <c r="E350">
        <v>1.2</v>
      </c>
    </row>
    <row r="351" spans="1:5" x14ac:dyDescent="0.2">
      <c r="A351">
        <v>344</v>
      </c>
      <c r="B351">
        <v>366</v>
      </c>
      <c r="C351">
        <v>10</v>
      </c>
      <c r="D351">
        <v>-3.9</v>
      </c>
      <c r="E351">
        <v>1.2</v>
      </c>
    </row>
    <row r="352" spans="1:5" x14ac:dyDescent="0.2">
      <c r="A352">
        <v>345</v>
      </c>
      <c r="B352">
        <v>366</v>
      </c>
      <c r="C352">
        <v>10</v>
      </c>
      <c r="D352">
        <v>-3.8</v>
      </c>
      <c r="E352">
        <v>1.2</v>
      </c>
    </row>
    <row r="353" spans="1:5" x14ac:dyDescent="0.2">
      <c r="A353">
        <v>346</v>
      </c>
      <c r="B353">
        <v>365</v>
      </c>
      <c r="C353">
        <v>10</v>
      </c>
      <c r="D353">
        <v>-3.6</v>
      </c>
      <c r="E353">
        <v>1.2</v>
      </c>
    </row>
    <row r="354" spans="1:5" x14ac:dyDescent="0.2">
      <c r="A354">
        <v>347</v>
      </c>
      <c r="B354">
        <v>363</v>
      </c>
      <c r="C354">
        <v>10</v>
      </c>
      <c r="D354">
        <v>-3.2</v>
      </c>
      <c r="E354">
        <v>1.2</v>
      </c>
    </row>
    <row r="355" spans="1:5" x14ac:dyDescent="0.2">
      <c r="A355">
        <v>348</v>
      </c>
      <c r="B355">
        <v>360</v>
      </c>
      <c r="C355">
        <v>10</v>
      </c>
      <c r="D355">
        <v>-2.8</v>
      </c>
      <c r="E355">
        <v>1.2</v>
      </c>
    </row>
    <row r="356" spans="1:5" x14ac:dyDescent="0.2">
      <c r="A356">
        <v>349</v>
      </c>
      <c r="B356">
        <v>357</v>
      </c>
      <c r="C356">
        <v>10</v>
      </c>
      <c r="D356">
        <v>-2.2999999999999998</v>
      </c>
      <c r="E356">
        <v>1.2</v>
      </c>
    </row>
    <row r="357" spans="1:5" x14ac:dyDescent="0.2">
      <c r="A357">
        <v>350</v>
      </c>
      <c r="B357">
        <v>355</v>
      </c>
      <c r="C357">
        <v>10</v>
      </c>
      <c r="D357">
        <v>-1.9</v>
      </c>
      <c r="E357">
        <v>1.2</v>
      </c>
    </row>
    <row r="358" spans="1:5" x14ac:dyDescent="0.2">
      <c r="A358">
        <v>351</v>
      </c>
      <c r="B358">
        <v>354</v>
      </c>
      <c r="C358">
        <v>10</v>
      </c>
      <c r="D358">
        <v>-1.6</v>
      </c>
      <c r="E358">
        <v>1.2</v>
      </c>
    </row>
    <row r="359" spans="1:5" x14ac:dyDescent="0.2">
      <c r="A359">
        <v>352</v>
      </c>
      <c r="B359">
        <v>353</v>
      </c>
      <c r="C359">
        <v>10</v>
      </c>
      <c r="D359">
        <v>-1.3</v>
      </c>
      <c r="E359">
        <v>1.2</v>
      </c>
    </row>
    <row r="360" spans="1:5" x14ac:dyDescent="0.2">
      <c r="A360">
        <v>353</v>
      </c>
      <c r="B360">
        <v>352</v>
      </c>
      <c r="C360">
        <v>10</v>
      </c>
      <c r="D360">
        <v>-1.1000000000000001</v>
      </c>
      <c r="E360">
        <v>1.2</v>
      </c>
    </row>
    <row r="361" spans="1:5" x14ac:dyDescent="0.2">
      <c r="A361">
        <v>354</v>
      </c>
      <c r="B361">
        <v>351</v>
      </c>
      <c r="C361">
        <v>10</v>
      </c>
      <c r="D361">
        <v>-0.9</v>
      </c>
      <c r="E361">
        <v>1.2</v>
      </c>
    </row>
    <row r="362" spans="1:5" x14ac:dyDescent="0.2">
      <c r="A362">
        <v>355</v>
      </c>
      <c r="B362">
        <v>351</v>
      </c>
      <c r="C362">
        <v>10</v>
      </c>
      <c r="D362">
        <v>-0.7</v>
      </c>
      <c r="E362">
        <v>1.2</v>
      </c>
    </row>
    <row r="363" spans="1:5" x14ac:dyDescent="0.2">
      <c r="A363">
        <v>356</v>
      </c>
      <c r="B363">
        <v>349</v>
      </c>
      <c r="C363">
        <v>10</v>
      </c>
      <c r="D363">
        <v>-0.4</v>
      </c>
      <c r="E363">
        <v>1.2</v>
      </c>
    </row>
    <row r="364" spans="1:5" x14ac:dyDescent="0.2">
      <c r="A364">
        <v>357</v>
      </c>
      <c r="B364">
        <v>347</v>
      </c>
      <c r="C364">
        <v>10</v>
      </c>
      <c r="D364">
        <v>-0.1</v>
      </c>
      <c r="E364">
        <v>1.2</v>
      </c>
    </row>
    <row r="365" spans="1:5" x14ac:dyDescent="0.2">
      <c r="A365">
        <v>358</v>
      </c>
      <c r="B365">
        <v>345</v>
      </c>
      <c r="C365">
        <v>10</v>
      </c>
      <c r="D365">
        <v>0.3</v>
      </c>
      <c r="E365">
        <v>1.2</v>
      </c>
    </row>
    <row r="366" spans="1:5" x14ac:dyDescent="0.2">
      <c r="A366">
        <v>359</v>
      </c>
      <c r="B366">
        <v>343</v>
      </c>
      <c r="C366">
        <v>10</v>
      </c>
      <c r="D366">
        <v>0.8</v>
      </c>
      <c r="E366">
        <v>1.2</v>
      </c>
    </row>
    <row r="367" spans="1:5" x14ac:dyDescent="0.2">
      <c r="A367">
        <v>360</v>
      </c>
      <c r="B367">
        <v>340</v>
      </c>
      <c r="C367">
        <v>10</v>
      </c>
      <c r="D367">
        <v>1.2</v>
      </c>
      <c r="E367">
        <v>1.2</v>
      </c>
    </row>
    <row r="368" spans="1:5" x14ac:dyDescent="0.2">
      <c r="A368">
        <v>361</v>
      </c>
      <c r="B368">
        <v>338</v>
      </c>
      <c r="C368">
        <v>10</v>
      </c>
      <c r="D368">
        <v>1.6</v>
      </c>
      <c r="E368">
        <v>1.2</v>
      </c>
    </row>
    <row r="369" spans="1:5" x14ac:dyDescent="0.2">
      <c r="A369">
        <v>362</v>
      </c>
      <c r="B369">
        <v>336</v>
      </c>
      <c r="C369">
        <v>10</v>
      </c>
      <c r="D369">
        <v>2</v>
      </c>
      <c r="E369">
        <v>1.2</v>
      </c>
    </row>
    <row r="370" spans="1:5" x14ac:dyDescent="0.2">
      <c r="A370">
        <v>363</v>
      </c>
      <c r="B370">
        <v>335</v>
      </c>
      <c r="C370">
        <v>10</v>
      </c>
      <c r="D370">
        <v>2.2000000000000002</v>
      </c>
      <c r="E370">
        <v>1.2</v>
      </c>
    </row>
    <row r="371" spans="1:5" x14ac:dyDescent="0.2">
      <c r="A371">
        <v>364</v>
      </c>
      <c r="B371">
        <v>334</v>
      </c>
      <c r="C371">
        <v>10</v>
      </c>
      <c r="D371">
        <v>2.4</v>
      </c>
      <c r="E371">
        <v>1.2</v>
      </c>
    </row>
    <row r="372" spans="1:5" x14ac:dyDescent="0.2">
      <c r="A372">
        <v>365</v>
      </c>
      <c r="B372">
        <v>334</v>
      </c>
      <c r="C372">
        <v>10</v>
      </c>
      <c r="D372">
        <v>2.5</v>
      </c>
      <c r="E372">
        <v>1.2</v>
      </c>
    </row>
    <row r="373" spans="1:5" x14ac:dyDescent="0.2">
      <c r="A373">
        <v>366</v>
      </c>
      <c r="B373">
        <v>335</v>
      </c>
      <c r="C373">
        <v>10</v>
      </c>
      <c r="D373">
        <v>2.6</v>
      </c>
      <c r="E373">
        <v>1.2</v>
      </c>
    </row>
    <row r="374" spans="1:5" x14ac:dyDescent="0.2">
      <c r="A374">
        <v>367</v>
      </c>
      <c r="B374">
        <v>335</v>
      </c>
      <c r="C374">
        <v>10</v>
      </c>
      <c r="D374">
        <v>2.7</v>
      </c>
      <c r="E374">
        <v>1.2</v>
      </c>
    </row>
    <row r="375" spans="1:5" x14ac:dyDescent="0.2">
      <c r="A375">
        <v>368</v>
      </c>
      <c r="B375">
        <v>335</v>
      </c>
      <c r="C375">
        <v>10</v>
      </c>
      <c r="D375">
        <v>2.8</v>
      </c>
      <c r="E375">
        <v>1.2</v>
      </c>
    </row>
    <row r="376" spans="1:5" x14ac:dyDescent="0.2">
      <c r="A376">
        <v>369</v>
      </c>
      <c r="B376">
        <v>335</v>
      </c>
      <c r="C376">
        <v>10</v>
      </c>
      <c r="D376">
        <v>2.9</v>
      </c>
      <c r="E376">
        <v>1.2</v>
      </c>
    </row>
    <row r="377" spans="1:5" x14ac:dyDescent="0.2">
      <c r="A377">
        <v>370</v>
      </c>
      <c r="B377">
        <v>335</v>
      </c>
      <c r="C377">
        <v>10</v>
      </c>
      <c r="D377">
        <v>3.1</v>
      </c>
      <c r="E377">
        <v>1.2</v>
      </c>
    </row>
    <row r="378" spans="1:5" x14ac:dyDescent="0.2">
      <c r="A378">
        <v>371</v>
      </c>
      <c r="B378">
        <v>334</v>
      </c>
      <c r="C378">
        <v>10</v>
      </c>
      <c r="D378">
        <v>3.2</v>
      </c>
      <c r="E378">
        <v>1.2</v>
      </c>
    </row>
    <row r="379" spans="1:5" x14ac:dyDescent="0.2">
      <c r="A379">
        <v>372</v>
      </c>
      <c r="B379">
        <v>334</v>
      </c>
      <c r="C379">
        <v>10</v>
      </c>
      <c r="D379">
        <v>3.5</v>
      </c>
      <c r="E379">
        <v>1.2</v>
      </c>
    </row>
    <row r="380" spans="1:5" x14ac:dyDescent="0.2">
      <c r="A380">
        <v>373</v>
      </c>
      <c r="B380">
        <v>333</v>
      </c>
      <c r="C380">
        <v>10</v>
      </c>
      <c r="D380">
        <v>3.7</v>
      </c>
      <c r="E380">
        <v>1.2</v>
      </c>
    </row>
    <row r="381" spans="1:5" x14ac:dyDescent="0.2">
      <c r="A381">
        <v>374</v>
      </c>
      <c r="B381">
        <v>332</v>
      </c>
      <c r="C381">
        <v>10</v>
      </c>
      <c r="D381">
        <v>4</v>
      </c>
      <c r="E381">
        <v>1.2</v>
      </c>
    </row>
    <row r="382" spans="1:5" x14ac:dyDescent="0.2">
      <c r="A382">
        <v>375</v>
      </c>
      <c r="B382">
        <v>330</v>
      </c>
      <c r="C382">
        <v>10</v>
      </c>
      <c r="D382">
        <v>4.2</v>
      </c>
      <c r="E382">
        <v>1.2</v>
      </c>
    </row>
    <row r="383" spans="1:5" x14ac:dyDescent="0.2">
      <c r="A383">
        <v>376</v>
      </c>
      <c r="B383">
        <v>329</v>
      </c>
      <c r="C383">
        <v>10</v>
      </c>
      <c r="D383">
        <v>4.5</v>
      </c>
      <c r="E383">
        <v>1.2</v>
      </c>
    </row>
    <row r="384" spans="1:5" x14ac:dyDescent="0.2">
      <c r="A384">
        <v>377</v>
      </c>
      <c r="B384">
        <v>327</v>
      </c>
      <c r="C384">
        <v>10</v>
      </c>
      <c r="D384">
        <v>4.9000000000000004</v>
      </c>
      <c r="E384">
        <v>1.2</v>
      </c>
    </row>
    <row r="385" spans="1:5" x14ac:dyDescent="0.2">
      <c r="A385">
        <v>378</v>
      </c>
      <c r="B385">
        <v>326</v>
      </c>
      <c r="C385">
        <v>10</v>
      </c>
      <c r="D385">
        <v>5.2</v>
      </c>
      <c r="E385">
        <v>1.2</v>
      </c>
    </row>
    <row r="386" spans="1:5" x14ac:dyDescent="0.2">
      <c r="A386">
        <v>379</v>
      </c>
      <c r="B386">
        <v>324</v>
      </c>
      <c r="C386">
        <v>10</v>
      </c>
      <c r="D386">
        <v>5.5</v>
      </c>
      <c r="E386">
        <v>1.2</v>
      </c>
    </row>
    <row r="387" spans="1:5" x14ac:dyDescent="0.2">
      <c r="A387">
        <v>380</v>
      </c>
      <c r="B387">
        <v>323</v>
      </c>
      <c r="C387">
        <v>10</v>
      </c>
      <c r="D387">
        <v>5.8</v>
      </c>
      <c r="E387">
        <v>1.2</v>
      </c>
    </row>
    <row r="388" spans="1:5" x14ac:dyDescent="0.2">
      <c r="A388">
        <v>381</v>
      </c>
      <c r="B388">
        <v>321</v>
      </c>
      <c r="C388">
        <v>10</v>
      </c>
      <c r="D388">
        <v>6.1</v>
      </c>
      <c r="E388">
        <v>1.2</v>
      </c>
    </row>
    <row r="389" spans="1:5" x14ac:dyDescent="0.2">
      <c r="A389">
        <v>382</v>
      </c>
      <c r="B389">
        <v>321</v>
      </c>
      <c r="C389">
        <v>9</v>
      </c>
      <c r="D389">
        <v>6.3</v>
      </c>
      <c r="E389">
        <v>1.2</v>
      </c>
    </row>
    <row r="390" spans="1:5" x14ac:dyDescent="0.2">
      <c r="A390">
        <v>383</v>
      </c>
      <c r="B390">
        <v>321</v>
      </c>
      <c r="C390">
        <v>10</v>
      </c>
      <c r="D390">
        <v>6.4</v>
      </c>
      <c r="E390">
        <v>1.2</v>
      </c>
    </row>
    <row r="391" spans="1:5" x14ac:dyDescent="0.2">
      <c r="A391">
        <v>384</v>
      </c>
      <c r="B391">
        <v>322</v>
      </c>
      <c r="C391">
        <v>10</v>
      </c>
      <c r="D391">
        <v>6.4</v>
      </c>
      <c r="E391">
        <v>1.2</v>
      </c>
    </row>
    <row r="392" spans="1:5" x14ac:dyDescent="0.2">
      <c r="A392">
        <v>385</v>
      </c>
      <c r="B392">
        <v>323</v>
      </c>
      <c r="C392">
        <v>10</v>
      </c>
      <c r="D392">
        <v>6.3</v>
      </c>
      <c r="E392">
        <v>1.2</v>
      </c>
    </row>
    <row r="393" spans="1:5" x14ac:dyDescent="0.2">
      <c r="A393">
        <v>386</v>
      </c>
      <c r="B393">
        <v>325</v>
      </c>
      <c r="C393">
        <v>10</v>
      </c>
      <c r="D393">
        <v>6.3</v>
      </c>
      <c r="E393">
        <v>1.2</v>
      </c>
    </row>
    <row r="394" spans="1:5" x14ac:dyDescent="0.2">
      <c r="A394">
        <v>387</v>
      </c>
      <c r="B394">
        <v>326</v>
      </c>
      <c r="C394">
        <v>10</v>
      </c>
      <c r="D394">
        <v>6.2</v>
      </c>
      <c r="E394">
        <v>1.2</v>
      </c>
    </row>
    <row r="395" spans="1:5" x14ac:dyDescent="0.2">
      <c r="A395">
        <v>388</v>
      </c>
      <c r="B395">
        <v>327</v>
      </c>
      <c r="C395">
        <v>10</v>
      </c>
      <c r="D395">
        <v>6.3</v>
      </c>
      <c r="E395">
        <v>1.2</v>
      </c>
    </row>
    <row r="396" spans="1:5" x14ac:dyDescent="0.2">
      <c r="A396">
        <v>389</v>
      </c>
      <c r="B396">
        <v>326</v>
      </c>
      <c r="C396">
        <v>10</v>
      </c>
      <c r="D396">
        <v>6.5</v>
      </c>
      <c r="E396">
        <v>1.2</v>
      </c>
    </row>
    <row r="397" spans="1:5" x14ac:dyDescent="0.2">
      <c r="A397">
        <v>390</v>
      </c>
      <c r="B397">
        <v>325</v>
      </c>
      <c r="C397">
        <v>10</v>
      </c>
      <c r="D397">
        <v>6.8</v>
      </c>
      <c r="E397">
        <v>1.2</v>
      </c>
    </row>
    <row r="398" spans="1:5" x14ac:dyDescent="0.2">
      <c r="A398">
        <v>391</v>
      </c>
      <c r="B398">
        <v>323</v>
      </c>
      <c r="C398">
        <v>10</v>
      </c>
      <c r="D398">
        <v>7.1</v>
      </c>
      <c r="E398">
        <v>1.2</v>
      </c>
    </row>
    <row r="399" spans="1:5" x14ac:dyDescent="0.2">
      <c r="A399">
        <v>392</v>
      </c>
      <c r="B399">
        <v>321</v>
      </c>
      <c r="C399">
        <v>10</v>
      </c>
      <c r="D399">
        <v>7.5</v>
      </c>
      <c r="E399">
        <v>1.2</v>
      </c>
    </row>
    <row r="400" spans="1:5" x14ac:dyDescent="0.2">
      <c r="A400">
        <v>393</v>
      </c>
      <c r="B400">
        <v>320</v>
      </c>
      <c r="C400">
        <v>10</v>
      </c>
      <c r="D400">
        <v>7.8</v>
      </c>
      <c r="E400">
        <v>1.2</v>
      </c>
    </row>
    <row r="401" spans="1:5" x14ac:dyDescent="0.2">
      <c r="A401">
        <v>394</v>
      </c>
      <c r="B401">
        <v>318</v>
      </c>
      <c r="C401">
        <v>10</v>
      </c>
      <c r="D401">
        <v>8.1</v>
      </c>
      <c r="E401">
        <v>1.2</v>
      </c>
    </row>
    <row r="402" spans="1:5" x14ac:dyDescent="0.2">
      <c r="A402">
        <v>395</v>
      </c>
      <c r="B402">
        <v>317</v>
      </c>
      <c r="C402">
        <v>10</v>
      </c>
      <c r="D402">
        <v>8.3000000000000007</v>
      </c>
      <c r="E402">
        <v>1.2</v>
      </c>
    </row>
    <row r="403" spans="1:5" x14ac:dyDescent="0.2">
      <c r="A403">
        <v>396</v>
      </c>
      <c r="B403">
        <v>316</v>
      </c>
      <c r="C403">
        <v>10</v>
      </c>
      <c r="D403">
        <v>8.6</v>
      </c>
      <c r="E403">
        <v>1.2</v>
      </c>
    </row>
    <row r="404" spans="1:5" x14ac:dyDescent="0.2">
      <c r="A404">
        <v>397</v>
      </c>
      <c r="B404">
        <v>315</v>
      </c>
      <c r="C404">
        <v>10</v>
      </c>
      <c r="D404">
        <v>8.9</v>
      </c>
      <c r="E404">
        <v>1.2</v>
      </c>
    </row>
    <row r="405" spans="1:5" x14ac:dyDescent="0.2">
      <c r="A405">
        <v>398</v>
      </c>
      <c r="B405">
        <v>313</v>
      </c>
      <c r="C405">
        <v>10</v>
      </c>
      <c r="D405">
        <v>9.1999999999999993</v>
      </c>
      <c r="E405">
        <v>1.2</v>
      </c>
    </row>
    <row r="406" spans="1:5" x14ac:dyDescent="0.2">
      <c r="A406">
        <v>399</v>
      </c>
      <c r="B406">
        <v>311</v>
      </c>
      <c r="C406">
        <v>10</v>
      </c>
      <c r="D406">
        <v>9.6</v>
      </c>
      <c r="E406">
        <v>1.2</v>
      </c>
    </row>
    <row r="407" spans="1:5" x14ac:dyDescent="0.2">
      <c r="A407">
        <v>400</v>
      </c>
      <c r="B407">
        <v>309</v>
      </c>
      <c r="C407">
        <v>10</v>
      </c>
      <c r="D407">
        <v>10</v>
      </c>
      <c r="E407">
        <v>1.2</v>
      </c>
    </row>
    <row r="408" spans="1:5" x14ac:dyDescent="0.2">
      <c r="A408">
        <v>401</v>
      </c>
      <c r="B408">
        <v>307</v>
      </c>
      <c r="C408">
        <v>10</v>
      </c>
      <c r="D408">
        <v>10.3</v>
      </c>
      <c r="E408">
        <v>1.2</v>
      </c>
    </row>
    <row r="409" spans="1:5" x14ac:dyDescent="0.2">
      <c r="A409">
        <v>402</v>
      </c>
      <c r="B409">
        <v>307</v>
      </c>
      <c r="C409">
        <v>10</v>
      </c>
      <c r="D409">
        <v>10.5</v>
      </c>
      <c r="E409">
        <v>1.2</v>
      </c>
    </row>
    <row r="410" spans="1:5" x14ac:dyDescent="0.2">
      <c r="A410">
        <v>403</v>
      </c>
      <c r="B410">
        <v>307</v>
      </c>
      <c r="C410">
        <v>10</v>
      </c>
      <c r="D410">
        <v>10.6</v>
      </c>
      <c r="E410">
        <v>1.2</v>
      </c>
    </row>
    <row r="411" spans="1:5" x14ac:dyDescent="0.2">
      <c r="A411">
        <v>404</v>
      </c>
      <c r="B411">
        <v>308</v>
      </c>
      <c r="C411">
        <v>10</v>
      </c>
      <c r="D411">
        <v>10.6</v>
      </c>
      <c r="E411">
        <v>1.2</v>
      </c>
    </row>
    <row r="412" spans="1:5" x14ac:dyDescent="0.2">
      <c r="A412">
        <v>405</v>
      </c>
      <c r="B412">
        <v>309</v>
      </c>
      <c r="C412">
        <v>10</v>
      </c>
      <c r="D412">
        <v>10.5</v>
      </c>
      <c r="E412">
        <v>1.2</v>
      </c>
    </row>
    <row r="413" spans="1:5" x14ac:dyDescent="0.2">
      <c r="A413">
        <v>406</v>
      </c>
      <c r="B413">
        <v>310</v>
      </c>
      <c r="C413">
        <v>10</v>
      </c>
      <c r="D413">
        <v>10.5</v>
      </c>
      <c r="E413">
        <v>1.2</v>
      </c>
    </row>
    <row r="414" spans="1:5" x14ac:dyDescent="0.2">
      <c r="A414">
        <v>407</v>
      </c>
      <c r="B414">
        <v>311</v>
      </c>
      <c r="C414">
        <v>10</v>
      </c>
      <c r="D414">
        <v>10.6</v>
      </c>
      <c r="E414">
        <v>1.2</v>
      </c>
    </row>
    <row r="415" spans="1:5" x14ac:dyDescent="0.2">
      <c r="A415">
        <v>408</v>
      </c>
      <c r="B415">
        <v>310</v>
      </c>
      <c r="C415">
        <v>9</v>
      </c>
      <c r="D415">
        <v>10.8</v>
      </c>
      <c r="E415">
        <v>1.2</v>
      </c>
    </row>
    <row r="416" spans="1:5" x14ac:dyDescent="0.2">
      <c r="A416">
        <v>409</v>
      </c>
      <c r="B416">
        <v>309</v>
      </c>
      <c r="C416">
        <v>10</v>
      </c>
      <c r="D416">
        <v>11</v>
      </c>
      <c r="E416">
        <v>1.2</v>
      </c>
    </row>
    <row r="417" spans="1:5" x14ac:dyDescent="0.2">
      <c r="A417">
        <v>410</v>
      </c>
      <c r="B417">
        <v>308</v>
      </c>
      <c r="C417">
        <v>9</v>
      </c>
      <c r="D417">
        <v>11.3</v>
      </c>
      <c r="E417">
        <v>1.2</v>
      </c>
    </row>
    <row r="418" spans="1:5" x14ac:dyDescent="0.2">
      <c r="A418">
        <v>411</v>
      </c>
      <c r="B418">
        <v>306</v>
      </c>
      <c r="C418">
        <v>10</v>
      </c>
      <c r="D418">
        <v>11.7</v>
      </c>
      <c r="E418">
        <v>1.2</v>
      </c>
    </row>
    <row r="419" spans="1:5" x14ac:dyDescent="0.2">
      <c r="A419">
        <v>412</v>
      </c>
      <c r="B419">
        <v>304</v>
      </c>
      <c r="C419">
        <v>10</v>
      </c>
      <c r="D419">
        <v>12</v>
      </c>
      <c r="E419">
        <v>1.2</v>
      </c>
    </row>
    <row r="420" spans="1:5" x14ac:dyDescent="0.2">
      <c r="A420">
        <v>413</v>
      </c>
      <c r="B420">
        <v>302</v>
      </c>
      <c r="C420">
        <v>9</v>
      </c>
      <c r="D420">
        <v>12.4</v>
      </c>
      <c r="E420">
        <v>1.2</v>
      </c>
    </row>
    <row r="421" spans="1:5" x14ac:dyDescent="0.2">
      <c r="A421">
        <v>414</v>
      </c>
      <c r="B421">
        <v>300</v>
      </c>
      <c r="C421">
        <v>10</v>
      </c>
      <c r="D421">
        <v>12.8</v>
      </c>
      <c r="E421">
        <v>1.2</v>
      </c>
    </row>
    <row r="422" spans="1:5" x14ac:dyDescent="0.2">
      <c r="A422">
        <v>415</v>
      </c>
      <c r="B422">
        <v>299</v>
      </c>
      <c r="C422">
        <v>10</v>
      </c>
      <c r="D422">
        <v>13.1</v>
      </c>
      <c r="E422">
        <v>1.2</v>
      </c>
    </row>
    <row r="423" spans="1:5" x14ac:dyDescent="0.2">
      <c r="A423">
        <v>416</v>
      </c>
      <c r="B423">
        <v>298</v>
      </c>
      <c r="C423">
        <v>10</v>
      </c>
      <c r="D423">
        <v>13.3</v>
      </c>
      <c r="E423">
        <v>1.2</v>
      </c>
    </row>
    <row r="424" spans="1:5" x14ac:dyDescent="0.2">
      <c r="A424">
        <v>417</v>
      </c>
      <c r="B424">
        <v>298</v>
      </c>
      <c r="C424">
        <v>10</v>
      </c>
      <c r="D424">
        <v>13.4</v>
      </c>
      <c r="E424">
        <v>1.2</v>
      </c>
    </row>
    <row r="425" spans="1:5" x14ac:dyDescent="0.2">
      <c r="A425">
        <v>418</v>
      </c>
      <c r="B425">
        <v>299</v>
      </c>
      <c r="C425">
        <v>10</v>
      </c>
      <c r="D425">
        <v>13.4</v>
      </c>
      <c r="E425">
        <v>1.2</v>
      </c>
    </row>
    <row r="426" spans="1:5" x14ac:dyDescent="0.2">
      <c r="A426">
        <v>419</v>
      </c>
      <c r="B426">
        <v>301</v>
      </c>
      <c r="C426">
        <v>10</v>
      </c>
      <c r="D426">
        <v>13.3</v>
      </c>
      <c r="E426">
        <v>1.2</v>
      </c>
    </row>
    <row r="427" spans="1:5" x14ac:dyDescent="0.2">
      <c r="A427">
        <v>420</v>
      </c>
      <c r="B427">
        <v>303</v>
      </c>
      <c r="C427">
        <v>10</v>
      </c>
      <c r="D427">
        <v>13.1</v>
      </c>
      <c r="E427">
        <v>1.2</v>
      </c>
    </row>
    <row r="428" spans="1:5" x14ac:dyDescent="0.2">
      <c r="A428">
        <v>421</v>
      </c>
      <c r="B428">
        <v>306</v>
      </c>
      <c r="C428">
        <v>9</v>
      </c>
      <c r="D428">
        <v>12.9</v>
      </c>
      <c r="E428">
        <v>1.2</v>
      </c>
    </row>
    <row r="429" spans="1:5" x14ac:dyDescent="0.2">
      <c r="A429">
        <v>422</v>
      </c>
      <c r="B429">
        <v>309</v>
      </c>
      <c r="C429">
        <v>9</v>
      </c>
      <c r="D429">
        <v>12.6</v>
      </c>
      <c r="E429">
        <v>1.2</v>
      </c>
    </row>
    <row r="430" spans="1:5" x14ac:dyDescent="0.2">
      <c r="A430">
        <v>423</v>
      </c>
      <c r="B430">
        <v>313</v>
      </c>
      <c r="C430">
        <v>9</v>
      </c>
      <c r="D430">
        <v>12.3</v>
      </c>
      <c r="E430">
        <v>1.2</v>
      </c>
    </row>
    <row r="431" spans="1:5" x14ac:dyDescent="0.2">
      <c r="A431">
        <v>424</v>
      </c>
      <c r="B431">
        <v>317</v>
      </c>
      <c r="C431">
        <v>9</v>
      </c>
      <c r="D431">
        <v>11.9</v>
      </c>
      <c r="E431">
        <v>1.2</v>
      </c>
    </row>
    <row r="432" spans="1:5" x14ac:dyDescent="0.2">
      <c r="A432">
        <v>425</v>
      </c>
      <c r="B432">
        <v>321</v>
      </c>
      <c r="C432">
        <v>9</v>
      </c>
      <c r="D432">
        <v>11.5</v>
      </c>
      <c r="E432">
        <v>1.2</v>
      </c>
    </row>
    <row r="433" spans="1:5" x14ac:dyDescent="0.2">
      <c r="A433">
        <v>426</v>
      </c>
      <c r="B433">
        <v>325</v>
      </c>
      <c r="C433">
        <v>10</v>
      </c>
      <c r="D433">
        <v>11.2</v>
      </c>
      <c r="E433">
        <v>1.2</v>
      </c>
    </row>
    <row r="434" spans="1:5" x14ac:dyDescent="0.2">
      <c r="A434">
        <v>427</v>
      </c>
      <c r="B434">
        <v>328</v>
      </c>
      <c r="C434">
        <v>10</v>
      </c>
      <c r="D434">
        <v>10.9</v>
      </c>
      <c r="E434">
        <v>1.2</v>
      </c>
    </row>
    <row r="435" spans="1:5" x14ac:dyDescent="0.2">
      <c r="A435">
        <v>428</v>
      </c>
      <c r="B435">
        <v>331</v>
      </c>
      <c r="C435">
        <v>10</v>
      </c>
      <c r="D435">
        <v>10.6</v>
      </c>
      <c r="E435">
        <v>1.2</v>
      </c>
    </row>
    <row r="436" spans="1:5" x14ac:dyDescent="0.2">
      <c r="A436">
        <v>429</v>
      </c>
      <c r="B436">
        <v>334</v>
      </c>
      <c r="C436">
        <v>10</v>
      </c>
      <c r="D436">
        <v>10.4</v>
      </c>
      <c r="E436">
        <v>1.2</v>
      </c>
    </row>
    <row r="437" spans="1:5" x14ac:dyDescent="0.2">
      <c r="A437">
        <v>430</v>
      </c>
      <c r="B437">
        <v>336</v>
      </c>
      <c r="C437">
        <v>10</v>
      </c>
      <c r="D437">
        <v>10.199999999999999</v>
      </c>
      <c r="E437">
        <v>1.2</v>
      </c>
    </row>
    <row r="438" spans="1:5" x14ac:dyDescent="0.2">
      <c r="A438">
        <v>431</v>
      </c>
      <c r="B438">
        <v>339</v>
      </c>
      <c r="C438">
        <v>10</v>
      </c>
      <c r="D438">
        <v>10</v>
      </c>
      <c r="E438">
        <v>1.2</v>
      </c>
    </row>
    <row r="439" spans="1:5" x14ac:dyDescent="0.2">
      <c r="A439">
        <v>432</v>
      </c>
      <c r="B439">
        <v>340</v>
      </c>
      <c r="C439">
        <v>10</v>
      </c>
      <c r="D439">
        <v>10</v>
      </c>
      <c r="E439">
        <v>1.2</v>
      </c>
    </row>
    <row r="440" spans="1:5" x14ac:dyDescent="0.2">
      <c r="A440">
        <v>433</v>
      </c>
      <c r="B440">
        <v>341</v>
      </c>
      <c r="C440">
        <v>10</v>
      </c>
      <c r="D440">
        <v>10</v>
      </c>
      <c r="E440">
        <v>1.2</v>
      </c>
    </row>
    <row r="441" spans="1:5" x14ac:dyDescent="0.2">
      <c r="A441">
        <v>434</v>
      </c>
      <c r="B441">
        <v>341</v>
      </c>
      <c r="C441">
        <v>10</v>
      </c>
      <c r="D441">
        <v>10.1</v>
      </c>
      <c r="E441">
        <v>1.2</v>
      </c>
    </row>
    <row r="442" spans="1:5" x14ac:dyDescent="0.2">
      <c r="A442">
        <v>435</v>
      </c>
      <c r="B442">
        <v>341</v>
      </c>
      <c r="C442">
        <v>10</v>
      </c>
      <c r="D442">
        <v>10.199999999999999</v>
      </c>
      <c r="E442">
        <v>1.2</v>
      </c>
    </row>
    <row r="443" spans="1:5" x14ac:dyDescent="0.2">
      <c r="A443">
        <v>436</v>
      </c>
      <c r="B443">
        <v>341</v>
      </c>
      <c r="C443">
        <v>9</v>
      </c>
      <c r="D443">
        <v>10.4</v>
      </c>
      <c r="E443">
        <v>1.2</v>
      </c>
    </row>
    <row r="444" spans="1:5" x14ac:dyDescent="0.2">
      <c r="A444">
        <v>437</v>
      </c>
      <c r="B444">
        <v>341</v>
      </c>
      <c r="C444">
        <v>9</v>
      </c>
      <c r="D444">
        <v>10.5</v>
      </c>
      <c r="E444">
        <v>1.2</v>
      </c>
    </row>
    <row r="445" spans="1:5" x14ac:dyDescent="0.2">
      <c r="A445">
        <v>438</v>
      </c>
      <c r="B445">
        <v>342</v>
      </c>
      <c r="C445">
        <v>9</v>
      </c>
      <c r="D445">
        <v>10.5</v>
      </c>
      <c r="E445">
        <v>1.2</v>
      </c>
    </row>
    <row r="446" spans="1:5" x14ac:dyDescent="0.2">
      <c r="A446">
        <v>439</v>
      </c>
      <c r="B446">
        <v>343</v>
      </c>
      <c r="C446">
        <v>10</v>
      </c>
      <c r="D446">
        <v>10.4</v>
      </c>
      <c r="E446">
        <v>1.2</v>
      </c>
    </row>
    <row r="447" spans="1:5" x14ac:dyDescent="0.2">
      <c r="A447">
        <v>440</v>
      </c>
      <c r="B447">
        <v>345</v>
      </c>
      <c r="C447">
        <v>10</v>
      </c>
      <c r="D447">
        <v>10.4</v>
      </c>
      <c r="E447">
        <v>1.2</v>
      </c>
    </row>
    <row r="448" spans="1:5" x14ac:dyDescent="0.2">
      <c r="A448">
        <v>441</v>
      </c>
      <c r="B448">
        <v>346</v>
      </c>
      <c r="C448">
        <v>10</v>
      </c>
      <c r="D448">
        <v>10.3</v>
      </c>
      <c r="E448">
        <v>1.2</v>
      </c>
    </row>
    <row r="449" spans="1:5" x14ac:dyDescent="0.2">
      <c r="A449">
        <v>442</v>
      </c>
      <c r="B449">
        <v>348</v>
      </c>
      <c r="C449">
        <v>10</v>
      </c>
      <c r="D449">
        <v>10.199999999999999</v>
      </c>
      <c r="E449">
        <v>1.2</v>
      </c>
    </row>
    <row r="450" spans="1:5" x14ac:dyDescent="0.2">
      <c r="A450">
        <v>443</v>
      </c>
      <c r="B450">
        <v>349</v>
      </c>
      <c r="C450">
        <v>10</v>
      </c>
      <c r="D450">
        <v>10.199999999999999</v>
      </c>
      <c r="E450">
        <v>1.2</v>
      </c>
    </row>
    <row r="451" spans="1:5" x14ac:dyDescent="0.2">
      <c r="A451">
        <v>444</v>
      </c>
      <c r="B451">
        <v>350</v>
      </c>
      <c r="C451">
        <v>10</v>
      </c>
      <c r="D451">
        <v>10.1</v>
      </c>
      <c r="E451">
        <v>1.2</v>
      </c>
    </row>
    <row r="452" spans="1:5" x14ac:dyDescent="0.2">
      <c r="A452">
        <v>445</v>
      </c>
      <c r="B452">
        <v>351</v>
      </c>
      <c r="C452">
        <v>10</v>
      </c>
      <c r="D452">
        <v>10.1</v>
      </c>
      <c r="E452">
        <v>1.2</v>
      </c>
    </row>
    <row r="453" spans="1:5" x14ac:dyDescent="0.2">
      <c r="A453">
        <v>446</v>
      </c>
      <c r="B453">
        <v>352</v>
      </c>
      <c r="C453">
        <v>10</v>
      </c>
      <c r="D453">
        <v>10.199999999999999</v>
      </c>
      <c r="E453">
        <v>1.2</v>
      </c>
    </row>
    <row r="454" spans="1:5" x14ac:dyDescent="0.2">
      <c r="A454">
        <v>447</v>
      </c>
      <c r="B454">
        <v>353</v>
      </c>
      <c r="C454">
        <v>10</v>
      </c>
      <c r="D454">
        <v>10.199999999999999</v>
      </c>
      <c r="E454">
        <v>1.2</v>
      </c>
    </row>
    <row r="455" spans="1:5" x14ac:dyDescent="0.2">
      <c r="A455">
        <v>448</v>
      </c>
      <c r="B455">
        <v>354</v>
      </c>
      <c r="C455">
        <v>10</v>
      </c>
      <c r="D455">
        <v>10.199999999999999</v>
      </c>
      <c r="E455">
        <v>1.2</v>
      </c>
    </row>
    <row r="456" spans="1:5" x14ac:dyDescent="0.2">
      <c r="A456">
        <v>449</v>
      </c>
      <c r="B456">
        <v>355</v>
      </c>
      <c r="C456">
        <v>10</v>
      </c>
      <c r="D456">
        <v>10.199999999999999</v>
      </c>
      <c r="E456">
        <v>1.2</v>
      </c>
    </row>
    <row r="457" spans="1:5" x14ac:dyDescent="0.2">
      <c r="A457">
        <v>450</v>
      </c>
      <c r="B457">
        <v>355</v>
      </c>
      <c r="C457">
        <v>10</v>
      </c>
      <c r="D457">
        <v>10.3</v>
      </c>
      <c r="E457">
        <v>1.2</v>
      </c>
    </row>
    <row r="458" spans="1:5" x14ac:dyDescent="0.2">
      <c r="A458">
        <v>451</v>
      </c>
      <c r="B458">
        <v>355</v>
      </c>
      <c r="C458">
        <v>10</v>
      </c>
      <c r="D458">
        <v>10.4</v>
      </c>
      <c r="E458">
        <v>1.2</v>
      </c>
    </row>
    <row r="459" spans="1:5" x14ac:dyDescent="0.2">
      <c r="A459">
        <v>452</v>
      </c>
      <c r="B459">
        <v>356</v>
      </c>
      <c r="C459">
        <v>10</v>
      </c>
      <c r="D459">
        <v>10.4</v>
      </c>
      <c r="E459">
        <v>1.2</v>
      </c>
    </row>
    <row r="460" spans="1:5" x14ac:dyDescent="0.2">
      <c r="A460">
        <v>453</v>
      </c>
      <c r="B460">
        <v>356</v>
      </c>
      <c r="C460">
        <v>10</v>
      </c>
      <c r="D460">
        <v>10.5</v>
      </c>
      <c r="E460">
        <v>1.2</v>
      </c>
    </row>
    <row r="461" spans="1:5" x14ac:dyDescent="0.2">
      <c r="A461">
        <v>454</v>
      </c>
      <c r="B461">
        <v>357</v>
      </c>
      <c r="C461">
        <v>10</v>
      </c>
      <c r="D461">
        <v>10.5</v>
      </c>
      <c r="E461">
        <v>1.2</v>
      </c>
    </row>
    <row r="462" spans="1:5" x14ac:dyDescent="0.2">
      <c r="A462">
        <v>455</v>
      </c>
      <c r="B462">
        <v>358</v>
      </c>
      <c r="C462">
        <v>10</v>
      </c>
      <c r="D462">
        <v>10.5</v>
      </c>
      <c r="E462">
        <v>1.2</v>
      </c>
    </row>
    <row r="463" spans="1:5" x14ac:dyDescent="0.2">
      <c r="A463">
        <v>456</v>
      </c>
      <c r="B463">
        <v>360</v>
      </c>
      <c r="C463">
        <v>10</v>
      </c>
      <c r="D463">
        <v>10.4</v>
      </c>
      <c r="E463">
        <v>1.2</v>
      </c>
    </row>
    <row r="464" spans="1:5" x14ac:dyDescent="0.2">
      <c r="A464">
        <v>457</v>
      </c>
      <c r="B464">
        <v>361</v>
      </c>
      <c r="C464">
        <v>10</v>
      </c>
      <c r="D464">
        <v>10.4</v>
      </c>
      <c r="E464">
        <v>1.2</v>
      </c>
    </row>
    <row r="465" spans="1:5" x14ac:dyDescent="0.2">
      <c r="A465">
        <v>458</v>
      </c>
      <c r="B465">
        <v>363</v>
      </c>
      <c r="C465">
        <v>10</v>
      </c>
      <c r="D465">
        <v>10.3</v>
      </c>
      <c r="E465">
        <v>1.2</v>
      </c>
    </row>
    <row r="466" spans="1:5" x14ac:dyDescent="0.2">
      <c r="A466">
        <v>459</v>
      </c>
      <c r="B466">
        <v>364</v>
      </c>
      <c r="C466">
        <v>10</v>
      </c>
      <c r="D466">
        <v>10.3</v>
      </c>
      <c r="E466">
        <v>1.2</v>
      </c>
    </row>
    <row r="467" spans="1:5" x14ac:dyDescent="0.2">
      <c r="A467">
        <v>460</v>
      </c>
      <c r="B467">
        <v>365</v>
      </c>
      <c r="C467">
        <v>10</v>
      </c>
      <c r="D467">
        <v>10.199999999999999</v>
      </c>
      <c r="E467">
        <v>1.2</v>
      </c>
    </row>
    <row r="468" spans="1:5" x14ac:dyDescent="0.2">
      <c r="A468">
        <v>461</v>
      </c>
      <c r="B468">
        <v>366</v>
      </c>
      <c r="C468">
        <v>10</v>
      </c>
      <c r="D468">
        <v>10.199999999999999</v>
      </c>
      <c r="E468">
        <v>1.2</v>
      </c>
    </row>
    <row r="469" spans="1:5" x14ac:dyDescent="0.2">
      <c r="A469">
        <v>462</v>
      </c>
      <c r="B469">
        <v>367</v>
      </c>
      <c r="C469">
        <v>10</v>
      </c>
      <c r="D469">
        <v>10.199999999999999</v>
      </c>
      <c r="E469">
        <v>1.2</v>
      </c>
    </row>
    <row r="470" spans="1:5" x14ac:dyDescent="0.2">
      <c r="A470">
        <v>463</v>
      </c>
      <c r="B470">
        <v>368</v>
      </c>
      <c r="C470">
        <v>9</v>
      </c>
      <c r="D470">
        <v>10.3</v>
      </c>
      <c r="E470">
        <v>1.2</v>
      </c>
    </row>
    <row r="471" spans="1:5" x14ac:dyDescent="0.2">
      <c r="A471">
        <v>464</v>
      </c>
      <c r="B471">
        <v>368</v>
      </c>
      <c r="C471">
        <v>9</v>
      </c>
      <c r="D471">
        <v>10.3</v>
      </c>
      <c r="E471">
        <v>1.2</v>
      </c>
    </row>
    <row r="472" spans="1:5" x14ac:dyDescent="0.2">
      <c r="A472">
        <v>465</v>
      </c>
      <c r="B472">
        <v>368</v>
      </c>
      <c r="C472">
        <v>9</v>
      </c>
      <c r="D472">
        <v>10.4</v>
      </c>
      <c r="E472">
        <v>1.2</v>
      </c>
    </row>
    <row r="473" spans="1:5" x14ac:dyDescent="0.2">
      <c r="A473">
        <v>466</v>
      </c>
      <c r="B473">
        <v>368</v>
      </c>
      <c r="C473">
        <v>9</v>
      </c>
      <c r="D473">
        <v>10.6</v>
      </c>
      <c r="E473">
        <v>1.2</v>
      </c>
    </row>
    <row r="474" spans="1:5" x14ac:dyDescent="0.2">
      <c r="A474">
        <v>467</v>
      </c>
      <c r="B474">
        <v>368</v>
      </c>
      <c r="C474">
        <v>9</v>
      </c>
      <c r="D474">
        <v>10.7</v>
      </c>
      <c r="E474">
        <v>1.2</v>
      </c>
    </row>
    <row r="475" spans="1:5" x14ac:dyDescent="0.2">
      <c r="A475">
        <v>468</v>
      </c>
      <c r="B475">
        <v>369</v>
      </c>
      <c r="C475">
        <v>9</v>
      </c>
      <c r="D475">
        <v>10.8</v>
      </c>
      <c r="E475">
        <v>1.2</v>
      </c>
    </row>
    <row r="476" spans="1:5" x14ac:dyDescent="0.2">
      <c r="A476">
        <v>469</v>
      </c>
      <c r="B476">
        <v>370</v>
      </c>
      <c r="C476">
        <v>10</v>
      </c>
      <c r="D476">
        <v>10.8</v>
      </c>
      <c r="E476">
        <v>1.2</v>
      </c>
    </row>
    <row r="477" spans="1:5" x14ac:dyDescent="0.2">
      <c r="A477">
        <v>470</v>
      </c>
      <c r="B477">
        <v>371</v>
      </c>
      <c r="C477">
        <v>10</v>
      </c>
      <c r="D477">
        <v>10.7</v>
      </c>
      <c r="E477">
        <v>1.2</v>
      </c>
    </row>
    <row r="478" spans="1:5" x14ac:dyDescent="0.2">
      <c r="A478">
        <v>471</v>
      </c>
      <c r="B478">
        <v>373</v>
      </c>
      <c r="C478">
        <v>10</v>
      </c>
      <c r="D478">
        <v>10.6</v>
      </c>
      <c r="E478">
        <v>1.2</v>
      </c>
    </row>
    <row r="479" spans="1:5" x14ac:dyDescent="0.2">
      <c r="A479">
        <v>472</v>
      </c>
      <c r="B479">
        <v>375</v>
      </c>
      <c r="C479">
        <v>10</v>
      </c>
      <c r="D479">
        <v>10.5</v>
      </c>
      <c r="E479">
        <v>1.2</v>
      </c>
    </row>
    <row r="480" spans="1:5" x14ac:dyDescent="0.2">
      <c r="A480">
        <v>473</v>
      </c>
      <c r="B480">
        <v>377</v>
      </c>
      <c r="C480">
        <v>10</v>
      </c>
      <c r="D480">
        <v>10.3</v>
      </c>
      <c r="E480">
        <v>1.2</v>
      </c>
    </row>
    <row r="481" spans="1:5" x14ac:dyDescent="0.2">
      <c r="A481">
        <v>474</v>
      </c>
      <c r="B481">
        <v>380</v>
      </c>
      <c r="C481">
        <v>10</v>
      </c>
      <c r="D481">
        <v>10.1</v>
      </c>
      <c r="E481">
        <v>1.2</v>
      </c>
    </row>
    <row r="482" spans="1:5" x14ac:dyDescent="0.2">
      <c r="A482">
        <v>475</v>
      </c>
      <c r="B482">
        <v>383</v>
      </c>
      <c r="C482">
        <v>10</v>
      </c>
      <c r="D482">
        <v>9.9</v>
      </c>
      <c r="E482">
        <v>1.2</v>
      </c>
    </row>
    <row r="483" spans="1:5" x14ac:dyDescent="0.2">
      <c r="A483">
        <v>476</v>
      </c>
      <c r="B483">
        <v>386</v>
      </c>
      <c r="C483">
        <v>10</v>
      </c>
      <c r="D483">
        <v>9.6</v>
      </c>
      <c r="E483">
        <v>1.2</v>
      </c>
    </row>
    <row r="484" spans="1:5" x14ac:dyDescent="0.2">
      <c r="A484">
        <v>477</v>
      </c>
      <c r="B484">
        <v>388</v>
      </c>
      <c r="C484">
        <v>10</v>
      </c>
      <c r="D484">
        <v>9.4</v>
      </c>
      <c r="E484">
        <v>1.2</v>
      </c>
    </row>
    <row r="485" spans="1:5" x14ac:dyDescent="0.2">
      <c r="A485">
        <v>478</v>
      </c>
      <c r="B485">
        <v>390</v>
      </c>
      <c r="C485">
        <v>10</v>
      </c>
      <c r="D485">
        <v>9.3000000000000007</v>
      </c>
      <c r="E485">
        <v>1.2</v>
      </c>
    </row>
    <row r="486" spans="1:5" x14ac:dyDescent="0.2">
      <c r="A486">
        <v>479</v>
      </c>
      <c r="B486">
        <v>391</v>
      </c>
      <c r="C486">
        <v>10</v>
      </c>
      <c r="D486">
        <v>9.3000000000000007</v>
      </c>
      <c r="E486">
        <v>1.2</v>
      </c>
    </row>
    <row r="487" spans="1:5" x14ac:dyDescent="0.2">
      <c r="A487">
        <v>480</v>
      </c>
      <c r="B487">
        <v>391</v>
      </c>
      <c r="C487">
        <v>10</v>
      </c>
      <c r="D487">
        <v>9.4</v>
      </c>
      <c r="E487">
        <v>1.2</v>
      </c>
    </row>
    <row r="488" spans="1:5" x14ac:dyDescent="0.2">
      <c r="A488">
        <v>481</v>
      </c>
      <c r="B488">
        <v>392</v>
      </c>
      <c r="C488">
        <v>10</v>
      </c>
      <c r="D488">
        <v>9.5</v>
      </c>
      <c r="E488">
        <v>1.2</v>
      </c>
    </row>
    <row r="489" spans="1:5" x14ac:dyDescent="0.2">
      <c r="A489">
        <v>482</v>
      </c>
      <c r="B489">
        <v>393</v>
      </c>
      <c r="C489">
        <v>10</v>
      </c>
      <c r="D489">
        <v>9.5</v>
      </c>
      <c r="E489">
        <v>1.2</v>
      </c>
    </row>
    <row r="490" spans="1:5" x14ac:dyDescent="0.2">
      <c r="A490">
        <v>483</v>
      </c>
      <c r="B490">
        <v>394</v>
      </c>
      <c r="C490">
        <v>10</v>
      </c>
      <c r="D490">
        <v>9.4</v>
      </c>
      <c r="E490">
        <v>1.2</v>
      </c>
    </row>
    <row r="491" spans="1:5" x14ac:dyDescent="0.2">
      <c r="A491">
        <v>484</v>
      </c>
      <c r="B491">
        <v>395</v>
      </c>
      <c r="C491">
        <v>10</v>
      </c>
      <c r="D491">
        <v>9.5</v>
      </c>
      <c r="E491">
        <v>1.2</v>
      </c>
    </row>
    <row r="492" spans="1:5" x14ac:dyDescent="0.2">
      <c r="A492">
        <v>485</v>
      </c>
      <c r="B492">
        <v>394</v>
      </c>
      <c r="C492">
        <v>10</v>
      </c>
      <c r="D492">
        <v>9.6</v>
      </c>
      <c r="E492">
        <v>1.2</v>
      </c>
    </row>
    <row r="493" spans="1:5" x14ac:dyDescent="0.2">
      <c r="A493">
        <v>486</v>
      </c>
      <c r="B493">
        <v>393</v>
      </c>
      <c r="C493">
        <v>10</v>
      </c>
      <c r="D493">
        <v>9.9</v>
      </c>
      <c r="E493">
        <v>1.2</v>
      </c>
    </row>
    <row r="494" spans="1:5" x14ac:dyDescent="0.2">
      <c r="A494">
        <v>487</v>
      </c>
      <c r="B494">
        <v>392</v>
      </c>
      <c r="C494">
        <v>10</v>
      </c>
      <c r="D494">
        <v>10.1</v>
      </c>
      <c r="E494">
        <v>1.2</v>
      </c>
    </row>
    <row r="495" spans="1:5" x14ac:dyDescent="0.2">
      <c r="A495">
        <v>488</v>
      </c>
      <c r="B495">
        <v>391</v>
      </c>
      <c r="C495">
        <v>10</v>
      </c>
      <c r="D495">
        <v>10.4</v>
      </c>
      <c r="E495">
        <v>1.2</v>
      </c>
    </row>
    <row r="496" spans="1:5" x14ac:dyDescent="0.2">
      <c r="A496">
        <v>489</v>
      </c>
      <c r="B496">
        <v>392</v>
      </c>
      <c r="C496">
        <v>10</v>
      </c>
      <c r="D496">
        <v>10.5</v>
      </c>
      <c r="E496">
        <v>1.2</v>
      </c>
    </row>
    <row r="497" spans="1:5" x14ac:dyDescent="0.2">
      <c r="A497">
        <v>490</v>
      </c>
      <c r="B497">
        <v>393</v>
      </c>
      <c r="C497">
        <v>10</v>
      </c>
      <c r="D497">
        <v>10.3</v>
      </c>
      <c r="E497">
        <v>1.2</v>
      </c>
    </row>
    <row r="498" spans="1:5" x14ac:dyDescent="0.2">
      <c r="A498">
        <v>491</v>
      </c>
      <c r="B498">
        <v>397</v>
      </c>
      <c r="C498">
        <v>10</v>
      </c>
      <c r="D498">
        <v>10</v>
      </c>
      <c r="E498">
        <v>1.2</v>
      </c>
    </row>
    <row r="499" spans="1:5" x14ac:dyDescent="0.2">
      <c r="A499">
        <v>492</v>
      </c>
      <c r="B499">
        <v>401</v>
      </c>
      <c r="C499">
        <v>10</v>
      </c>
      <c r="D499">
        <v>9.6</v>
      </c>
      <c r="E499">
        <v>1.2</v>
      </c>
    </row>
    <row r="500" spans="1:5" x14ac:dyDescent="0.2">
      <c r="A500">
        <v>493</v>
      </c>
      <c r="B500">
        <v>406</v>
      </c>
      <c r="C500">
        <v>10</v>
      </c>
      <c r="D500">
        <v>9.1</v>
      </c>
      <c r="E500">
        <v>1.2</v>
      </c>
    </row>
    <row r="501" spans="1:5" x14ac:dyDescent="0.2">
      <c r="A501">
        <v>494</v>
      </c>
      <c r="B501">
        <v>411</v>
      </c>
      <c r="C501">
        <v>10</v>
      </c>
      <c r="D501">
        <v>8.6</v>
      </c>
      <c r="E501">
        <v>1.2</v>
      </c>
    </row>
    <row r="502" spans="1:5" x14ac:dyDescent="0.2">
      <c r="A502">
        <v>495</v>
      </c>
      <c r="B502">
        <v>416</v>
      </c>
      <c r="C502">
        <v>10</v>
      </c>
      <c r="D502">
        <v>8.1</v>
      </c>
      <c r="E502">
        <v>1.2</v>
      </c>
    </row>
    <row r="503" spans="1:5" x14ac:dyDescent="0.2">
      <c r="A503">
        <v>496</v>
      </c>
      <c r="B503">
        <v>420</v>
      </c>
      <c r="C503">
        <v>10</v>
      </c>
      <c r="D503">
        <v>7.8</v>
      </c>
      <c r="E503">
        <v>1.2</v>
      </c>
    </row>
    <row r="504" spans="1:5" x14ac:dyDescent="0.2">
      <c r="A504">
        <v>497</v>
      </c>
      <c r="B504">
        <v>423</v>
      </c>
      <c r="C504">
        <v>10</v>
      </c>
      <c r="D504">
        <v>7.5</v>
      </c>
      <c r="E504">
        <v>1.2</v>
      </c>
    </row>
    <row r="505" spans="1:5" x14ac:dyDescent="0.2">
      <c r="A505">
        <v>498</v>
      </c>
      <c r="B505">
        <v>425</v>
      </c>
      <c r="C505">
        <v>10</v>
      </c>
      <c r="D505">
        <v>7.3</v>
      </c>
      <c r="E505">
        <v>1.2</v>
      </c>
    </row>
    <row r="506" spans="1:5" x14ac:dyDescent="0.2">
      <c r="A506">
        <v>499</v>
      </c>
      <c r="B506">
        <v>427</v>
      </c>
      <c r="C506">
        <v>10</v>
      </c>
      <c r="D506">
        <v>7.2</v>
      </c>
      <c r="E506">
        <v>1.2</v>
      </c>
    </row>
    <row r="507" spans="1:5" x14ac:dyDescent="0.2">
      <c r="A507">
        <v>500</v>
      </c>
      <c r="B507">
        <v>429</v>
      </c>
      <c r="C507">
        <v>10</v>
      </c>
      <c r="D507">
        <v>7</v>
      </c>
      <c r="E507">
        <v>1.2</v>
      </c>
    </row>
    <row r="508" spans="1:5" x14ac:dyDescent="0.2">
      <c r="A508">
        <v>501</v>
      </c>
      <c r="B508">
        <v>432</v>
      </c>
      <c r="C508">
        <v>10</v>
      </c>
      <c r="D508">
        <v>6.9</v>
      </c>
      <c r="E508">
        <v>1.2</v>
      </c>
    </row>
    <row r="509" spans="1:5" x14ac:dyDescent="0.2">
      <c r="A509">
        <v>502</v>
      </c>
      <c r="B509">
        <v>435</v>
      </c>
      <c r="C509">
        <v>10</v>
      </c>
      <c r="D509">
        <v>6.6</v>
      </c>
      <c r="E509">
        <v>1.2</v>
      </c>
    </row>
    <row r="510" spans="1:5" x14ac:dyDescent="0.2">
      <c r="A510">
        <v>503</v>
      </c>
      <c r="B510">
        <v>439</v>
      </c>
      <c r="C510">
        <v>10</v>
      </c>
      <c r="D510">
        <v>6.2</v>
      </c>
      <c r="E510">
        <v>1.2</v>
      </c>
    </row>
    <row r="511" spans="1:5" x14ac:dyDescent="0.2">
      <c r="A511">
        <v>504</v>
      </c>
      <c r="B511">
        <v>443</v>
      </c>
      <c r="C511">
        <v>10</v>
      </c>
      <c r="D511">
        <v>5.8</v>
      </c>
      <c r="E511">
        <v>1.2</v>
      </c>
    </row>
    <row r="512" spans="1:5" x14ac:dyDescent="0.2">
      <c r="A512">
        <v>505</v>
      </c>
      <c r="B512">
        <v>446</v>
      </c>
      <c r="C512">
        <v>10</v>
      </c>
      <c r="D512">
        <v>5.5</v>
      </c>
      <c r="E512">
        <v>1.2</v>
      </c>
    </row>
    <row r="513" spans="1:5" x14ac:dyDescent="0.2">
      <c r="A513">
        <v>506</v>
      </c>
      <c r="B513">
        <v>450</v>
      </c>
      <c r="C513">
        <v>10</v>
      </c>
      <c r="D513">
        <v>5.2</v>
      </c>
      <c r="E513">
        <v>1.2</v>
      </c>
    </row>
    <row r="514" spans="1:5" x14ac:dyDescent="0.2">
      <c r="A514">
        <v>507</v>
      </c>
      <c r="B514">
        <v>454</v>
      </c>
      <c r="C514">
        <v>10</v>
      </c>
      <c r="D514">
        <v>4.9000000000000004</v>
      </c>
      <c r="E514">
        <v>1.2</v>
      </c>
    </row>
    <row r="515" spans="1:5" x14ac:dyDescent="0.2">
      <c r="A515">
        <v>508</v>
      </c>
      <c r="B515">
        <v>457</v>
      </c>
      <c r="C515">
        <v>10</v>
      </c>
      <c r="D515">
        <v>4.5999999999999996</v>
      </c>
      <c r="E515">
        <v>1.2</v>
      </c>
    </row>
    <row r="516" spans="1:5" x14ac:dyDescent="0.2">
      <c r="A516">
        <v>509</v>
      </c>
      <c r="B516">
        <v>460</v>
      </c>
      <c r="C516">
        <v>10</v>
      </c>
      <c r="D516">
        <v>4.3</v>
      </c>
      <c r="E516">
        <v>1.2</v>
      </c>
    </row>
    <row r="517" spans="1:5" x14ac:dyDescent="0.2">
      <c r="A517">
        <v>510</v>
      </c>
      <c r="B517">
        <v>463</v>
      </c>
      <c r="C517">
        <v>10</v>
      </c>
      <c r="D517">
        <v>4.0999999999999996</v>
      </c>
      <c r="E517">
        <v>1.2</v>
      </c>
    </row>
    <row r="518" spans="1:5" x14ac:dyDescent="0.2">
      <c r="A518">
        <v>511</v>
      </c>
      <c r="B518">
        <v>465</v>
      </c>
      <c r="C518">
        <v>10</v>
      </c>
      <c r="D518">
        <v>3.9</v>
      </c>
      <c r="E518">
        <v>1.2</v>
      </c>
    </row>
    <row r="519" spans="1:5" x14ac:dyDescent="0.2">
      <c r="A519">
        <v>512</v>
      </c>
      <c r="B519">
        <v>468</v>
      </c>
      <c r="C519">
        <v>10</v>
      </c>
      <c r="D519">
        <v>3.7</v>
      </c>
      <c r="E519">
        <v>1.2</v>
      </c>
    </row>
    <row r="520" spans="1:5" x14ac:dyDescent="0.2">
      <c r="A520">
        <v>513</v>
      </c>
      <c r="B520">
        <v>471</v>
      </c>
      <c r="C520">
        <v>10</v>
      </c>
      <c r="D520">
        <v>3.4</v>
      </c>
      <c r="E520">
        <v>1.2</v>
      </c>
    </row>
    <row r="521" spans="1:5" x14ac:dyDescent="0.2">
      <c r="A521">
        <v>514</v>
      </c>
      <c r="B521">
        <v>475</v>
      </c>
      <c r="C521">
        <v>10</v>
      </c>
      <c r="D521">
        <v>3.1</v>
      </c>
      <c r="E521">
        <v>1.2</v>
      </c>
    </row>
    <row r="522" spans="1:5" x14ac:dyDescent="0.2">
      <c r="A522">
        <v>515</v>
      </c>
      <c r="B522">
        <v>478</v>
      </c>
      <c r="C522">
        <v>10</v>
      </c>
      <c r="D522">
        <v>2.7</v>
      </c>
      <c r="E522">
        <v>1.2</v>
      </c>
    </row>
    <row r="523" spans="1:5" x14ac:dyDescent="0.2">
      <c r="A523">
        <v>516</v>
      </c>
      <c r="B523">
        <v>482</v>
      </c>
      <c r="C523">
        <v>10</v>
      </c>
      <c r="D523">
        <v>2.5</v>
      </c>
      <c r="E523">
        <v>1.2</v>
      </c>
    </row>
    <row r="524" spans="1:5" x14ac:dyDescent="0.2">
      <c r="A524">
        <v>517</v>
      </c>
      <c r="B524">
        <v>484</v>
      </c>
      <c r="C524">
        <v>10</v>
      </c>
      <c r="D524">
        <v>2.2999999999999998</v>
      </c>
      <c r="E524">
        <v>1.2</v>
      </c>
    </row>
    <row r="525" spans="1:5" x14ac:dyDescent="0.2">
      <c r="A525">
        <v>518</v>
      </c>
      <c r="B525">
        <v>486</v>
      </c>
      <c r="C525">
        <v>10</v>
      </c>
      <c r="D525">
        <v>2.1</v>
      </c>
      <c r="E525">
        <v>1.3</v>
      </c>
    </row>
    <row r="526" spans="1:5" x14ac:dyDescent="0.2">
      <c r="A526">
        <v>519</v>
      </c>
      <c r="B526">
        <v>488</v>
      </c>
      <c r="C526">
        <v>10</v>
      </c>
      <c r="D526">
        <v>2</v>
      </c>
      <c r="E526">
        <v>1.3</v>
      </c>
    </row>
    <row r="527" spans="1:5" x14ac:dyDescent="0.2">
      <c r="A527">
        <v>520</v>
      </c>
      <c r="B527">
        <v>489</v>
      </c>
      <c r="C527">
        <v>10</v>
      </c>
      <c r="D527">
        <v>2</v>
      </c>
      <c r="E527">
        <v>1.3</v>
      </c>
    </row>
    <row r="528" spans="1:5" x14ac:dyDescent="0.2">
      <c r="A528">
        <v>521</v>
      </c>
      <c r="B528">
        <v>490</v>
      </c>
      <c r="C528">
        <v>10</v>
      </c>
      <c r="D528">
        <v>2</v>
      </c>
      <c r="E528">
        <v>1.3</v>
      </c>
    </row>
    <row r="529" spans="1:5" x14ac:dyDescent="0.2">
      <c r="A529">
        <v>522</v>
      </c>
      <c r="B529">
        <v>491</v>
      </c>
      <c r="C529">
        <v>10</v>
      </c>
      <c r="D529">
        <v>2</v>
      </c>
      <c r="E529">
        <v>1.3</v>
      </c>
    </row>
    <row r="530" spans="1:5" x14ac:dyDescent="0.2">
      <c r="A530">
        <v>523</v>
      </c>
      <c r="B530">
        <v>493</v>
      </c>
      <c r="C530">
        <v>10</v>
      </c>
      <c r="D530">
        <v>1.9</v>
      </c>
      <c r="E530">
        <v>1.3</v>
      </c>
    </row>
    <row r="531" spans="1:5" x14ac:dyDescent="0.2">
      <c r="A531">
        <v>524</v>
      </c>
      <c r="B531">
        <v>496</v>
      </c>
      <c r="C531">
        <v>10</v>
      </c>
      <c r="D531">
        <v>1.6</v>
      </c>
      <c r="E531">
        <v>1.3</v>
      </c>
    </row>
    <row r="532" spans="1:5" x14ac:dyDescent="0.2">
      <c r="A532">
        <v>525</v>
      </c>
      <c r="B532">
        <v>500</v>
      </c>
      <c r="C532">
        <v>10</v>
      </c>
      <c r="D532">
        <v>1.3</v>
      </c>
      <c r="E532">
        <v>1.3</v>
      </c>
    </row>
    <row r="533" spans="1:5" x14ac:dyDescent="0.2">
      <c r="A533">
        <v>526</v>
      </c>
      <c r="B533">
        <v>504</v>
      </c>
      <c r="C533">
        <v>10</v>
      </c>
      <c r="D533">
        <v>0.8</v>
      </c>
      <c r="E533">
        <v>1.3</v>
      </c>
    </row>
    <row r="534" spans="1:5" x14ac:dyDescent="0.2">
      <c r="A534">
        <v>527</v>
      </c>
      <c r="B534">
        <v>509</v>
      </c>
      <c r="C534">
        <v>10</v>
      </c>
      <c r="D534">
        <v>0.3</v>
      </c>
      <c r="E534">
        <v>1.3</v>
      </c>
    </row>
    <row r="535" spans="1:5" x14ac:dyDescent="0.2">
      <c r="A535">
        <v>528</v>
      </c>
      <c r="B535">
        <v>514</v>
      </c>
      <c r="C535">
        <v>10</v>
      </c>
      <c r="D535">
        <v>-0.1</v>
      </c>
      <c r="E535">
        <v>1.3</v>
      </c>
    </row>
    <row r="536" spans="1:5" x14ac:dyDescent="0.2">
      <c r="A536">
        <v>529</v>
      </c>
      <c r="B536">
        <v>518</v>
      </c>
      <c r="C536">
        <v>10</v>
      </c>
      <c r="D536">
        <v>-0.5</v>
      </c>
      <c r="E536">
        <v>1.3</v>
      </c>
    </row>
    <row r="537" spans="1:5" x14ac:dyDescent="0.2">
      <c r="A537">
        <v>530</v>
      </c>
      <c r="B537">
        <v>522</v>
      </c>
      <c r="C537">
        <v>10</v>
      </c>
      <c r="D537">
        <v>-0.8</v>
      </c>
      <c r="E537">
        <v>1.3</v>
      </c>
    </row>
    <row r="538" spans="1:5" x14ac:dyDescent="0.2">
      <c r="A538">
        <v>531</v>
      </c>
      <c r="B538">
        <v>524</v>
      </c>
      <c r="C538">
        <v>10</v>
      </c>
      <c r="D538">
        <v>-1</v>
      </c>
      <c r="E538">
        <v>1.2</v>
      </c>
    </row>
    <row r="539" spans="1:5" x14ac:dyDescent="0.2">
      <c r="A539">
        <v>532</v>
      </c>
      <c r="B539">
        <v>525</v>
      </c>
      <c r="C539">
        <v>10</v>
      </c>
      <c r="D539">
        <v>-1</v>
      </c>
      <c r="E539">
        <v>1.2</v>
      </c>
    </row>
    <row r="540" spans="1:5" x14ac:dyDescent="0.2">
      <c r="A540">
        <v>533</v>
      </c>
      <c r="B540">
        <v>526</v>
      </c>
      <c r="C540">
        <v>10</v>
      </c>
      <c r="D540">
        <v>-1</v>
      </c>
      <c r="E540">
        <v>1.2</v>
      </c>
    </row>
    <row r="541" spans="1:5" x14ac:dyDescent="0.2">
      <c r="A541">
        <v>534</v>
      </c>
      <c r="B541">
        <v>526</v>
      </c>
      <c r="C541">
        <v>10</v>
      </c>
      <c r="D541">
        <v>-0.9</v>
      </c>
      <c r="E541">
        <v>1.2</v>
      </c>
    </row>
    <row r="542" spans="1:5" x14ac:dyDescent="0.2">
      <c r="A542">
        <v>535</v>
      </c>
      <c r="B542">
        <v>526</v>
      </c>
      <c r="C542">
        <v>10</v>
      </c>
      <c r="D542">
        <v>-0.8</v>
      </c>
      <c r="E542">
        <v>1.2</v>
      </c>
    </row>
    <row r="543" spans="1:5" x14ac:dyDescent="0.2">
      <c r="A543">
        <v>536</v>
      </c>
      <c r="B543">
        <v>526</v>
      </c>
      <c r="C543">
        <v>10</v>
      </c>
      <c r="D543">
        <v>-0.7</v>
      </c>
      <c r="E543">
        <v>1.2</v>
      </c>
    </row>
    <row r="544" spans="1:5" x14ac:dyDescent="0.2">
      <c r="A544">
        <v>537</v>
      </c>
      <c r="B544">
        <v>527</v>
      </c>
      <c r="C544">
        <v>10</v>
      </c>
      <c r="D544">
        <v>-0.7</v>
      </c>
      <c r="E544">
        <v>1.2</v>
      </c>
    </row>
    <row r="545" spans="1:5" x14ac:dyDescent="0.2">
      <c r="A545">
        <v>538</v>
      </c>
      <c r="B545">
        <v>529</v>
      </c>
      <c r="C545">
        <v>10</v>
      </c>
      <c r="D545">
        <v>-0.8</v>
      </c>
      <c r="E545">
        <v>1.3</v>
      </c>
    </row>
    <row r="546" spans="1:5" x14ac:dyDescent="0.2">
      <c r="A546">
        <v>539</v>
      </c>
      <c r="B546">
        <v>531</v>
      </c>
      <c r="C546">
        <v>10</v>
      </c>
      <c r="D546">
        <v>-1</v>
      </c>
      <c r="E546">
        <v>1.3</v>
      </c>
    </row>
    <row r="547" spans="1:5" x14ac:dyDescent="0.2">
      <c r="A547">
        <v>540</v>
      </c>
      <c r="B547">
        <v>534</v>
      </c>
      <c r="C547">
        <v>10</v>
      </c>
      <c r="D547">
        <v>-1.2</v>
      </c>
      <c r="E547">
        <v>1.3</v>
      </c>
    </row>
    <row r="548" spans="1:5" x14ac:dyDescent="0.2">
      <c r="A548">
        <v>541</v>
      </c>
      <c r="B548">
        <v>538</v>
      </c>
      <c r="C548">
        <v>10</v>
      </c>
      <c r="D548">
        <v>-1.6</v>
      </c>
      <c r="E548">
        <v>1.3</v>
      </c>
    </row>
    <row r="549" spans="1:5" x14ac:dyDescent="0.2">
      <c r="A549">
        <v>542</v>
      </c>
      <c r="B549">
        <v>542</v>
      </c>
      <c r="C549">
        <v>10</v>
      </c>
      <c r="D549">
        <v>-1.9</v>
      </c>
      <c r="E549">
        <v>1.3</v>
      </c>
    </row>
    <row r="550" spans="1:5" x14ac:dyDescent="0.2">
      <c r="A550">
        <v>543</v>
      </c>
      <c r="B550">
        <v>546</v>
      </c>
      <c r="C550">
        <v>10</v>
      </c>
      <c r="D550">
        <v>-2.2999999999999998</v>
      </c>
      <c r="E550">
        <v>1.3</v>
      </c>
    </row>
    <row r="551" spans="1:5" x14ac:dyDescent="0.2">
      <c r="A551">
        <v>544</v>
      </c>
      <c r="B551">
        <v>551</v>
      </c>
      <c r="C551">
        <v>10</v>
      </c>
      <c r="D551">
        <v>-2.7</v>
      </c>
      <c r="E551">
        <v>1.3</v>
      </c>
    </row>
    <row r="552" spans="1:5" x14ac:dyDescent="0.2">
      <c r="A552">
        <v>545</v>
      </c>
      <c r="B552">
        <v>555</v>
      </c>
      <c r="C552">
        <v>10</v>
      </c>
      <c r="D552">
        <v>-3.1</v>
      </c>
      <c r="E552">
        <v>1.3</v>
      </c>
    </row>
    <row r="553" spans="1:5" x14ac:dyDescent="0.2">
      <c r="A553">
        <v>546</v>
      </c>
      <c r="B553">
        <v>558</v>
      </c>
      <c r="C553">
        <v>10</v>
      </c>
      <c r="D553">
        <v>-3.4</v>
      </c>
      <c r="E553">
        <v>1.3</v>
      </c>
    </row>
    <row r="554" spans="1:5" x14ac:dyDescent="0.2">
      <c r="A554">
        <v>547</v>
      </c>
      <c r="B554">
        <v>561</v>
      </c>
      <c r="C554">
        <v>10</v>
      </c>
      <c r="D554">
        <v>-3.7</v>
      </c>
      <c r="E554">
        <v>1.3</v>
      </c>
    </row>
    <row r="555" spans="1:5" x14ac:dyDescent="0.2">
      <c r="A555">
        <v>548</v>
      </c>
      <c r="B555">
        <v>564</v>
      </c>
      <c r="C555">
        <v>10</v>
      </c>
      <c r="D555">
        <v>-3.9</v>
      </c>
      <c r="E555">
        <v>1.3</v>
      </c>
    </row>
    <row r="556" spans="1:5" x14ac:dyDescent="0.2">
      <c r="A556">
        <v>549</v>
      </c>
      <c r="B556">
        <v>566</v>
      </c>
      <c r="C556">
        <v>10</v>
      </c>
      <c r="D556">
        <v>-4</v>
      </c>
      <c r="E556">
        <v>1.3</v>
      </c>
    </row>
    <row r="557" spans="1:5" x14ac:dyDescent="0.2">
      <c r="A557">
        <v>550</v>
      </c>
      <c r="B557">
        <v>568</v>
      </c>
      <c r="C557">
        <v>10</v>
      </c>
      <c r="D557">
        <v>-4.0999999999999996</v>
      </c>
      <c r="E557">
        <v>1.3</v>
      </c>
    </row>
    <row r="558" spans="1:5" x14ac:dyDescent="0.2">
      <c r="A558">
        <v>551</v>
      </c>
      <c r="B558">
        <v>570</v>
      </c>
      <c r="C558">
        <v>10</v>
      </c>
      <c r="D558">
        <v>-4.4000000000000004</v>
      </c>
      <c r="E558">
        <v>1.3</v>
      </c>
    </row>
    <row r="559" spans="1:5" x14ac:dyDescent="0.2">
      <c r="A559">
        <v>552</v>
      </c>
      <c r="B559">
        <v>574</v>
      </c>
      <c r="C559">
        <v>10</v>
      </c>
      <c r="D559">
        <v>-4.7</v>
      </c>
      <c r="E559">
        <v>1.3</v>
      </c>
    </row>
    <row r="560" spans="1:5" x14ac:dyDescent="0.2">
      <c r="A560">
        <v>553</v>
      </c>
      <c r="B560">
        <v>578</v>
      </c>
      <c r="C560">
        <v>10</v>
      </c>
      <c r="D560">
        <v>-5.0999999999999996</v>
      </c>
      <c r="E560">
        <v>1.3</v>
      </c>
    </row>
    <row r="561" spans="1:5" x14ac:dyDescent="0.2">
      <c r="A561">
        <v>554</v>
      </c>
      <c r="B561">
        <v>583</v>
      </c>
      <c r="C561">
        <v>10</v>
      </c>
      <c r="D561">
        <v>-5.6</v>
      </c>
      <c r="E561">
        <v>1.3</v>
      </c>
    </row>
    <row r="562" spans="1:5" x14ac:dyDescent="0.2">
      <c r="A562">
        <v>555</v>
      </c>
      <c r="B562">
        <v>589</v>
      </c>
      <c r="C562">
        <v>10</v>
      </c>
      <c r="D562">
        <v>-6.1</v>
      </c>
      <c r="E562">
        <v>1.3</v>
      </c>
    </row>
    <row r="563" spans="1:5" x14ac:dyDescent="0.2">
      <c r="A563">
        <v>556</v>
      </c>
      <c r="B563">
        <v>594</v>
      </c>
      <c r="C563">
        <v>10</v>
      </c>
      <c r="D563">
        <v>-6.7</v>
      </c>
      <c r="E563">
        <v>1.3</v>
      </c>
    </row>
    <row r="564" spans="1:5" x14ac:dyDescent="0.2">
      <c r="A564">
        <v>557</v>
      </c>
      <c r="B564">
        <v>599</v>
      </c>
      <c r="C564">
        <v>10</v>
      </c>
      <c r="D564">
        <v>-7.2</v>
      </c>
      <c r="E564">
        <v>1.3</v>
      </c>
    </row>
    <row r="565" spans="1:5" x14ac:dyDescent="0.2">
      <c r="A565">
        <v>558</v>
      </c>
      <c r="B565">
        <v>605</v>
      </c>
      <c r="C565">
        <v>10</v>
      </c>
      <c r="D565">
        <v>-7.8</v>
      </c>
      <c r="E565">
        <v>1.3</v>
      </c>
    </row>
    <row r="566" spans="1:5" x14ac:dyDescent="0.2">
      <c r="A566">
        <v>559</v>
      </c>
      <c r="B566">
        <v>610</v>
      </c>
      <c r="C566">
        <v>10</v>
      </c>
      <c r="D566">
        <v>-8.3000000000000007</v>
      </c>
      <c r="E566">
        <v>1.3</v>
      </c>
    </row>
    <row r="567" spans="1:5" x14ac:dyDescent="0.2">
      <c r="A567">
        <v>560</v>
      </c>
      <c r="B567">
        <v>615</v>
      </c>
      <c r="C567">
        <v>10</v>
      </c>
      <c r="D567">
        <v>-8.8000000000000007</v>
      </c>
      <c r="E567">
        <v>1.3</v>
      </c>
    </row>
    <row r="568" spans="1:5" x14ac:dyDescent="0.2">
      <c r="A568">
        <v>561</v>
      </c>
      <c r="B568">
        <v>620</v>
      </c>
      <c r="C568">
        <v>10</v>
      </c>
      <c r="D568">
        <v>-9.3000000000000007</v>
      </c>
      <c r="E568">
        <v>1.3</v>
      </c>
    </row>
    <row r="569" spans="1:5" x14ac:dyDescent="0.2">
      <c r="A569">
        <v>562</v>
      </c>
      <c r="B569">
        <v>624</v>
      </c>
      <c r="C569">
        <v>10</v>
      </c>
      <c r="D569">
        <v>-9.6999999999999993</v>
      </c>
      <c r="E569">
        <v>1.3</v>
      </c>
    </row>
    <row r="570" spans="1:5" x14ac:dyDescent="0.2">
      <c r="A570">
        <v>563</v>
      </c>
      <c r="B570">
        <v>628</v>
      </c>
      <c r="C570">
        <v>10</v>
      </c>
      <c r="D570">
        <v>-10</v>
      </c>
      <c r="E570">
        <v>1.3</v>
      </c>
    </row>
    <row r="571" spans="1:5" x14ac:dyDescent="0.2">
      <c r="A571">
        <v>564</v>
      </c>
      <c r="B571">
        <v>631</v>
      </c>
      <c r="C571">
        <v>10</v>
      </c>
      <c r="D571">
        <v>-10.3</v>
      </c>
      <c r="E571">
        <v>1.3</v>
      </c>
    </row>
    <row r="572" spans="1:5" x14ac:dyDescent="0.2">
      <c r="A572">
        <v>565</v>
      </c>
      <c r="B572">
        <v>633</v>
      </c>
      <c r="C572">
        <v>10</v>
      </c>
      <c r="D572">
        <v>-10.4</v>
      </c>
      <c r="E572">
        <v>1.3</v>
      </c>
    </row>
    <row r="573" spans="1:5" x14ac:dyDescent="0.2">
      <c r="A573">
        <v>566</v>
      </c>
      <c r="B573">
        <v>635</v>
      </c>
      <c r="C573">
        <v>10</v>
      </c>
      <c r="D573">
        <v>-10.6</v>
      </c>
      <c r="E573">
        <v>1.3</v>
      </c>
    </row>
    <row r="574" spans="1:5" x14ac:dyDescent="0.2">
      <c r="A574">
        <v>567</v>
      </c>
      <c r="B574">
        <v>637</v>
      </c>
      <c r="C574">
        <v>10</v>
      </c>
      <c r="D574">
        <v>-10.7</v>
      </c>
      <c r="E574">
        <v>1.3</v>
      </c>
    </row>
    <row r="575" spans="1:5" x14ac:dyDescent="0.2">
      <c r="A575">
        <v>568</v>
      </c>
      <c r="B575">
        <v>640</v>
      </c>
      <c r="C575">
        <v>10</v>
      </c>
      <c r="D575">
        <v>-10.9</v>
      </c>
      <c r="E575">
        <v>1.3</v>
      </c>
    </row>
    <row r="576" spans="1:5" x14ac:dyDescent="0.2">
      <c r="A576">
        <v>569</v>
      </c>
      <c r="B576">
        <v>643</v>
      </c>
      <c r="C576">
        <v>10</v>
      </c>
      <c r="D576">
        <v>-11.1</v>
      </c>
      <c r="E576">
        <v>1.3</v>
      </c>
    </row>
    <row r="577" spans="1:5" x14ac:dyDescent="0.2">
      <c r="A577">
        <v>570</v>
      </c>
      <c r="B577">
        <v>646</v>
      </c>
      <c r="C577">
        <v>10</v>
      </c>
      <c r="D577">
        <v>-11.5</v>
      </c>
      <c r="E577">
        <v>1.3</v>
      </c>
    </row>
    <row r="578" spans="1:5" x14ac:dyDescent="0.2">
      <c r="A578">
        <v>571</v>
      </c>
      <c r="B578">
        <v>651</v>
      </c>
      <c r="C578">
        <v>10</v>
      </c>
      <c r="D578">
        <v>-11.9</v>
      </c>
      <c r="E578">
        <v>1.3</v>
      </c>
    </row>
    <row r="579" spans="1:5" x14ac:dyDescent="0.2">
      <c r="A579">
        <v>572</v>
      </c>
      <c r="B579">
        <v>655</v>
      </c>
      <c r="C579">
        <v>10</v>
      </c>
      <c r="D579">
        <v>-12.3</v>
      </c>
      <c r="E579">
        <v>1.3</v>
      </c>
    </row>
    <row r="580" spans="1:5" x14ac:dyDescent="0.2">
      <c r="A580">
        <v>573</v>
      </c>
      <c r="B580">
        <v>659</v>
      </c>
      <c r="C580">
        <v>10</v>
      </c>
      <c r="D580">
        <v>-12.7</v>
      </c>
      <c r="E580">
        <v>1.3</v>
      </c>
    </row>
    <row r="581" spans="1:5" x14ac:dyDescent="0.2">
      <c r="A581">
        <v>574</v>
      </c>
      <c r="B581">
        <v>663</v>
      </c>
      <c r="C581">
        <v>10</v>
      </c>
      <c r="D581">
        <v>-13</v>
      </c>
      <c r="E581">
        <v>1.3</v>
      </c>
    </row>
    <row r="582" spans="1:5" x14ac:dyDescent="0.2">
      <c r="A582">
        <v>575</v>
      </c>
      <c r="B582">
        <v>665</v>
      </c>
      <c r="C582">
        <v>11</v>
      </c>
      <c r="D582">
        <v>-13.1</v>
      </c>
      <c r="E582">
        <v>1.3</v>
      </c>
    </row>
    <row r="583" spans="1:5" x14ac:dyDescent="0.2">
      <c r="A583">
        <v>576</v>
      </c>
      <c r="B583">
        <v>665</v>
      </c>
      <c r="C583">
        <v>11</v>
      </c>
      <c r="D583">
        <v>-13</v>
      </c>
      <c r="E583">
        <v>1.3</v>
      </c>
    </row>
    <row r="584" spans="1:5" x14ac:dyDescent="0.2">
      <c r="A584">
        <v>577</v>
      </c>
      <c r="B584">
        <v>664</v>
      </c>
      <c r="C584">
        <v>11</v>
      </c>
      <c r="D584">
        <v>-12.8</v>
      </c>
      <c r="E584">
        <v>1.3</v>
      </c>
    </row>
    <row r="585" spans="1:5" x14ac:dyDescent="0.2">
      <c r="A585">
        <v>578</v>
      </c>
      <c r="B585">
        <v>662</v>
      </c>
      <c r="C585">
        <v>11</v>
      </c>
      <c r="D585">
        <v>-12.5</v>
      </c>
      <c r="E585">
        <v>1.3</v>
      </c>
    </row>
    <row r="586" spans="1:5" x14ac:dyDescent="0.2">
      <c r="A586">
        <v>579</v>
      </c>
      <c r="B586">
        <v>660</v>
      </c>
      <c r="C586">
        <v>11</v>
      </c>
      <c r="D586">
        <v>-12</v>
      </c>
      <c r="E586">
        <v>1.3</v>
      </c>
    </row>
    <row r="587" spans="1:5" x14ac:dyDescent="0.2">
      <c r="A587">
        <v>580</v>
      </c>
      <c r="B587">
        <v>656</v>
      </c>
      <c r="C587">
        <v>11</v>
      </c>
      <c r="D587">
        <v>-11.5</v>
      </c>
      <c r="E587">
        <v>1.3</v>
      </c>
    </row>
    <row r="588" spans="1:5" x14ac:dyDescent="0.2">
      <c r="A588">
        <v>581</v>
      </c>
      <c r="B588">
        <v>653</v>
      </c>
      <c r="C588">
        <v>11</v>
      </c>
      <c r="D588">
        <v>-10.9</v>
      </c>
      <c r="E588">
        <v>1.3</v>
      </c>
    </row>
    <row r="589" spans="1:5" x14ac:dyDescent="0.2">
      <c r="A589">
        <v>582</v>
      </c>
      <c r="B589">
        <v>649</v>
      </c>
      <c r="C589">
        <v>11</v>
      </c>
      <c r="D589">
        <v>-10.3</v>
      </c>
      <c r="E589">
        <v>1.3</v>
      </c>
    </row>
    <row r="590" spans="1:5" x14ac:dyDescent="0.2">
      <c r="A590">
        <v>583</v>
      </c>
      <c r="B590">
        <v>645</v>
      </c>
      <c r="C590">
        <v>11</v>
      </c>
      <c r="D590">
        <v>-9.8000000000000007</v>
      </c>
      <c r="E590">
        <v>1.3</v>
      </c>
    </row>
    <row r="591" spans="1:5" x14ac:dyDescent="0.2">
      <c r="A591">
        <v>584</v>
      </c>
      <c r="B591">
        <v>642</v>
      </c>
      <c r="C591">
        <v>11</v>
      </c>
      <c r="D591">
        <v>-9.1999999999999993</v>
      </c>
      <c r="E591">
        <v>1.3</v>
      </c>
    </row>
    <row r="592" spans="1:5" x14ac:dyDescent="0.2">
      <c r="A592">
        <v>585</v>
      </c>
      <c r="B592">
        <v>638</v>
      </c>
      <c r="C592">
        <v>11</v>
      </c>
      <c r="D592">
        <v>-8.6</v>
      </c>
      <c r="E592">
        <v>1.3</v>
      </c>
    </row>
    <row r="593" spans="1:5" x14ac:dyDescent="0.2">
      <c r="A593">
        <v>586</v>
      </c>
      <c r="B593">
        <v>635</v>
      </c>
      <c r="C593">
        <v>11</v>
      </c>
      <c r="D593">
        <v>-8.1</v>
      </c>
      <c r="E593">
        <v>1.3</v>
      </c>
    </row>
    <row r="594" spans="1:5" x14ac:dyDescent="0.2">
      <c r="A594">
        <v>587</v>
      </c>
      <c r="B594">
        <v>631</v>
      </c>
      <c r="C594">
        <v>11</v>
      </c>
      <c r="D594">
        <v>-7.6</v>
      </c>
      <c r="E594">
        <v>1.3</v>
      </c>
    </row>
    <row r="595" spans="1:5" x14ac:dyDescent="0.2">
      <c r="A595">
        <v>588</v>
      </c>
      <c r="B595">
        <v>628</v>
      </c>
      <c r="C595">
        <v>11</v>
      </c>
      <c r="D595">
        <v>-7.1</v>
      </c>
      <c r="E595">
        <v>1.3</v>
      </c>
    </row>
    <row r="596" spans="1:5" x14ac:dyDescent="0.2">
      <c r="A596">
        <v>589</v>
      </c>
      <c r="B596">
        <v>626</v>
      </c>
      <c r="C596">
        <v>11</v>
      </c>
      <c r="D596">
        <v>-6.6</v>
      </c>
      <c r="E596">
        <v>1.3</v>
      </c>
    </row>
    <row r="597" spans="1:5" x14ac:dyDescent="0.2">
      <c r="A597">
        <v>590</v>
      </c>
      <c r="B597">
        <v>623</v>
      </c>
      <c r="C597">
        <v>11</v>
      </c>
      <c r="D597">
        <v>-6.1</v>
      </c>
      <c r="E597">
        <v>1.3</v>
      </c>
    </row>
    <row r="598" spans="1:5" x14ac:dyDescent="0.2">
      <c r="A598">
        <v>591</v>
      </c>
      <c r="B598">
        <v>619</v>
      </c>
      <c r="C598">
        <v>11</v>
      </c>
      <c r="D598">
        <v>-5.6</v>
      </c>
      <c r="E598">
        <v>1.3</v>
      </c>
    </row>
    <row r="599" spans="1:5" x14ac:dyDescent="0.2">
      <c r="A599">
        <v>592</v>
      </c>
      <c r="B599">
        <v>616</v>
      </c>
      <c r="C599">
        <v>11</v>
      </c>
      <c r="D599">
        <v>-5</v>
      </c>
      <c r="E599">
        <v>1.3</v>
      </c>
    </row>
    <row r="600" spans="1:5" x14ac:dyDescent="0.2">
      <c r="A600">
        <v>593</v>
      </c>
      <c r="B600">
        <v>612</v>
      </c>
      <c r="C600">
        <v>11</v>
      </c>
      <c r="D600">
        <v>-4.4000000000000004</v>
      </c>
      <c r="E600">
        <v>1.3</v>
      </c>
    </row>
    <row r="601" spans="1:5" x14ac:dyDescent="0.2">
      <c r="A601">
        <v>594</v>
      </c>
      <c r="B601">
        <v>607</v>
      </c>
      <c r="C601">
        <v>10</v>
      </c>
      <c r="D601">
        <v>-3.7</v>
      </c>
      <c r="E601">
        <v>1.3</v>
      </c>
    </row>
    <row r="602" spans="1:5" x14ac:dyDescent="0.2">
      <c r="A602">
        <v>595</v>
      </c>
      <c r="B602">
        <v>603</v>
      </c>
      <c r="C602">
        <v>10</v>
      </c>
      <c r="D602">
        <v>-3</v>
      </c>
      <c r="E602">
        <v>1.3</v>
      </c>
    </row>
    <row r="603" spans="1:5" x14ac:dyDescent="0.2">
      <c r="A603">
        <v>596</v>
      </c>
      <c r="B603">
        <v>599</v>
      </c>
      <c r="C603">
        <v>10</v>
      </c>
      <c r="D603">
        <v>-2.4</v>
      </c>
      <c r="E603">
        <v>1.3</v>
      </c>
    </row>
    <row r="604" spans="1:5" x14ac:dyDescent="0.2">
      <c r="A604">
        <v>597</v>
      </c>
      <c r="B604">
        <v>595</v>
      </c>
      <c r="C604">
        <v>10</v>
      </c>
      <c r="D604">
        <v>-1.8</v>
      </c>
      <c r="E604">
        <v>1.3</v>
      </c>
    </row>
    <row r="605" spans="1:5" x14ac:dyDescent="0.2">
      <c r="A605">
        <v>598</v>
      </c>
      <c r="B605">
        <v>592</v>
      </c>
      <c r="C605">
        <v>10</v>
      </c>
      <c r="D605">
        <v>-1.4</v>
      </c>
      <c r="E605">
        <v>1.3</v>
      </c>
    </row>
    <row r="606" spans="1:5" x14ac:dyDescent="0.2">
      <c r="A606">
        <v>599</v>
      </c>
      <c r="B606">
        <v>591</v>
      </c>
      <c r="C606">
        <v>10</v>
      </c>
      <c r="D606">
        <v>-1.1000000000000001</v>
      </c>
      <c r="E606">
        <v>1.3</v>
      </c>
    </row>
    <row r="607" spans="1:5" x14ac:dyDescent="0.2">
      <c r="A607">
        <v>600</v>
      </c>
      <c r="B607">
        <v>590</v>
      </c>
      <c r="C607">
        <v>10</v>
      </c>
      <c r="D607">
        <v>-0.9</v>
      </c>
      <c r="E607">
        <v>1.3</v>
      </c>
    </row>
    <row r="608" spans="1:5" x14ac:dyDescent="0.2">
      <c r="A608">
        <v>601</v>
      </c>
      <c r="B608">
        <v>590</v>
      </c>
      <c r="C608">
        <v>10</v>
      </c>
      <c r="D608">
        <v>-0.7</v>
      </c>
      <c r="E608">
        <v>1.3</v>
      </c>
    </row>
    <row r="609" spans="1:5" x14ac:dyDescent="0.2">
      <c r="A609">
        <v>602</v>
      </c>
      <c r="B609">
        <v>590</v>
      </c>
      <c r="C609">
        <v>10</v>
      </c>
      <c r="D609">
        <v>-0.6</v>
      </c>
      <c r="E609">
        <v>1.3</v>
      </c>
    </row>
    <row r="610" spans="1:5" x14ac:dyDescent="0.2">
      <c r="A610">
        <v>603</v>
      </c>
      <c r="B610">
        <v>589</v>
      </c>
      <c r="C610">
        <v>10</v>
      </c>
      <c r="D610">
        <v>-0.4</v>
      </c>
      <c r="E610">
        <v>1.3</v>
      </c>
    </row>
    <row r="611" spans="1:5" x14ac:dyDescent="0.2">
      <c r="A611">
        <v>604</v>
      </c>
      <c r="B611">
        <v>589</v>
      </c>
      <c r="C611">
        <v>10</v>
      </c>
      <c r="D611">
        <v>-0.2</v>
      </c>
      <c r="E611">
        <v>1.3</v>
      </c>
    </row>
    <row r="612" spans="1:5" x14ac:dyDescent="0.2">
      <c r="A612">
        <v>605</v>
      </c>
      <c r="B612">
        <v>588</v>
      </c>
      <c r="C612">
        <v>10</v>
      </c>
      <c r="D612">
        <v>0</v>
      </c>
      <c r="E612">
        <v>1.3</v>
      </c>
    </row>
    <row r="613" spans="1:5" x14ac:dyDescent="0.2">
      <c r="A613">
        <v>606</v>
      </c>
      <c r="B613">
        <v>587</v>
      </c>
      <c r="C613">
        <v>10</v>
      </c>
      <c r="D613">
        <v>0.2</v>
      </c>
      <c r="E613">
        <v>1.3</v>
      </c>
    </row>
    <row r="614" spans="1:5" x14ac:dyDescent="0.2">
      <c r="A614">
        <v>607</v>
      </c>
      <c r="B614">
        <v>587</v>
      </c>
      <c r="C614">
        <v>10</v>
      </c>
      <c r="D614">
        <v>0.3</v>
      </c>
      <c r="E614">
        <v>1.2</v>
      </c>
    </row>
    <row r="615" spans="1:5" x14ac:dyDescent="0.2">
      <c r="A615">
        <v>608</v>
      </c>
      <c r="B615">
        <v>587</v>
      </c>
      <c r="C615">
        <v>10</v>
      </c>
      <c r="D615">
        <v>0.5</v>
      </c>
      <c r="E615">
        <v>1.3</v>
      </c>
    </row>
    <row r="616" spans="1:5" x14ac:dyDescent="0.2">
      <c r="A616">
        <v>609</v>
      </c>
      <c r="B616">
        <v>587</v>
      </c>
      <c r="C616">
        <v>10</v>
      </c>
      <c r="D616">
        <v>0.6</v>
      </c>
      <c r="E616">
        <v>1.3</v>
      </c>
    </row>
    <row r="617" spans="1:5" x14ac:dyDescent="0.2">
      <c r="A617">
        <v>610</v>
      </c>
      <c r="B617">
        <v>587</v>
      </c>
      <c r="C617">
        <v>10</v>
      </c>
      <c r="D617">
        <v>0.7</v>
      </c>
      <c r="E617">
        <v>1.3</v>
      </c>
    </row>
    <row r="618" spans="1:5" x14ac:dyDescent="0.2">
      <c r="A618">
        <v>611</v>
      </c>
      <c r="B618">
        <v>587</v>
      </c>
      <c r="C618">
        <v>10</v>
      </c>
      <c r="D618">
        <v>0.8</v>
      </c>
      <c r="E618">
        <v>1.3</v>
      </c>
    </row>
    <row r="619" spans="1:5" x14ac:dyDescent="0.2">
      <c r="A619">
        <v>612</v>
      </c>
      <c r="B619">
        <v>587</v>
      </c>
      <c r="C619">
        <v>10</v>
      </c>
      <c r="D619">
        <v>1</v>
      </c>
      <c r="E619">
        <v>1.3</v>
      </c>
    </row>
    <row r="620" spans="1:5" x14ac:dyDescent="0.2">
      <c r="A620">
        <v>613</v>
      </c>
      <c r="B620">
        <v>586</v>
      </c>
      <c r="C620">
        <v>10</v>
      </c>
      <c r="D620">
        <v>1.2</v>
      </c>
      <c r="E620">
        <v>1.3</v>
      </c>
    </row>
    <row r="621" spans="1:5" x14ac:dyDescent="0.2">
      <c r="A621">
        <v>614</v>
      </c>
      <c r="B621">
        <v>585</v>
      </c>
      <c r="C621">
        <v>10</v>
      </c>
      <c r="D621">
        <v>1.5</v>
      </c>
      <c r="E621">
        <v>1.2</v>
      </c>
    </row>
    <row r="622" spans="1:5" x14ac:dyDescent="0.2">
      <c r="A622">
        <v>615</v>
      </c>
      <c r="B622">
        <v>583</v>
      </c>
      <c r="C622">
        <v>10</v>
      </c>
      <c r="D622">
        <v>1.8</v>
      </c>
      <c r="E622">
        <v>1.2</v>
      </c>
    </row>
    <row r="623" spans="1:5" x14ac:dyDescent="0.2">
      <c r="A623">
        <v>616</v>
      </c>
      <c r="B623">
        <v>582</v>
      </c>
      <c r="C623">
        <v>10</v>
      </c>
      <c r="D623">
        <v>2</v>
      </c>
      <c r="E623">
        <v>1.2</v>
      </c>
    </row>
    <row r="624" spans="1:5" x14ac:dyDescent="0.2">
      <c r="A624">
        <v>617</v>
      </c>
      <c r="B624">
        <v>581</v>
      </c>
      <c r="C624">
        <v>10</v>
      </c>
      <c r="D624">
        <v>2.2999999999999998</v>
      </c>
      <c r="E624">
        <v>1.2</v>
      </c>
    </row>
    <row r="625" spans="1:5" x14ac:dyDescent="0.2">
      <c r="A625">
        <v>618</v>
      </c>
      <c r="B625">
        <v>580</v>
      </c>
      <c r="C625">
        <v>10</v>
      </c>
      <c r="D625">
        <v>2.6</v>
      </c>
      <c r="E625">
        <v>1.2</v>
      </c>
    </row>
    <row r="626" spans="1:5" x14ac:dyDescent="0.2">
      <c r="A626">
        <v>619</v>
      </c>
      <c r="B626">
        <v>580</v>
      </c>
      <c r="C626">
        <v>10</v>
      </c>
      <c r="D626">
        <v>2.7</v>
      </c>
      <c r="E626">
        <v>1.2</v>
      </c>
    </row>
    <row r="627" spans="1:5" x14ac:dyDescent="0.2">
      <c r="A627">
        <v>620</v>
      </c>
      <c r="B627">
        <v>580</v>
      </c>
      <c r="C627">
        <v>10</v>
      </c>
      <c r="D627">
        <v>2.8</v>
      </c>
      <c r="E627">
        <v>1.2</v>
      </c>
    </row>
    <row r="628" spans="1:5" x14ac:dyDescent="0.2">
      <c r="A628">
        <v>621</v>
      </c>
      <c r="B628">
        <v>582</v>
      </c>
      <c r="C628">
        <v>10</v>
      </c>
      <c r="D628">
        <v>2.7</v>
      </c>
      <c r="E628">
        <v>1.2</v>
      </c>
    </row>
    <row r="629" spans="1:5" x14ac:dyDescent="0.2">
      <c r="A629">
        <v>622</v>
      </c>
      <c r="B629">
        <v>584</v>
      </c>
      <c r="C629">
        <v>10</v>
      </c>
      <c r="D629">
        <v>2.5</v>
      </c>
      <c r="E629">
        <v>1.2</v>
      </c>
    </row>
    <row r="630" spans="1:5" x14ac:dyDescent="0.2">
      <c r="A630">
        <v>623</v>
      </c>
      <c r="B630">
        <v>588</v>
      </c>
      <c r="C630">
        <v>10</v>
      </c>
      <c r="D630">
        <v>2.2000000000000002</v>
      </c>
      <c r="E630">
        <v>1.2</v>
      </c>
    </row>
    <row r="631" spans="1:5" x14ac:dyDescent="0.2">
      <c r="A631">
        <v>624</v>
      </c>
      <c r="B631">
        <v>592</v>
      </c>
      <c r="C631">
        <v>10</v>
      </c>
      <c r="D631">
        <v>1.8</v>
      </c>
      <c r="E631">
        <v>1.2</v>
      </c>
    </row>
    <row r="632" spans="1:5" x14ac:dyDescent="0.2">
      <c r="A632">
        <v>625</v>
      </c>
      <c r="B632">
        <v>597</v>
      </c>
      <c r="C632">
        <v>10</v>
      </c>
      <c r="D632">
        <v>1.3</v>
      </c>
      <c r="E632">
        <v>1.2</v>
      </c>
    </row>
    <row r="633" spans="1:5" x14ac:dyDescent="0.2">
      <c r="A633">
        <v>626</v>
      </c>
      <c r="B633">
        <v>601</v>
      </c>
      <c r="C633">
        <v>10</v>
      </c>
      <c r="D633">
        <v>0.8</v>
      </c>
      <c r="E633">
        <v>1.2</v>
      </c>
    </row>
    <row r="634" spans="1:5" x14ac:dyDescent="0.2">
      <c r="A634">
        <v>627</v>
      </c>
      <c r="B634">
        <v>606</v>
      </c>
      <c r="C634">
        <v>10</v>
      </c>
      <c r="D634">
        <v>0.4</v>
      </c>
      <c r="E634">
        <v>1.2</v>
      </c>
    </row>
    <row r="635" spans="1:5" x14ac:dyDescent="0.2">
      <c r="A635">
        <v>628</v>
      </c>
      <c r="B635">
        <v>610</v>
      </c>
      <c r="C635">
        <v>10</v>
      </c>
      <c r="D635">
        <v>0</v>
      </c>
      <c r="E635">
        <v>1.2</v>
      </c>
    </row>
    <row r="636" spans="1:5" x14ac:dyDescent="0.2">
      <c r="A636">
        <v>629</v>
      </c>
      <c r="B636">
        <v>614</v>
      </c>
      <c r="C636">
        <v>10</v>
      </c>
      <c r="D636">
        <v>-0.4</v>
      </c>
      <c r="E636">
        <v>1.2</v>
      </c>
    </row>
    <row r="637" spans="1:5" x14ac:dyDescent="0.2">
      <c r="A637">
        <v>630</v>
      </c>
      <c r="B637">
        <v>618</v>
      </c>
      <c r="C637">
        <v>10</v>
      </c>
      <c r="D637">
        <v>-0.7</v>
      </c>
      <c r="E637">
        <v>1.3</v>
      </c>
    </row>
    <row r="638" spans="1:5" x14ac:dyDescent="0.2">
      <c r="A638">
        <v>631</v>
      </c>
      <c r="B638">
        <v>621</v>
      </c>
      <c r="C638">
        <v>10</v>
      </c>
      <c r="D638">
        <v>-1</v>
      </c>
      <c r="E638">
        <v>1.3</v>
      </c>
    </row>
    <row r="639" spans="1:5" x14ac:dyDescent="0.2">
      <c r="A639">
        <v>632</v>
      </c>
      <c r="B639">
        <v>623</v>
      </c>
      <c r="C639">
        <v>10</v>
      </c>
      <c r="D639">
        <v>-1.1000000000000001</v>
      </c>
      <c r="E639">
        <v>1.3</v>
      </c>
    </row>
    <row r="640" spans="1:5" x14ac:dyDescent="0.2">
      <c r="A640">
        <v>633</v>
      </c>
      <c r="B640">
        <v>625</v>
      </c>
      <c r="C640">
        <v>10</v>
      </c>
      <c r="D640">
        <v>-1.2</v>
      </c>
      <c r="E640">
        <v>1.3</v>
      </c>
    </row>
    <row r="641" spans="1:5" x14ac:dyDescent="0.2">
      <c r="A641">
        <v>634</v>
      </c>
      <c r="B641">
        <v>625</v>
      </c>
      <c r="C641">
        <v>10</v>
      </c>
      <c r="D641">
        <v>-1.1000000000000001</v>
      </c>
      <c r="E641">
        <v>1.3</v>
      </c>
    </row>
    <row r="642" spans="1:5" x14ac:dyDescent="0.2">
      <c r="A642">
        <v>635</v>
      </c>
      <c r="B642">
        <v>625</v>
      </c>
      <c r="C642">
        <v>10</v>
      </c>
      <c r="D642">
        <v>-1</v>
      </c>
      <c r="E642">
        <v>1.3</v>
      </c>
    </row>
    <row r="643" spans="1:5" x14ac:dyDescent="0.2">
      <c r="A643">
        <v>636</v>
      </c>
      <c r="B643">
        <v>625</v>
      </c>
      <c r="C643">
        <v>10</v>
      </c>
      <c r="D643">
        <v>-0.9</v>
      </c>
      <c r="E643">
        <v>1.3</v>
      </c>
    </row>
    <row r="644" spans="1:5" x14ac:dyDescent="0.2">
      <c r="A644">
        <v>637</v>
      </c>
      <c r="B644">
        <v>625</v>
      </c>
      <c r="C644">
        <v>10</v>
      </c>
      <c r="D644">
        <v>-0.8</v>
      </c>
      <c r="E644">
        <v>1.3</v>
      </c>
    </row>
    <row r="645" spans="1:5" x14ac:dyDescent="0.2">
      <c r="A645">
        <v>638</v>
      </c>
      <c r="B645">
        <v>625</v>
      </c>
      <c r="C645">
        <v>11</v>
      </c>
      <c r="D645">
        <v>-0.6</v>
      </c>
      <c r="E645">
        <v>1.3</v>
      </c>
    </row>
    <row r="646" spans="1:5" x14ac:dyDescent="0.2">
      <c r="A646">
        <v>639</v>
      </c>
      <c r="B646">
        <v>625</v>
      </c>
      <c r="C646">
        <v>11</v>
      </c>
      <c r="D646">
        <v>-0.5</v>
      </c>
      <c r="E646">
        <v>1.3</v>
      </c>
    </row>
    <row r="647" spans="1:5" x14ac:dyDescent="0.2">
      <c r="A647">
        <v>640</v>
      </c>
      <c r="B647">
        <v>626</v>
      </c>
      <c r="C647">
        <v>11</v>
      </c>
      <c r="D647">
        <v>-0.5</v>
      </c>
      <c r="E647">
        <v>1.3</v>
      </c>
    </row>
    <row r="648" spans="1:5" x14ac:dyDescent="0.2">
      <c r="A648">
        <v>641</v>
      </c>
      <c r="B648">
        <v>627</v>
      </c>
      <c r="C648">
        <v>11</v>
      </c>
      <c r="D648">
        <v>-0.5</v>
      </c>
      <c r="E648">
        <v>1.3</v>
      </c>
    </row>
    <row r="649" spans="1:5" x14ac:dyDescent="0.2">
      <c r="A649">
        <v>642</v>
      </c>
      <c r="B649">
        <v>628</v>
      </c>
      <c r="C649">
        <v>11</v>
      </c>
      <c r="D649">
        <v>-0.5</v>
      </c>
      <c r="E649">
        <v>1.3</v>
      </c>
    </row>
    <row r="650" spans="1:5" x14ac:dyDescent="0.2">
      <c r="A650">
        <v>643</v>
      </c>
      <c r="B650">
        <v>630</v>
      </c>
      <c r="C650">
        <v>11</v>
      </c>
      <c r="D650">
        <v>-0.7</v>
      </c>
      <c r="E650">
        <v>1.3</v>
      </c>
    </row>
    <row r="651" spans="1:5" x14ac:dyDescent="0.2">
      <c r="A651">
        <v>644</v>
      </c>
      <c r="B651">
        <v>633</v>
      </c>
      <c r="C651">
        <v>11</v>
      </c>
      <c r="D651">
        <v>-0.9</v>
      </c>
      <c r="E651">
        <v>1.3</v>
      </c>
    </row>
    <row r="652" spans="1:5" x14ac:dyDescent="0.2">
      <c r="A652">
        <v>645</v>
      </c>
      <c r="B652">
        <v>637</v>
      </c>
      <c r="C652">
        <v>11</v>
      </c>
      <c r="D652">
        <v>-1.3</v>
      </c>
      <c r="E652">
        <v>1.3</v>
      </c>
    </row>
    <row r="653" spans="1:5" x14ac:dyDescent="0.2">
      <c r="A653">
        <v>646</v>
      </c>
      <c r="B653">
        <v>641</v>
      </c>
      <c r="C653">
        <v>11</v>
      </c>
      <c r="D653">
        <v>-1.7</v>
      </c>
      <c r="E653">
        <v>1.3</v>
      </c>
    </row>
    <row r="654" spans="1:5" x14ac:dyDescent="0.2">
      <c r="A654">
        <v>647</v>
      </c>
      <c r="B654">
        <v>645</v>
      </c>
      <c r="C654">
        <v>11</v>
      </c>
      <c r="D654">
        <v>-2.1</v>
      </c>
      <c r="E654">
        <v>1.3</v>
      </c>
    </row>
    <row r="655" spans="1:5" x14ac:dyDescent="0.2">
      <c r="A655">
        <v>648</v>
      </c>
      <c r="B655">
        <v>650</v>
      </c>
      <c r="C655">
        <v>10</v>
      </c>
      <c r="D655">
        <v>-2.5</v>
      </c>
      <c r="E655">
        <v>1.3</v>
      </c>
    </row>
    <row r="656" spans="1:5" x14ac:dyDescent="0.2">
      <c r="A656">
        <v>649</v>
      </c>
      <c r="B656">
        <v>654</v>
      </c>
      <c r="C656">
        <v>10</v>
      </c>
      <c r="D656">
        <v>-2.9</v>
      </c>
      <c r="E656">
        <v>1.3</v>
      </c>
    </row>
    <row r="657" spans="1:5" x14ac:dyDescent="0.2">
      <c r="A657">
        <v>650</v>
      </c>
      <c r="B657">
        <v>659</v>
      </c>
      <c r="C657">
        <v>11</v>
      </c>
      <c r="D657">
        <v>-3.4</v>
      </c>
      <c r="E657">
        <v>1.3</v>
      </c>
    </row>
    <row r="658" spans="1:5" x14ac:dyDescent="0.2">
      <c r="A658">
        <v>651</v>
      </c>
      <c r="B658">
        <v>663</v>
      </c>
      <c r="C658">
        <v>11</v>
      </c>
      <c r="D658">
        <v>-3.8</v>
      </c>
      <c r="E658">
        <v>1.3</v>
      </c>
    </row>
    <row r="659" spans="1:5" x14ac:dyDescent="0.2">
      <c r="A659">
        <v>652</v>
      </c>
      <c r="B659">
        <v>668</v>
      </c>
      <c r="C659">
        <v>11</v>
      </c>
      <c r="D659">
        <v>-4.2</v>
      </c>
      <c r="E659">
        <v>1.3</v>
      </c>
    </row>
    <row r="660" spans="1:5" x14ac:dyDescent="0.2">
      <c r="A660">
        <v>653</v>
      </c>
      <c r="B660">
        <v>672</v>
      </c>
      <c r="C660">
        <v>11</v>
      </c>
      <c r="D660">
        <v>-4.5999999999999996</v>
      </c>
      <c r="E660">
        <v>1.3</v>
      </c>
    </row>
    <row r="661" spans="1:5" x14ac:dyDescent="0.2">
      <c r="A661">
        <v>654</v>
      </c>
      <c r="B661">
        <v>675</v>
      </c>
      <c r="C661">
        <v>11</v>
      </c>
      <c r="D661">
        <v>-4.9000000000000004</v>
      </c>
      <c r="E661">
        <v>1.3</v>
      </c>
    </row>
    <row r="662" spans="1:5" x14ac:dyDescent="0.2">
      <c r="A662">
        <v>655</v>
      </c>
      <c r="B662">
        <v>678</v>
      </c>
      <c r="C662">
        <v>11</v>
      </c>
      <c r="D662">
        <v>-5.0999999999999996</v>
      </c>
      <c r="E662">
        <v>1.3</v>
      </c>
    </row>
    <row r="663" spans="1:5" x14ac:dyDescent="0.2">
      <c r="A663">
        <v>656</v>
      </c>
      <c r="B663">
        <v>680</v>
      </c>
      <c r="C663">
        <v>11</v>
      </c>
      <c r="D663">
        <v>-5.3</v>
      </c>
      <c r="E663">
        <v>1.3</v>
      </c>
    </row>
    <row r="664" spans="1:5" x14ac:dyDescent="0.2">
      <c r="A664">
        <v>657</v>
      </c>
      <c r="B664">
        <v>681</v>
      </c>
      <c r="C664">
        <v>11</v>
      </c>
      <c r="D664">
        <v>-5.3</v>
      </c>
      <c r="E664">
        <v>1.3</v>
      </c>
    </row>
    <row r="665" spans="1:5" x14ac:dyDescent="0.2">
      <c r="A665">
        <v>658</v>
      </c>
      <c r="B665">
        <v>683</v>
      </c>
      <c r="C665">
        <v>11</v>
      </c>
      <c r="D665">
        <v>-5.4</v>
      </c>
      <c r="E665">
        <v>1.4</v>
      </c>
    </row>
    <row r="666" spans="1:5" x14ac:dyDescent="0.2">
      <c r="A666">
        <v>659</v>
      </c>
      <c r="B666">
        <v>684</v>
      </c>
      <c r="C666">
        <v>11</v>
      </c>
      <c r="D666">
        <v>-5.5</v>
      </c>
      <c r="E666">
        <v>1.4</v>
      </c>
    </row>
    <row r="667" spans="1:5" x14ac:dyDescent="0.2">
      <c r="A667">
        <v>660</v>
      </c>
      <c r="B667">
        <v>686</v>
      </c>
      <c r="C667">
        <v>11</v>
      </c>
      <c r="D667">
        <v>-5.5</v>
      </c>
      <c r="E667">
        <v>1.4</v>
      </c>
    </row>
    <row r="668" spans="1:5" x14ac:dyDescent="0.2">
      <c r="A668">
        <v>661</v>
      </c>
      <c r="B668">
        <v>688</v>
      </c>
      <c r="C668">
        <v>11</v>
      </c>
      <c r="D668">
        <v>-5.6</v>
      </c>
      <c r="E668">
        <v>1.4</v>
      </c>
    </row>
    <row r="669" spans="1:5" x14ac:dyDescent="0.2">
      <c r="A669">
        <v>662</v>
      </c>
      <c r="B669">
        <v>689</v>
      </c>
      <c r="C669">
        <v>11</v>
      </c>
      <c r="D669">
        <v>-5.7</v>
      </c>
      <c r="E669">
        <v>1.4</v>
      </c>
    </row>
    <row r="670" spans="1:5" x14ac:dyDescent="0.2">
      <c r="A670">
        <v>663</v>
      </c>
      <c r="B670">
        <v>692</v>
      </c>
      <c r="C670">
        <v>11</v>
      </c>
      <c r="D670">
        <v>-5.9</v>
      </c>
      <c r="E670">
        <v>1.4</v>
      </c>
    </row>
    <row r="671" spans="1:5" x14ac:dyDescent="0.2">
      <c r="A671">
        <v>664</v>
      </c>
      <c r="B671">
        <v>694</v>
      </c>
      <c r="C671">
        <v>11</v>
      </c>
      <c r="D671">
        <v>-6</v>
      </c>
      <c r="E671">
        <v>1.4</v>
      </c>
    </row>
    <row r="672" spans="1:5" x14ac:dyDescent="0.2">
      <c r="A672">
        <v>665</v>
      </c>
      <c r="B672">
        <v>696</v>
      </c>
      <c r="C672">
        <v>11</v>
      </c>
      <c r="D672">
        <v>-6.2</v>
      </c>
      <c r="E672">
        <v>1.4</v>
      </c>
    </row>
    <row r="673" spans="1:5" x14ac:dyDescent="0.2">
      <c r="A673">
        <v>666</v>
      </c>
      <c r="B673">
        <v>699</v>
      </c>
      <c r="C673">
        <v>11</v>
      </c>
      <c r="D673">
        <v>-6.5</v>
      </c>
      <c r="E673">
        <v>1.4</v>
      </c>
    </row>
    <row r="674" spans="1:5" x14ac:dyDescent="0.2">
      <c r="A674">
        <v>667</v>
      </c>
      <c r="B674">
        <v>703</v>
      </c>
      <c r="C674">
        <v>11</v>
      </c>
      <c r="D674">
        <v>-6.8</v>
      </c>
      <c r="E674">
        <v>1.4</v>
      </c>
    </row>
    <row r="675" spans="1:5" x14ac:dyDescent="0.2">
      <c r="A675">
        <v>668</v>
      </c>
      <c r="B675">
        <v>707</v>
      </c>
      <c r="C675">
        <v>11</v>
      </c>
      <c r="D675">
        <v>-7.2</v>
      </c>
      <c r="E675">
        <v>1.4</v>
      </c>
    </row>
    <row r="676" spans="1:5" x14ac:dyDescent="0.2">
      <c r="A676">
        <v>669</v>
      </c>
      <c r="B676">
        <v>712</v>
      </c>
      <c r="C676">
        <v>11</v>
      </c>
      <c r="D676">
        <v>-7.7</v>
      </c>
      <c r="E676">
        <v>1.4</v>
      </c>
    </row>
    <row r="677" spans="1:5" x14ac:dyDescent="0.2">
      <c r="A677">
        <v>670</v>
      </c>
      <c r="B677">
        <v>718</v>
      </c>
      <c r="C677">
        <v>11</v>
      </c>
      <c r="D677">
        <v>-8.3000000000000007</v>
      </c>
      <c r="E677">
        <v>1.4</v>
      </c>
    </row>
    <row r="678" spans="1:5" x14ac:dyDescent="0.2">
      <c r="A678">
        <v>671</v>
      </c>
      <c r="B678">
        <v>725</v>
      </c>
      <c r="C678">
        <v>11</v>
      </c>
      <c r="D678">
        <v>-9</v>
      </c>
      <c r="E678">
        <v>1.4</v>
      </c>
    </row>
    <row r="679" spans="1:5" x14ac:dyDescent="0.2">
      <c r="A679">
        <v>672</v>
      </c>
      <c r="B679">
        <v>732</v>
      </c>
      <c r="C679">
        <v>11</v>
      </c>
      <c r="D679">
        <v>-9.8000000000000007</v>
      </c>
      <c r="E679">
        <v>1.4</v>
      </c>
    </row>
    <row r="680" spans="1:5" x14ac:dyDescent="0.2">
      <c r="A680">
        <v>673</v>
      </c>
      <c r="B680">
        <v>739</v>
      </c>
      <c r="C680">
        <v>11</v>
      </c>
      <c r="D680">
        <v>-10.5</v>
      </c>
      <c r="E680">
        <v>1.3</v>
      </c>
    </row>
    <row r="681" spans="1:5" x14ac:dyDescent="0.2">
      <c r="A681">
        <v>674</v>
      </c>
      <c r="B681">
        <v>745</v>
      </c>
      <c r="C681">
        <v>11</v>
      </c>
      <c r="D681">
        <v>-11.1</v>
      </c>
      <c r="E681">
        <v>1.3</v>
      </c>
    </row>
    <row r="682" spans="1:5" x14ac:dyDescent="0.2">
      <c r="A682">
        <v>675</v>
      </c>
      <c r="B682">
        <v>750</v>
      </c>
      <c r="C682">
        <v>11</v>
      </c>
      <c r="D682">
        <v>-11.7</v>
      </c>
      <c r="E682">
        <v>1.3</v>
      </c>
    </row>
    <row r="683" spans="1:5" x14ac:dyDescent="0.2">
      <c r="A683">
        <v>676</v>
      </c>
      <c r="B683">
        <v>754</v>
      </c>
      <c r="C683">
        <v>11</v>
      </c>
      <c r="D683">
        <v>-12.1</v>
      </c>
      <c r="E683">
        <v>1.3</v>
      </c>
    </row>
    <row r="684" spans="1:5" x14ac:dyDescent="0.2">
      <c r="A684">
        <v>677</v>
      </c>
      <c r="B684">
        <v>758</v>
      </c>
      <c r="C684">
        <v>11</v>
      </c>
      <c r="D684">
        <v>-12.4</v>
      </c>
      <c r="E684">
        <v>1.3</v>
      </c>
    </row>
    <row r="685" spans="1:5" x14ac:dyDescent="0.2">
      <c r="A685">
        <v>678</v>
      </c>
      <c r="B685">
        <v>761</v>
      </c>
      <c r="C685">
        <v>11</v>
      </c>
      <c r="D685">
        <v>-12.7</v>
      </c>
      <c r="E685">
        <v>1.3</v>
      </c>
    </row>
    <row r="686" spans="1:5" x14ac:dyDescent="0.2">
      <c r="A686">
        <v>679</v>
      </c>
      <c r="B686">
        <v>764</v>
      </c>
      <c r="C686">
        <v>11</v>
      </c>
      <c r="D686">
        <v>-12.9</v>
      </c>
      <c r="E686">
        <v>1.3</v>
      </c>
    </row>
    <row r="687" spans="1:5" x14ac:dyDescent="0.2">
      <c r="A687">
        <v>680</v>
      </c>
      <c r="B687">
        <v>767</v>
      </c>
      <c r="C687">
        <v>11</v>
      </c>
      <c r="D687">
        <v>-13.2</v>
      </c>
      <c r="E687">
        <v>1.3</v>
      </c>
    </row>
    <row r="688" spans="1:5" x14ac:dyDescent="0.2">
      <c r="A688">
        <v>681</v>
      </c>
      <c r="B688">
        <v>771</v>
      </c>
      <c r="C688">
        <v>11</v>
      </c>
      <c r="D688">
        <v>-13.5</v>
      </c>
      <c r="E688">
        <v>1.3</v>
      </c>
    </row>
    <row r="689" spans="1:5" x14ac:dyDescent="0.2">
      <c r="A689">
        <v>682</v>
      </c>
      <c r="B689">
        <v>774</v>
      </c>
      <c r="C689">
        <v>11</v>
      </c>
      <c r="D689">
        <v>-13.8</v>
      </c>
      <c r="E689">
        <v>1.3</v>
      </c>
    </row>
    <row r="690" spans="1:5" x14ac:dyDescent="0.2">
      <c r="A690">
        <v>683</v>
      </c>
      <c r="B690">
        <v>778</v>
      </c>
      <c r="C690">
        <v>11</v>
      </c>
      <c r="D690">
        <v>-14.1</v>
      </c>
      <c r="E690">
        <v>1.3</v>
      </c>
    </row>
    <row r="691" spans="1:5" x14ac:dyDescent="0.2">
      <c r="A691">
        <v>684</v>
      </c>
      <c r="B691">
        <v>781</v>
      </c>
      <c r="C691">
        <v>11</v>
      </c>
      <c r="D691">
        <v>-14.4</v>
      </c>
      <c r="E691">
        <v>1.3</v>
      </c>
    </row>
    <row r="692" spans="1:5" x14ac:dyDescent="0.2">
      <c r="A692">
        <v>685</v>
      </c>
      <c r="B692">
        <v>785</v>
      </c>
      <c r="C692">
        <v>11</v>
      </c>
      <c r="D692">
        <v>-14.7</v>
      </c>
      <c r="E692">
        <v>1.3</v>
      </c>
    </row>
    <row r="693" spans="1:5" x14ac:dyDescent="0.2">
      <c r="A693">
        <v>686</v>
      </c>
      <c r="B693">
        <v>788</v>
      </c>
      <c r="C693">
        <v>11</v>
      </c>
      <c r="D693">
        <v>-15.1</v>
      </c>
      <c r="E693">
        <v>1.3</v>
      </c>
    </row>
    <row r="694" spans="1:5" x14ac:dyDescent="0.2">
      <c r="A694">
        <v>687</v>
      </c>
      <c r="B694">
        <v>792</v>
      </c>
      <c r="C694">
        <v>11</v>
      </c>
      <c r="D694">
        <v>-15.3</v>
      </c>
      <c r="E694">
        <v>1.3</v>
      </c>
    </row>
    <row r="695" spans="1:5" x14ac:dyDescent="0.2">
      <c r="A695">
        <v>688</v>
      </c>
      <c r="B695">
        <v>795</v>
      </c>
      <c r="C695">
        <v>11</v>
      </c>
      <c r="D695">
        <v>-15.6</v>
      </c>
      <c r="E695">
        <v>1.3</v>
      </c>
    </row>
    <row r="696" spans="1:5" x14ac:dyDescent="0.2">
      <c r="A696">
        <v>689</v>
      </c>
      <c r="B696">
        <v>797</v>
      </c>
      <c r="C696">
        <v>11</v>
      </c>
      <c r="D696">
        <v>-15.8</v>
      </c>
      <c r="E696">
        <v>1.3</v>
      </c>
    </row>
    <row r="697" spans="1:5" x14ac:dyDescent="0.2">
      <c r="A697">
        <v>690</v>
      </c>
      <c r="B697">
        <v>800</v>
      </c>
      <c r="C697">
        <v>11</v>
      </c>
      <c r="D697">
        <v>-15.9</v>
      </c>
      <c r="E697">
        <v>1.3</v>
      </c>
    </row>
    <row r="698" spans="1:5" x14ac:dyDescent="0.2">
      <c r="A698">
        <v>691</v>
      </c>
      <c r="B698">
        <v>802</v>
      </c>
      <c r="C698">
        <v>11</v>
      </c>
      <c r="D698">
        <v>-16.100000000000001</v>
      </c>
      <c r="E698">
        <v>1.3</v>
      </c>
    </row>
    <row r="699" spans="1:5" x14ac:dyDescent="0.2">
      <c r="A699">
        <v>692</v>
      </c>
      <c r="B699">
        <v>803</v>
      </c>
      <c r="C699">
        <v>11</v>
      </c>
      <c r="D699">
        <v>-16.100000000000001</v>
      </c>
      <c r="E699">
        <v>1.3</v>
      </c>
    </row>
    <row r="700" spans="1:5" x14ac:dyDescent="0.2">
      <c r="A700">
        <v>693</v>
      </c>
      <c r="B700">
        <v>804</v>
      </c>
      <c r="C700">
        <v>11</v>
      </c>
      <c r="D700">
        <v>-16.100000000000001</v>
      </c>
      <c r="E700">
        <v>1.3</v>
      </c>
    </row>
    <row r="701" spans="1:5" x14ac:dyDescent="0.2">
      <c r="A701">
        <v>694</v>
      </c>
      <c r="B701">
        <v>805</v>
      </c>
      <c r="C701">
        <v>11</v>
      </c>
      <c r="D701">
        <v>-16.100000000000001</v>
      </c>
      <c r="E701">
        <v>1.3</v>
      </c>
    </row>
    <row r="702" spans="1:5" x14ac:dyDescent="0.2">
      <c r="A702">
        <v>695</v>
      </c>
      <c r="B702">
        <v>805</v>
      </c>
      <c r="C702">
        <v>11</v>
      </c>
      <c r="D702">
        <v>-16</v>
      </c>
      <c r="E702">
        <v>1.3</v>
      </c>
    </row>
    <row r="703" spans="1:5" x14ac:dyDescent="0.2">
      <c r="A703">
        <v>696</v>
      </c>
      <c r="B703">
        <v>806</v>
      </c>
      <c r="C703">
        <v>11</v>
      </c>
      <c r="D703">
        <v>-16</v>
      </c>
      <c r="E703">
        <v>1.3</v>
      </c>
    </row>
    <row r="704" spans="1:5" x14ac:dyDescent="0.2">
      <c r="A704">
        <v>697</v>
      </c>
      <c r="B704">
        <v>807</v>
      </c>
      <c r="C704">
        <v>11</v>
      </c>
      <c r="D704">
        <v>-16</v>
      </c>
      <c r="E704">
        <v>1.3</v>
      </c>
    </row>
    <row r="705" spans="1:5" x14ac:dyDescent="0.2">
      <c r="A705">
        <v>698</v>
      </c>
      <c r="B705">
        <v>808</v>
      </c>
      <c r="C705">
        <v>11</v>
      </c>
      <c r="D705">
        <v>-16</v>
      </c>
      <c r="E705">
        <v>1.3</v>
      </c>
    </row>
    <row r="706" spans="1:5" x14ac:dyDescent="0.2">
      <c r="A706">
        <v>699</v>
      </c>
      <c r="B706">
        <v>809</v>
      </c>
      <c r="C706">
        <v>11</v>
      </c>
      <c r="D706">
        <v>-16</v>
      </c>
      <c r="E706">
        <v>1.3</v>
      </c>
    </row>
    <row r="707" spans="1:5" x14ac:dyDescent="0.2">
      <c r="A707">
        <v>700</v>
      </c>
      <c r="B707">
        <v>809</v>
      </c>
      <c r="C707">
        <v>11</v>
      </c>
      <c r="D707">
        <v>-15.9</v>
      </c>
      <c r="E707">
        <v>1.3</v>
      </c>
    </row>
    <row r="708" spans="1:5" x14ac:dyDescent="0.2">
      <c r="A708">
        <v>701</v>
      </c>
      <c r="B708">
        <v>808</v>
      </c>
      <c r="C708">
        <v>11</v>
      </c>
      <c r="D708">
        <v>-15.7</v>
      </c>
      <c r="E708">
        <v>1.3</v>
      </c>
    </row>
    <row r="709" spans="1:5" x14ac:dyDescent="0.2">
      <c r="A709">
        <v>702</v>
      </c>
      <c r="B709">
        <v>808</v>
      </c>
      <c r="C709">
        <v>11</v>
      </c>
      <c r="D709">
        <v>-15.5</v>
      </c>
      <c r="E709">
        <v>1.3</v>
      </c>
    </row>
    <row r="710" spans="1:5" x14ac:dyDescent="0.2">
      <c r="A710">
        <v>703</v>
      </c>
      <c r="B710">
        <v>807</v>
      </c>
      <c r="C710">
        <v>11</v>
      </c>
      <c r="D710">
        <v>-15.3</v>
      </c>
      <c r="E710">
        <v>1.3</v>
      </c>
    </row>
    <row r="711" spans="1:5" x14ac:dyDescent="0.2">
      <c r="A711">
        <v>704</v>
      </c>
      <c r="B711">
        <v>806</v>
      </c>
      <c r="C711">
        <v>11</v>
      </c>
      <c r="D711">
        <v>-15</v>
      </c>
      <c r="E711">
        <v>1.3</v>
      </c>
    </row>
    <row r="712" spans="1:5" x14ac:dyDescent="0.2">
      <c r="A712">
        <v>705</v>
      </c>
      <c r="B712">
        <v>805</v>
      </c>
      <c r="C712">
        <v>11</v>
      </c>
      <c r="D712">
        <v>-14.8</v>
      </c>
      <c r="E712">
        <v>1.3</v>
      </c>
    </row>
    <row r="713" spans="1:5" x14ac:dyDescent="0.2">
      <c r="A713">
        <v>706</v>
      </c>
      <c r="B713">
        <v>804</v>
      </c>
      <c r="C713">
        <v>11</v>
      </c>
      <c r="D713">
        <v>-14.6</v>
      </c>
      <c r="E713">
        <v>1.3</v>
      </c>
    </row>
    <row r="714" spans="1:5" x14ac:dyDescent="0.2">
      <c r="A714">
        <v>707</v>
      </c>
      <c r="B714">
        <v>803</v>
      </c>
      <c r="C714">
        <v>11</v>
      </c>
      <c r="D714">
        <v>-14.3</v>
      </c>
      <c r="E714">
        <v>1.3</v>
      </c>
    </row>
    <row r="715" spans="1:5" x14ac:dyDescent="0.2">
      <c r="A715">
        <v>708</v>
      </c>
      <c r="B715">
        <v>802</v>
      </c>
      <c r="C715">
        <v>11</v>
      </c>
      <c r="D715">
        <v>-14.1</v>
      </c>
      <c r="E715">
        <v>1.3</v>
      </c>
    </row>
    <row r="716" spans="1:5" x14ac:dyDescent="0.2">
      <c r="A716">
        <v>709</v>
      </c>
      <c r="B716">
        <v>801</v>
      </c>
      <c r="C716">
        <v>11</v>
      </c>
      <c r="D716">
        <v>-13.9</v>
      </c>
      <c r="E716">
        <v>1.3</v>
      </c>
    </row>
    <row r="717" spans="1:5" x14ac:dyDescent="0.2">
      <c r="A717">
        <v>710</v>
      </c>
      <c r="B717">
        <v>800</v>
      </c>
      <c r="C717">
        <v>11</v>
      </c>
      <c r="D717">
        <v>-13.6</v>
      </c>
      <c r="E717">
        <v>1.3</v>
      </c>
    </row>
    <row r="718" spans="1:5" x14ac:dyDescent="0.2">
      <c r="A718">
        <v>711</v>
      </c>
      <c r="B718">
        <v>799</v>
      </c>
      <c r="C718">
        <v>11</v>
      </c>
      <c r="D718">
        <v>-13.3</v>
      </c>
      <c r="E718">
        <v>1.3</v>
      </c>
    </row>
    <row r="719" spans="1:5" x14ac:dyDescent="0.2">
      <c r="A719">
        <v>712</v>
      </c>
      <c r="B719">
        <v>798</v>
      </c>
      <c r="C719">
        <v>11</v>
      </c>
      <c r="D719">
        <v>-13.1</v>
      </c>
      <c r="E719">
        <v>1.3</v>
      </c>
    </row>
    <row r="720" spans="1:5" x14ac:dyDescent="0.2">
      <c r="A720">
        <v>713</v>
      </c>
      <c r="B720">
        <v>797</v>
      </c>
      <c r="C720">
        <v>11</v>
      </c>
      <c r="D720">
        <v>-12.9</v>
      </c>
      <c r="E720">
        <v>1.3</v>
      </c>
    </row>
    <row r="721" spans="1:5" x14ac:dyDescent="0.2">
      <c r="A721">
        <v>714</v>
      </c>
      <c r="B721">
        <v>797</v>
      </c>
      <c r="C721">
        <v>11</v>
      </c>
      <c r="D721">
        <v>-12.7</v>
      </c>
      <c r="E721">
        <v>1.3</v>
      </c>
    </row>
    <row r="722" spans="1:5" x14ac:dyDescent="0.2">
      <c r="A722">
        <v>715</v>
      </c>
      <c r="B722">
        <v>797</v>
      </c>
      <c r="C722">
        <v>11</v>
      </c>
      <c r="D722">
        <v>-12.6</v>
      </c>
      <c r="E722">
        <v>1.3</v>
      </c>
    </row>
    <row r="723" spans="1:5" x14ac:dyDescent="0.2">
      <c r="A723">
        <v>716</v>
      </c>
      <c r="B723">
        <v>797</v>
      </c>
      <c r="C723">
        <v>11</v>
      </c>
      <c r="D723">
        <v>-12.6</v>
      </c>
      <c r="E723">
        <v>1.3</v>
      </c>
    </row>
    <row r="724" spans="1:5" x14ac:dyDescent="0.2">
      <c r="A724">
        <v>717</v>
      </c>
      <c r="B724">
        <v>799</v>
      </c>
      <c r="C724">
        <v>11</v>
      </c>
      <c r="D724">
        <v>-12.6</v>
      </c>
      <c r="E724">
        <v>1.3</v>
      </c>
    </row>
    <row r="725" spans="1:5" x14ac:dyDescent="0.2">
      <c r="A725">
        <v>718</v>
      </c>
      <c r="B725">
        <v>800</v>
      </c>
      <c r="C725">
        <v>11</v>
      </c>
      <c r="D725">
        <v>-12.7</v>
      </c>
      <c r="E725">
        <v>1.3</v>
      </c>
    </row>
    <row r="726" spans="1:5" x14ac:dyDescent="0.2">
      <c r="A726">
        <v>719</v>
      </c>
      <c r="B726">
        <v>802</v>
      </c>
      <c r="C726">
        <v>11</v>
      </c>
      <c r="D726">
        <v>-12.7</v>
      </c>
      <c r="E726">
        <v>1.3</v>
      </c>
    </row>
    <row r="727" spans="1:5" x14ac:dyDescent="0.2">
      <c r="A727">
        <v>720</v>
      </c>
      <c r="B727">
        <v>803</v>
      </c>
      <c r="C727">
        <v>11</v>
      </c>
      <c r="D727">
        <v>-12.8</v>
      </c>
      <c r="E727">
        <v>1.3</v>
      </c>
    </row>
    <row r="728" spans="1:5" x14ac:dyDescent="0.2">
      <c r="A728">
        <v>721</v>
      </c>
      <c r="B728">
        <v>805</v>
      </c>
      <c r="C728">
        <v>11</v>
      </c>
      <c r="D728">
        <v>-12.9</v>
      </c>
      <c r="E728">
        <v>1.3</v>
      </c>
    </row>
    <row r="729" spans="1:5" x14ac:dyDescent="0.2">
      <c r="A729">
        <v>722</v>
      </c>
      <c r="B729">
        <v>806</v>
      </c>
      <c r="C729">
        <v>11</v>
      </c>
      <c r="D729">
        <v>-12.9</v>
      </c>
      <c r="E729">
        <v>1.3</v>
      </c>
    </row>
    <row r="730" spans="1:5" x14ac:dyDescent="0.2">
      <c r="A730">
        <v>723</v>
      </c>
      <c r="B730">
        <v>808</v>
      </c>
      <c r="C730">
        <v>11</v>
      </c>
      <c r="D730">
        <v>-13</v>
      </c>
      <c r="E730">
        <v>1.3</v>
      </c>
    </row>
    <row r="731" spans="1:5" x14ac:dyDescent="0.2">
      <c r="A731">
        <v>724</v>
      </c>
      <c r="B731">
        <v>809</v>
      </c>
      <c r="C731">
        <v>11</v>
      </c>
      <c r="D731">
        <v>-13.1</v>
      </c>
      <c r="E731">
        <v>1.3</v>
      </c>
    </row>
    <row r="732" spans="1:5" x14ac:dyDescent="0.2">
      <c r="A732">
        <v>725</v>
      </c>
      <c r="B732">
        <v>812</v>
      </c>
      <c r="C732">
        <v>10</v>
      </c>
      <c r="D732">
        <v>-13.3</v>
      </c>
      <c r="E732">
        <v>1.3</v>
      </c>
    </row>
    <row r="733" spans="1:5" x14ac:dyDescent="0.2">
      <c r="A733">
        <v>726</v>
      </c>
      <c r="B733">
        <v>815</v>
      </c>
      <c r="C733">
        <v>10</v>
      </c>
      <c r="D733">
        <v>-13.5</v>
      </c>
      <c r="E733">
        <v>1.3</v>
      </c>
    </row>
    <row r="734" spans="1:5" x14ac:dyDescent="0.2">
      <c r="A734">
        <v>727</v>
      </c>
      <c r="B734">
        <v>819</v>
      </c>
      <c r="C734">
        <v>10</v>
      </c>
      <c r="D734">
        <v>-13.9</v>
      </c>
      <c r="E734">
        <v>1.3</v>
      </c>
    </row>
    <row r="735" spans="1:5" x14ac:dyDescent="0.2">
      <c r="A735">
        <v>728</v>
      </c>
      <c r="B735">
        <v>824</v>
      </c>
      <c r="C735">
        <v>10</v>
      </c>
      <c r="D735">
        <v>-14.4</v>
      </c>
      <c r="E735">
        <v>1.3</v>
      </c>
    </row>
    <row r="736" spans="1:5" x14ac:dyDescent="0.2">
      <c r="A736">
        <v>729</v>
      </c>
      <c r="B736">
        <v>829</v>
      </c>
      <c r="C736">
        <v>10</v>
      </c>
      <c r="D736">
        <v>-14.9</v>
      </c>
      <c r="E736">
        <v>1.3</v>
      </c>
    </row>
    <row r="737" spans="1:5" x14ac:dyDescent="0.2">
      <c r="A737">
        <v>730</v>
      </c>
      <c r="B737">
        <v>835</v>
      </c>
      <c r="C737">
        <v>11</v>
      </c>
      <c r="D737">
        <v>-15.6</v>
      </c>
      <c r="E737">
        <v>1.3</v>
      </c>
    </row>
    <row r="738" spans="1:5" x14ac:dyDescent="0.2">
      <c r="A738">
        <v>731</v>
      </c>
      <c r="B738">
        <v>842</v>
      </c>
      <c r="C738">
        <v>10</v>
      </c>
      <c r="D738">
        <v>-16.2</v>
      </c>
      <c r="E738">
        <v>1.3</v>
      </c>
    </row>
    <row r="739" spans="1:5" x14ac:dyDescent="0.2">
      <c r="A739">
        <v>732</v>
      </c>
      <c r="B739">
        <v>848</v>
      </c>
      <c r="C739">
        <v>11</v>
      </c>
      <c r="D739">
        <v>-16.8</v>
      </c>
      <c r="E739">
        <v>1.3</v>
      </c>
    </row>
    <row r="740" spans="1:5" x14ac:dyDescent="0.2">
      <c r="A740">
        <v>733</v>
      </c>
      <c r="B740">
        <v>853</v>
      </c>
      <c r="C740">
        <v>10</v>
      </c>
      <c r="D740">
        <v>-17.3</v>
      </c>
      <c r="E740">
        <v>1.3</v>
      </c>
    </row>
    <row r="741" spans="1:5" x14ac:dyDescent="0.2">
      <c r="A741">
        <v>734</v>
      </c>
      <c r="B741">
        <v>857</v>
      </c>
      <c r="C741">
        <v>10</v>
      </c>
      <c r="D741">
        <v>-17.7</v>
      </c>
      <c r="E741">
        <v>1.3</v>
      </c>
    </row>
    <row r="742" spans="1:5" x14ac:dyDescent="0.2">
      <c r="A742">
        <v>735</v>
      </c>
      <c r="B742">
        <v>860</v>
      </c>
      <c r="C742">
        <v>10</v>
      </c>
      <c r="D742">
        <v>-18</v>
      </c>
      <c r="E742">
        <v>1.3</v>
      </c>
    </row>
    <row r="743" spans="1:5" x14ac:dyDescent="0.2">
      <c r="A743">
        <v>736</v>
      </c>
      <c r="B743">
        <v>862</v>
      </c>
      <c r="C743">
        <v>10</v>
      </c>
      <c r="D743">
        <v>-18.100000000000001</v>
      </c>
      <c r="E743">
        <v>1.3</v>
      </c>
    </row>
    <row r="744" spans="1:5" x14ac:dyDescent="0.2">
      <c r="A744">
        <v>737</v>
      </c>
      <c r="B744">
        <v>864</v>
      </c>
      <c r="C744">
        <v>10</v>
      </c>
      <c r="D744">
        <v>-18.2</v>
      </c>
      <c r="E744">
        <v>1.3</v>
      </c>
    </row>
    <row r="745" spans="1:5" x14ac:dyDescent="0.2">
      <c r="A745">
        <v>738</v>
      </c>
      <c r="B745">
        <v>866</v>
      </c>
      <c r="C745">
        <v>10</v>
      </c>
      <c r="D745">
        <v>-18.3</v>
      </c>
      <c r="E745">
        <v>1.3</v>
      </c>
    </row>
    <row r="746" spans="1:5" x14ac:dyDescent="0.2">
      <c r="A746">
        <v>739</v>
      </c>
      <c r="B746">
        <v>867</v>
      </c>
      <c r="C746">
        <v>10</v>
      </c>
      <c r="D746">
        <v>-18.399999999999999</v>
      </c>
      <c r="E746">
        <v>1.3</v>
      </c>
    </row>
    <row r="747" spans="1:5" x14ac:dyDescent="0.2">
      <c r="A747">
        <v>740</v>
      </c>
      <c r="B747">
        <v>868</v>
      </c>
      <c r="C747">
        <v>11</v>
      </c>
      <c r="D747">
        <v>-18.399999999999999</v>
      </c>
      <c r="E747">
        <v>1.3</v>
      </c>
    </row>
    <row r="748" spans="1:5" x14ac:dyDescent="0.2">
      <c r="A748">
        <v>741</v>
      </c>
      <c r="B748">
        <v>869</v>
      </c>
      <c r="C748">
        <v>11</v>
      </c>
      <c r="D748">
        <v>-18.399999999999999</v>
      </c>
      <c r="E748">
        <v>1.3</v>
      </c>
    </row>
    <row r="749" spans="1:5" x14ac:dyDescent="0.2">
      <c r="A749">
        <v>742</v>
      </c>
      <c r="B749">
        <v>870</v>
      </c>
      <c r="C749">
        <v>11</v>
      </c>
      <c r="D749">
        <v>-18.399999999999999</v>
      </c>
      <c r="E749">
        <v>1.3</v>
      </c>
    </row>
    <row r="750" spans="1:5" x14ac:dyDescent="0.2">
      <c r="A750">
        <v>743</v>
      </c>
      <c r="B750">
        <v>871</v>
      </c>
      <c r="C750">
        <v>11</v>
      </c>
      <c r="D750">
        <v>-18.3</v>
      </c>
      <c r="E750">
        <v>1.3</v>
      </c>
    </row>
    <row r="751" spans="1:5" x14ac:dyDescent="0.2">
      <c r="A751">
        <v>744</v>
      </c>
      <c r="B751">
        <v>871</v>
      </c>
      <c r="C751">
        <v>11</v>
      </c>
      <c r="D751">
        <v>-18.2</v>
      </c>
      <c r="E751">
        <v>1.3</v>
      </c>
    </row>
    <row r="752" spans="1:5" x14ac:dyDescent="0.2">
      <c r="A752">
        <v>745</v>
      </c>
      <c r="B752">
        <v>871</v>
      </c>
      <c r="C752">
        <v>11</v>
      </c>
      <c r="D752">
        <v>-18.100000000000001</v>
      </c>
      <c r="E752">
        <v>1.3</v>
      </c>
    </row>
    <row r="753" spans="1:5" x14ac:dyDescent="0.2">
      <c r="A753">
        <v>746</v>
      </c>
      <c r="B753">
        <v>871</v>
      </c>
      <c r="C753">
        <v>11</v>
      </c>
      <c r="D753">
        <v>-18</v>
      </c>
      <c r="E753">
        <v>1.3</v>
      </c>
    </row>
    <row r="754" spans="1:5" x14ac:dyDescent="0.2">
      <c r="A754">
        <v>747</v>
      </c>
      <c r="B754">
        <v>872</v>
      </c>
      <c r="C754">
        <v>11</v>
      </c>
      <c r="D754">
        <v>-18.100000000000001</v>
      </c>
      <c r="E754">
        <v>1.3</v>
      </c>
    </row>
    <row r="755" spans="1:5" x14ac:dyDescent="0.2">
      <c r="A755">
        <v>748</v>
      </c>
      <c r="B755">
        <v>874</v>
      </c>
      <c r="C755">
        <v>11</v>
      </c>
      <c r="D755">
        <v>-18.100000000000001</v>
      </c>
      <c r="E755">
        <v>1.3</v>
      </c>
    </row>
    <row r="756" spans="1:5" x14ac:dyDescent="0.2">
      <c r="A756">
        <v>749</v>
      </c>
      <c r="B756">
        <v>876</v>
      </c>
      <c r="C756">
        <v>11</v>
      </c>
      <c r="D756">
        <v>-18.3</v>
      </c>
      <c r="E756">
        <v>1.3</v>
      </c>
    </row>
    <row r="757" spans="1:5" x14ac:dyDescent="0.2">
      <c r="A757">
        <v>750</v>
      </c>
      <c r="B757">
        <v>879</v>
      </c>
      <c r="C757">
        <v>11</v>
      </c>
      <c r="D757">
        <v>-18.5</v>
      </c>
      <c r="E757">
        <v>1.3</v>
      </c>
    </row>
    <row r="758" spans="1:5" x14ac:dyDescent="0.2">
      <c r="A758">
        <v>751</v>
      </c>
      <c r="B758">
        <v>881</v>
      </c>
      <c r="C758">
        <v>11</v>
      </c>
      <c r="D758">
        <v>-18.600000000000001</v>
      </c>
      <c r="E758">
        <v>1.3</v>
      </c>
    </row>
    <row r="759" spans="1:5" x14ac:dyDescent="0.2">
      <c r="A759">
        <v>752</v>
      </c>
      <c r="B759">
        <v>882</v>
      </c>
      <c r="C759">
        <v>11</v>
      </c>
      <c r="D759">
        <v>-18.7</v>
      </c>
      <c r="E759">
        <v>1.3</v>
      </c>
    </row>
    <row r="760" spans="1:5" x14ac:dyDescent="0.2">
      <c r="A760">
        <v>753</v>
      </c>
      <c r="B760">
        <v>883</v>
      </c>
      <c r="C760">
        <v>11</v>
      </c>
      <c r="D760">
        <v>-18.7</v>
      </c>
      <c r="E760">
        <v>1.3</v>
      </c>
    </row>
    <row r="761" spans="1:5" x14ac:dyDescent="0.2">
      <c r="A761">
        <v>754</v>
      </c>
      <c r="B761">
        <v>882</v>
      </c>
      <c r="C761">
        <v>11</v>
      </c>
      <c r="D761">
        <v>-18.5</v>
      </c>
      <c r="E761">
        <v>1.3</v>
      </c>
    </row>
    <row r="762" spans="1:5" x14ac:dyDescent="0.2">
      <c r="A762">
        <v>755</v>
      </c>
      <c r="B762">
        <v>881</v>
      </c>
      <c r="C762">
        <v>11</v>
      </c>
      <c r="D762">
        <v>-18.2</v>
      </c>
      <c r="E762">
        <v>1.3</v>
      </c>
    </row>
    <row r="763" spans="1:5" x14ac:dyDescent="0.2">
      <c r="A763">
        <v>756</v>
      </c>
      <c r="B763">
        <v>879</v>
      </c>
      <c r="C763">
        <v>11</v>
      </c>
      <c r="D763">
        <v>-17.8</v>
      </c>
      <c r="E763">
        <v>1.3</v>
      </c>
    </row>
    <row r="764" spans="1:5" x14ac:dyDescent="0.2">
      <c r="A764">
        <v>757</v>
      </c>
      <c r="B764">
        <v>876</v>
      </c>
      <c r="C764">
        <v>11</v>
      </c>
      <c r="D764">
        <v>-17.3</v>
      </c>
      <c r="E764">
        <v>1.3</v>
      </c>
    </row>
    <row r="765" spans="1:5" x14ac:dyDescent="0.2">
      <c r="A765">
        <v>758</v>
      </c>
      <c r="B765">
        <v>874</v>
      </c>
      <c r="C765">
        <v>11</v>
      </c>
      <c r="D765">
        <v>-16.899999999999999</v>
      </c>
      <c r="E765">
        <v>1.3</v>
      </c>
    </row>
    <row r="766" spans="1:5" x14ac:dyDescent="0.2">
      <c r="A766">
        <v>759</v>
      </c>
      <c r="B766">
        <v>872</v>
      </c>
      <c r="C766">
        <v>11</v>
      </c>
      <c r="D766">
        <v>-16.5</v>
      </c>
      <c r="E766">
        <v>1.3</v>
      </c>
    </row>
    <row r="767" spans="1:5" x14ac:dyDescent="0.2">
      <c r="A767">
        <v>760</v>
      </c>
      <c r="B767">
        <v>870</v>
      </c>
      <c r="C767">
        <v>11</v>
      </c>
      <c r="D767">
        <v>-16.2</v>
      </c>
      <c r="E767">
        <v>1.3</v>
      </c>
    </row>
    <row r="768" spans="1:5" x14ac:dyDescent="0.2">
      <c r="A768">
        <v>761</v>
      </c>
      <c r="B768">
        <v>869</v>
      </c>
      <c r="C768">
        <v>11</v>
      </c>
      <c r="D768">
        <v>-16</v>
      </c>
      <c r="E768">
        <v>1.3</v>
      </c>
    </row>
    <row r="769" spans="1:5" x14ac:dyDescent="0.2">
      <c r="A769">
        <v>762</v>
      </c>
      <c r="B769">
        <v>868</v>
      </c>
      <c r="C769">
        <v>11</v>
      </c>
      <c r="D769">
        <v>-15.7</v>
      </c>
      <c r="E769">
        <v>1.3</v>
      </c>
    </row>
    <row r="770" spans="1:5" x14ac:dyDescent="0.2">
      <c r="A770">
        <v>763</v>
      </c>
      <c r="B770">
        <v>867</v>
      </c>
      <c r="C770">
        <v>11</v>
      </c>
      <c r="D770">
        <v>-15.5</v>
      </c>
      <c r="E770">
        <v>1.3</v>
      </c>
    </row>
    <row r="771" spans="1:5" x14ac:dyDescent="0.2">
      <c r="A771">
        <v>764</v>
      </c>
      <c r="B771">
        <v>865</v>
      </c>
      <c r="C771">
        <v>11</v>
      </c>
      <c r="D771">
        <v>-15.2</v>
      </c>
      <c r="E771">
        <v>1.3</v>
      </c>
    </row>
    <row r="772" spans="1:5" x14ac:dyDescent="0.2">
      <c r="A772">
        <v>765</v>
      </c>
      <c r="B772">
        <v>864</v>
      </c>
      <c r="C772">
        <v>11</v>
      </c>
      <c r="D772">
        <v>-14.9</v>
      </c>
      <c r="E772">
        <v>1.3</v>
      </c>
    </row>
    <row r="773" spans="1:5" x14ac:dyDescent="0.2">
      <c r="A773">
        <v>766</v>
      </c>
      <c r="B773">
        <v>863</v>
      </c>
      <c r="C773">
        <v>11</v>
      </c>
      <c r="D773">
        <v>-14.7</v>
      </c>
      <c r="E773">
        <v>1.3</v>
      </c>
    </row>
    <row r="774" spans="1:5" x14ac:dyDescent="0.2">
      <c r="A774">
        <v>767</v>
      </c>
      <c r="B774">
        <v>863</v>
      </c>
      <c r="C774">
        <v>11</v>
      </c>
      <c r="D774">
        <v>-14.6</v>
      </c>
      <c r="E774">
        <v>1.3</v>
      </c>
    </row>
    <row r="775" spans="1:5" x14ac:dyDescent="0.2">
      <c r="A775">
        <v>768</v>
      </c>
      <c r="B775">
        <v>864</v>
      </c>
      <c r="C775">
        <v>11</v>
      </c>
      <c r="D775">
        <v>-14.5</v>
      </c>
      <c r="E775">
        <v>1.3</v>
      </c>
    </row>
    <row r="776" spans="1:5" x14ac:dyDescent="0.2">
      <c r="A776">
        <v>769</v>
      </c>
      <c r="B776">
        <v>866</v>
      </c>
      <c r="C776">
        <v>11</v>
      </c>
      <c r="D776">
        <v>-14.6</v>
      </c>
      <c r="E776">
        <v>1.3</v>
      </c>
    </row>
    <row r="777" spans="1:5" x14ac:dyDescent="0.2">
      <c r="A777">
        <v>770</v>
      </c>
      <c r="B777">
        <v>868</v>
      </c>
      <c r="C777">
        <v>11</v>
      </c>
      <c r="D777">
        <v>-14.8</v>
      </c>
      <c r="E777">
        <v>1.3</v>
      </c>
    </row>
    <row r="778" spans="1:5" x14ac:dyDescent="0.2">
      <c r="A778">
        <v>771</v>
      </c>
      <c r="B778">
        <v>871</v>
      </c>
      <c r="C778">
        <v>11</v>
      </c>
      <c r="D778">
        <v>-15</v>
      </c>
      <c r="E778">
        <v>1.3</v>
      </c>
    </row>
    <row r="779" spans="1:5" x14ac:dyDescent="0.2">
      <c r="A779">
        <v>772</v>
      </c>
      <c r="B779">
        <v>874</v>
      </c>
      <c r="C779">
        <v>11</v>
      </c>
      <c r="D779">
        <v>-15.3</v>
      </c>
      <c r="E779">
        <v>1.3</v>
      </c>
    </row>
    <row r="780" spans="1:5" x14ac:dyDescent="0.2">
      <c r="A780">
        <v>773</v>
      </c>
      <c r="B780">
        <v>877</v>
      </c>
      <c r="C780">
        <v>11</v>
      </c>
      <c r="D780">
        <v>-15.5</v>
      </c>
      <c r="E780">
        <v>1.3</v>
      </c>
    </row>
    <row r="781" spans="1:5" x14ac:dyDescent="0.2">
      <c r="A781">
        <v>774</v>
      </c>
      <c r="B781">
        <v>879</v>
      </c>
      <c r="C781">
        <v>11</v>
      </c>
      <c r="D781">
        <v>-15.7</v>
      </c>
      <c r="E781">
        <v>1.3</v>
      </c>
    </row>
    <row r="782" spans="1:5" x14ac:dyDescent="0.2">
      <c r="A782">
        <v>775</v>
      </c>
      <c r="B782">
        <v>881</v>
      </c>
      <c r="C782">
        <v>11</v>
      </c>
      <c r="D782">
        <v>-15.8</v>
      </c>
      <c r="E782">
        <v>1.3</v>
      </c>
    </row>
    <row r="783" spans="1:5" x14ac:dyDescent="0.2">
      <c r="A783">
        <v>776</v>
      </c>
      <c r="B783">
        <v>883</v>
      </c>
      <c r="C783">
        <v>11</v>
      </c>
      <c r="D783">
        <v>-15.9</v>
      </c>
      <c r="E783">
        <v>1.3</v>
      </c>
    </row>
    <row r="784" spans="1:5" x14ac:dyDescent="0.2">
      <c r="A784">
        <v>777</v>
      </c>
      <c r="B784">
        <v>883</v>
      </c>
      <c r="C784">
        <v>11</v>
      </c>
      <c r="D784">
        <v>-15.8</v>
      </c>
      <c r="E784">
        <v>1.3</v>
      </c>
    </row>
    <row r="785" spans="1:5" x14ac:dyDescent="0.2">
      <c r="A785">
        <v>778</v>
      </c>
      <c r="B785">
        <v>883</v>
      </c>
      <c r="C785">
        <v>11</v>
      </c>
      <c r="D785">
        <v>-15.7</v>
      </c>
      <c r="E785">
        <v>1.3</v>
      </c>
    </row>
    <row r="786" spans="1:5" x14ac:dyDescent="0.2">
      <c r="A786">
        <v>779</v>
      </c>
      <c r="B786">
        <v>883</v>
      </c>
      <c r="C786">
        <v>11</v>
      </c>
      <c r="D786">
        <v>-15.6</v>
      </c>
      <c r="E786">
        <v>1.3</v>
      </c>
    </row>
    <row r="787" spans="1:5" x14ac:dyDescent="0.2">
      <c r="A787">
        <v>780</v>
      </c>
      <c r="B787">
        <v>882</v>
      </c>
      <c r="C787">
        <v>11</v>
      </c>
      <c r="D787">
        <v>-15.3</v>
      </c>
      <c r="E787">
        <v>1.3</v>
      </c>
    </row>
    <row r="788" spans="1:5" x14ac:dyDescent="0.2">
      <c r="A788">
        <v>781</v>
      </c>
      <c r="B788">
        <v>882</v>
      </c>
      <c r="C788">
        <v>11</v>
      </c>
      <c r="D788">
        <v>-15.2</v>
      </c>
      <c r="E788">
        <v>1.3</v>
      </c>
    </row>
    <row r="789" spans="1:5" x14ac:dyDescent="0.2">
      <c r="A789">
        <v>782</v>
      </c>
      <c r="B789">
        <v>882</v>
      </c>
      <c r="C789">
        <v>11</v>
      </c>
      <c r="D789">
        <v>-15.1</v>
      </c>
      <c r="E789">
        <v>1.3</v>
      </c>
    </row>
    <row r="790" spans="1:5" x14ac:dyDescent="0.2">
      <c r="A790">
        <v>783</v>
      </c>
      <c r="B790">
        <v>884</v>
      </c>
      <c r="C790">
        <v>11</v>
      </c>
      <c r="D790">
        <v>-15.2</v>
      </c>
      <c r="E790">
        <v>1.3</v>
      </c>
    </row>
    <row r="791" spans="1:5" x14ac:dyDescent="0.2">
      <c r="A791">
        <v>784</v>
      </c>
      <c r="B791">
        <v>886</v>
      </c>
      <c r="C791">
        <v>10</v>
      </c>
      <c r="D791">
        <v>-15.4</v>
      </c>
      <c r="E791">
        <v>1.3</v>
      </c>
    </row>
    <row r="792" spans="1:5" x14ac:dyDescent="0.2">
      <c r="A792">
        <v>785</v>
      </c>
      <c r="B792">
        <v>889</v>
      </c>
      <c r="C792">
        <v>10</v>
      </c>
      <c r="D792">
        <v>-15.6</v>
      </c>
      <c r="E792">
        <v>1.3</v>
      </c>
    </row>
    <row r="793" spans="1:5" x14ac:dyDescent="0.2">
      <c r="A793">
        <v>786</v>
      </c>
      <c r="B793">
        <v>893</v>
      </c>
      <c r="C793">
        <v>10</v>
      </c>
      <c r="D793">
        <v>-15.9</v>
      </c>
      <c r="E793">
        <v>1.2</v>
      </c>
    </row>
    <row r="794" spans="1:5" x14ac:dyDescent="0.2">
      <c r="A794">
        <v>787</v>
      </c>
      <c r="B794">
        <v>896</v>
      </c>
      <c r="C794">
        <v>10</v>
      </c>
      <c r="D794">
        <v>-16.2</v>
      </c>
      <c r="E794">
        <v>1.2</v>
      </c>
    </row>
    <row r="795" spans="1:5" x14ac:dyDescent="0.2">
      <c r="A795">
        <v>788</v>
      </c>
      <c r="B795">
        <v>899</v>
      </c>
      <c r="C795">
        <v>10</v>
      </c>
      <c r="D795">
        <v>-16.5</v>
      </c>
      <c r="E795">
        <v>1.2</v>
      </c>
    </row>
    <row r="796" spans="1:5" x14ac:dyDescent="0.2">
      <c r="A796">
        <v>789</v>
      </c>
      <c r="B796">
        <v>903</v>
      </c>
      <c r="C796">
        <v>10</v>
      </c>
      <c r="D796">
        <v>-16.8</v>
      </c>
      <c r="E796">
        <v>1.3</v>
      </c>
    </row>
    <row r="797" spans="1:5" x14ac:dyDescent="0.2">
      <c r="A797">
        <v>790</v>
      </c>
      <c r="B797">
        <v>906</v>
      </c>
      <c r="C797">
        <v>10</v>
      </c>
      <c r="D797">
        <v>-17.100000000000001</v>
      </c>
      <c r="E797">
        <v>1.3</v>
      </c>
    </row>
    <row r="798" spans="1:5" x14ac:dyDescent="0.2">
      <c r="A798">
        <v>791</v>
      </c>
      <c r="B798">
        <v>910</v>
      </c>
      <c r="C798">
        <v>11</v>
      </c>
      <c r="D798">
        <v>-17.5</v>
      </c>
      <c r="E798">
        <v>1.3</v>
      </c>
    </row>
    <row r="799" spans="1:5" x14ac:dyDescent="0.2">
      <c r="A799">
        <v>792</v>
      </c>
      <c r="B799">
        <v>914</v>
      </c>
      <c r="C799">
        <v>11</v>
      </c>
      <c r="D799">
        <v>-17.8</v>
      </c>
      <c r="E799">
        <v>1.3</v>
      </c>
    </row>
    <row r="800" spans="1:5" x14ac:dyDescent="0.2">
      <c r="A800">
        <v>793</v>
      </c>
      <c r="B800">
        <v>919</v>
      </c>
      <c r="C800">
        <v>11</v>
      </c>
      <c r="D800">
        <v>-18.3</v>
      </c>
      <c r="E800">
        <v>1.3</v>
      </c>
    </row>
    <row r="801" spans="1:5" x14ac:dyDescent="0.2">
      <c r="A801">
        <v>794</v>
      </c>
      <c r="B801">
        <v>923</v>
      </c>
      <c r="C801">
        <v>11</v>
      </c>
      <c r="D801">
        <v>-18.7</v>
      </c>
      <c r="E801">
        <v>1.3</v>
      </c>
    </row>
    <row r="802" spans="1:5" x14ac:dyDescent="0.2">
      <c r="A802">
        <v>795</v>
      </c>
      <c r="B802">
        <v>928</v>
      </c>
      <c r="C802">
        <v>11</v>
      </c>
      <c r="D802">
        <v>-19.2</v>
      </c>
      <c r="E802">
        <v>1.3</v>
      </c>
    </row>
    <row r="803" spans="1:5" x14ac:dyDescent="0.2">
      <c r="A803">
        <v>796</v>
      </c>
      <c r="B803">
        <v>933</v>
      </c>
      <c r="C803">
        <v>10</v>
      </c>
      <c r="D803">
        <v>-19.600000000000001</v>
      </c>
      <c r="E803">
        <v>1.3</v>
      </c>
    </row>
    <row r="804" spans="1:5" x14ac:dyDescent="0.2">
      <c r="A804">
        <v>797</v>
      </c>
      <c r="B804">
        <v>937</v>
      </c>
      <c r="C804">
        <v>10</v>
      </c>
      <c r="D804">
        <v>-20</v>
      </c>
      <c r="E804">
        <v>1.3</v>
      </c>
    </row>
    <row r="805" spans="1:5" x14ac:dyDescent="0.2">
      <c r="A805">
        <v>798</v>
      </c>
      <c r="B805">
        <v>940</v>
      </c>
      <c r="C805">
        <v>11</v>
      </c>
      <c r="D805">
        <v>-20.2</v>
      </c>
      <c r="E805">
        <v>1.3</v>
      </c>
    </row>
    <row r="806" spans="1:5" x14ac:dyDescent="0.2">
      <c r="A806">
        <v>799</v>
      </c>
      <c r="B806">
        <v>942</v>
      </c>
      <c r="C806">
        <v>11</v>
      </c>
      <c r="D806">
        <v>-20.399999999999999</v>
      </c>
      <c r="E806">
        <v>1.3</v>
      </c>
    </row>
    <row r="807" spans="1:5" x14ac:dyDescent="0.2">
      <c r="A807">
        <v>800</v>
      </c>
      <c r="B807">
        <v>944</v>
      </c>
      <c r="C807">
        <v>11</v>
      </c>
      <c r="D807">
        <v>-20.5</v>
      </c>
      <c r="E807">
        <v>1.3</v>
      </c>
    </row>
    <row r="808" spans="1:5" x14ac:dyDescent="0.2">
      <c r="A808">
        <v>801</v>
      </c>
      <c r="B808">
        <v>945</v>
      </c>
      <c r="C808">
        <v>11</v>
      </c>
      <c r="D808">
        <v>-20.6</v>
      </c>
      <c r="E808">
        <v>1.3</v>
      </c>
    </row>
    <row r="809" spans="1:5" x14ac:dyDescent="0.2">
      <c r="A809">
        <v>802</v>
      </c>
      <c r="B809">
        <v>947</v>
      </c>
      <c r="C809">
        <v>11</v>
      </c>
      <c r="D809">
        <v>-20.6</v>
      </c>
      <c r="E809">
        <v>1.3</v>
      </c>
    </row>
    <row r="810" spans="1:5" x14ac:dyDescent="0.2">
      <c r="A810">
        <v>803</v>
      </c>
      <c r="B810">
        <v>948</v>
      </c>
      <c r="C810">
        <v>11</v>
      </c>
      <c r="D810">
        <v>-20.7</v>
      </c>
      <c r="E810">
        <v>1.3</v>
      </c>
    </row>
    <row r="811" spans="1:5" x14ac:dyDescent="0.2">
      <c r="A811">
        <v>804</v>
      </c>
      <c r="B811">
        <v>949</v>
      </c>
      <c r="C811">
        <v>11</v>
      </c>
      <c r="D811">
        <v>-20.7</v>
      </c>
      <c r="E811">
        <v>1.3</v>
      </c>
    </row>
    <row r="812" spans="1:5" x14ac:dyDescent="0.2">
      <c r="A812">
        <v>805</v>
      </c>
      <c r="B812">
        <v>950</v>
      </c>
      <c r="C812">
        <v>11</v>
      </c>
      <c r="D812">
        <v>-20.7</v>
      </c>
      <c r="E812">
        <v>1.3</v>
      </c>
    </row>
    <row r="813" spans="1:5" x14ac:dyDescent="0.2">
      <c r="A813">
        <v>806</v>
      </c>
      <c r="B813">
        <v>950</v>
      </c>
      <c r="C813">
        <v>11</v>
      </c>
      <c r="D813">
        <v>-20.6</v>
      </c>
      <c r="E813">
        <v>1.3</v>
      </c>
    </row>
    <row r="814" spans="1:5" x14ac:dyDescent="0.2">
      <c r="A814">
        <v>807</v>
      </c>
      <c r="B814">
        <v>950</v>
      </c>
      <c r="C814">
        <v>11</v>
      </c>
      <c r="D814">
        <v>-20.5</v>
      </c>
      <c r="E814">
        <v>1.3</v>
      </c>
    </row>
    <row r="815" spans="1:5" x14ac:dyDescent="0.2">
      <c r="A815">
        <v>808</v>
      </c>
      <c r="B815">
        <v>950</v>
      </c>
      <c r="C815">
        <v>11</v>
      </c>
      <c r="D815">
        <v>-20.3</v>
      </c>
      <c r="E815">
        <v>1.3</v>
      </c>
    </row>
    <row r="816" spans="1:5" x14ac:dyDescent="0.2">
      <c r="A816">
        <v>809</v>
      </c>
      <c r="B816">
        <v>948</v>
      </c>
      <c r="C816">
        <v>11</v>
      </c>
      <c r="D816">
        <v>-19.899999999999999</v>
      </c>
      <c r="E816">
        <v>1.3</v>
      </c>
    </row>
    <row r="817" spans="1:5" x14ac:dyDescent="0.2">
      <c r="A817">
        <v>810</v>
      </c>
      <c r="B817">
        <v>946</v>
      </c>
      <c r="C817">
        <v>11</v>
      </c>
      <c r="D817">
        <v>-19.600000000000001</v>
      </c>
      <c r="E817">
        <v>1.3</v>
      </c>
    </row>
    <row r="818" spans="1:5" x14ac:dyDescent="0.2">
      <c r="A818">
        <v>811</v>
      </c>
      <c r="B818">
        <v>944</v>
      </c>
      <c r="C818">
        <v>11</v>
      </c>
      <c r="D818">
        <v>-19.2</v>
      </c>
      <c r="E818">
        <v>1.3</v>
      </c>
    </row>
    <row r="819" spans="1:5" x14ac:dyDescent="0.2">
      <c r="A819">
        <v>812</v>
      </c>
      <c r="B819">
        <v>942</v>
      </c>
      <c r="C819">
        <v>11</v>
      </c>
      <c r="D819">
        <v>-18.8</v>
      </c>
      <c r="E819">
        <v>1.3</v>
      </c>
    </row>
    <row r="820" spans="1:5" x14ac:dyDescent="0.2">
      <c r="A820">
        <v>813</v>
      </c>
      <c r="B820">
        <v>940</v>
      </c>
      <c r="C820">
        <v>10</v>
      </c>
      <c r="D820">
        <v>-18.5</v>
      </c>
      <c r="E820">
        <v>1.3</v>
      </c>
    </row>
    <row r="821" spans="1:5" x14ac:dyDescent="0.2">
      <c r="A821">
        <v>814</v>
      </c>
      <c r="B821">
        <v>939</v>
      </c>
      <c r="C821">
        <v>10</v>
      </c>
      <c r="D821">
        <v>-18.3</v>
      </c>
      <c r="E821">
        <v>1.3</v>
      </c>
    </row>
    <row r="822" spans="1:5" x14ac:dyDescent="0.2">
      <c r="A822">
        <v>815</v>
      </c>
      <c r="B822">
        <v>939</v>
      </c>
      <c r="C822">
        <v>10</v>
      </c>
      <c r="D822">
        <v>-18.2</v>
      </c>
      <c r="E822">
        <v>1.3</v>
      </c>
    </row>
    <row r="823" spans="1:5" x14ac:dyDescent="0.2">
      <c r="A823">
        <v>816</v>
      </c>
      <c r="B823">
        <v>940</v>
      </c>
      <c r="C823">
        <v>10</v>
      </c>
      <c r="D823">
        <v>-18.100000000000001</v>
      </c>
      <c r="E823">
        <v>1.2</v>
      </c>
    </row>
    <row r="824" spans="1:5" x14ac:dyDescent="0.2">
      <c r="A824">
        <v>817</v>
      </c>
      <c r="B824">
        <v>941</v>
      </c>
      <c r="C824">
        <v>10</v>
      </c>
      <c r="D824">
        <v>-18.100000000000001</v>
      </c>
      <c r="E824">
        <v>1.2</v>
      </c>
    </row>
    <row r="825" spans="1:5" x14ac:dyDescent="0.2">
      <c r="A825">
        <v>818</v>
      </c>
      <c r="B825">
        <v>942</v>
      </c>
      <c r="C825">
        <v>10</v>
      </c>
      <c r="D825">
        <v>-18.100000000000001</v>
      </c>
      <c r="E825">
        <v>1.2</v>
      </c>
    </row>
    <row r="826" spans="1:5" x14ac:dyDescent="0.2">
      <c r="A826">
        <v>819</v>
      </c>
      <c r="B826">
        <v>942</v>
      </c>
      <c r="C826">
        <v>10</v>
      </c>
      <c r="D826">
        <v>-18.100000000000001</v>
      </c>
      <c r="E826">
        <v>1.2</v>
      </c>
    </row>
    <row r="827" spans="1:5" x14ac:dyDescent="0.2">
      <c r="A827">
        <v>820</v>
      </c>
      <c r="B827">
        <v>943</v>
      </c>
      <c r="C827">
        <v>10</v>
      </c>
      <c r="D827">
        <v>-18</v>
      </c>
      <c r="E827">
        <v>1.2</v>
      </c>
    </row>
    <row r="828" spans="1:5" x14ac:dyDescent="0.2">
      <c r="A828">
        <v>821</v>
      </c>
      <c r="B828">
        <v>943</v>
      </c>
      <c r="C828">
        <v>10</v>
      </c>
      <c r="D828">
        <v>-18</v>
      </c>
      <c r="E828">
        <v>1.2</v>
      </c>
    </row>
    <row r="829" spans="1:5" x14ac:dyDescent="0.2">
      <c r="A829">
        <v>822</v>
      </c>
      <c r="B829">
        <v>944</v>
      </c>
      <c r="C829">
        <v>10</v>
      </c>
      <c r="D829">
        <v>-17.899999999999999</v>
      </c>
      <c r="E829">
        <v>1.2</v>
      </c>
    </row>
    <row r="830" spans="1:5" x14ac:dyDescent="0.2">
      <c r="A830">
        <v>823</v>
      </c>
      <c r="B830">
        <v>944</v>
      </c>
      <c r="C830">
        <v>10</v>
      </c>
      <c r="D830">
        <v>-17.899999999999999</v>
      </c>
      <c r="E830">
        <v>1.2</v>
      </c>
    </row>
    <row r="831" spans="1:5" x14ac:dyDescent="0.2">
      <c r="A831">
        <v>824</v>
      </c>
      <c r="B831">
        <v>946</v>
      </c>
      <c r="C831">
        <v>10</v>
      </c>
      <c r="D831">
        <v>-17.899999999999999</v>
      </c>
      <c r="E831">
        <v>1.2</v>
      </c>
    </row>
    <row r="832" spans="1:5" x14ac:dyDescent="0.2">
      <c r="A832">
        <v>825</v>
      </c>
      <c r="B832">
        <v>947</v>
      </c>
      <c r="C832">
        <v>10</v>
      </c>
      <c r="D832">
        <v>-18</v>
      </c>
      <c r="E832">
        <v>1.2</v>
      </c>
    </row>
    <row r="833" spans="1:5" x14ac:dyDescent="0.2">
      <c r="A833">
        <v>826</v>
      </c>
      <c r="B833">
        <v>949</v>
      </c>
      <c r="C833">
        <v>10</v>
      </c>
      <c r="D833">
        <v>-18</v>
      </c>
      <c r="E833">
        <v>1.2</v>
      </c>
    </row>
    <row r="834" spans="1:5" x14ac:dyDescent="0.2">
      <c r="A834">
        <v>827</v>
      </c>
      <c r="B834">
        <v>950</v>
      </c>
      <c r="C834">
        <v>10</v>
      </c>
      <c r="D834">
        <v>-18</v>
      </c>
      <c r="E834">
        <v>1.2</v>
      </c>
    </row>
    <row r="835" spans="1:5" x14ac:dyDescent="0.2">
      <c r="A835">
        <v>828</v>
      </c>
      <c r="B835">
        <v>951</v>
      </c>
      <c r="C835">
        <v>10</v>
      </c>
      <c r="D835">
        <v>-18</v>
      </c>
      <c r="E835">
        <v>1.2</v>
      </c>
    </row>
    <row r="836" spans="1:5" x14ac:dyDescent="0.2">
      <c r="A836">
        <v>829</v>
      </c>
      <c r="B836">
        <v>952</v>
      </c>
      <c r="C836">
        <v>10</v>
      </c>
      <c r="D836">
        <v>-18</v>
      </c>
      <c r="E836">
        <v>1.2</v>
      </c>
    </row>
    <row r="837" spans="1:5" x14ac:dyDescent="0.2">
      <c r="A837">
        <v>830</v>
      </c>
      <c r="B837">
        <v>952</v>
      </c>
      <c r="C837">
        <v>10</v>
      </c>
      <c r="D837">
        <v>-18</v>
      </c>
      <c r="E837">
        <v>1.2</v>
      </c>
    </row>
    <row r="838" spans="1:5" x14ac:dyDescent="0.2">
      <c r="A838">
        <v>831</v>
      </c>
      <c r="B838">
        <v>953</v>
      </c>
      <c r="C838">
        <v>10</v>
      </c>
      <c r="D838">
        <v>-18</v>
      </c>
      <c r="E838">
        <v>1.2</v>
      </c>
    </row>
    <row r="839" spans="1:5" x14ac:dyDescent="0.2">
      <c r="A839">
        <v>832</v>
      </c>
      <c r="B839">
        <v>954</v>
      </c>
      <c r="C839">
        <v>10</v>
      </c>
      <c r="D839">
        <v>-17.899999999999999</v>
      </c>
      <c r="E839">
        <v>1.2</v>
      </c>
    </row>
    <row r="840" spans="1:5" x14ac:dyDescent="0.2">
      <c r="A840">
        <v>833</v>
      </c>
      <c r="B840">
        <v>955</v>
      </c>
      <c r="C840">
        <v>10</v>
      </c>
      <c r="D840">
        <v>-18</v>
      </c>
      <c r="E840">
        <v>1.2</v>
      </c>
    </row>
    <row r="841" spans="1:5" x14ac:dyDescent="0.2">
      <c r="A841">
        <v>834</v>
      </c>
      <c r="B841">
        <v>956</v>
      </c>
      <c r="C841">
        <v>10</v>
      </c>
      <c r="D841">
        <v>-18</v>
      </c>
      <c r="E841">
        <v>1.2</v>
      </c>
    </row>
    <row r="842" spans="1:5" x14ac:dyDescent="0.2">
      <c r="A842">
        <v>835</v>
      </c>
      <c r="B842">
        <v>957</v>
      </c>
      <c r="C842">
        <v>10</v>
      </c>
      <c r="D842">
        <v>-18</v>
      </c>
      <c r="E842">
        <v>1.2</v>
      </c>
    </row>
    <row r="843" spans="1:5" x14ac:dyDescent="0.2">
      <c r="A843">
        <v>836</v>
      </c>
      <c r="B843">
        <v>959</v>
      </c>
      <c r="C843">
        <v>10</v>
      </c>
      <c r="D843">
        <v>-18.100000000000001</v>
      </c>
      <c r="E843">
        <v>1.2</v>
      </c>
    </row>
    <row r="844" spans="1:5" x14ac:dyDescent="0.2">
      <c r="A844">
        <v>837</v>
      </c>
      <c r="B844">
        <v>960</v>
      </c>
      <c r="C844">
        <v>10</v>
      </c>
      <c r="D844">
        <v>-18.100000000000001</v>
      </c>
      <c r="E844">
        <v>1.3</v>
      </c>
    </row>
    <row r="845" spans="1:5" x14ac:dyDescent="0.2">
      <c r="A845">
        <v>838</v>
      </c>
      <c r="B845">
        <v>961</v>
      </c>
      <c r="C845">
        <v>10</v>
      </c>
      <c r="D845">
        <v>-18.100000000000001</v>
      </c>
      <c r="E845">
        <v>1.3</v>
      </c>
    </row>
    <row r="846" spans="1:5" x14ac:dyDescent="0.2">
      <c r="A846">
        <v>839</v>
      </c>
      <c r="B846">
        <v>961</v>
      </c>
      <c r="C846">
        <v>11</v>
      </c>
      <c r="D846">
        <v>-18</v>
      </c>
      <c r="E846">
        <v>1.3</v>
      </c>
    </row>
    <row r="847" spans="1:5" x14ac:dyDescent="0.2">
      <c r="A847">
        <v>840</v>
      </c>
      <c r="B847">
        <v>961</v>
      </c>
      <c r="C847">
        <v>11</v>
      </c>
      <c r="D847">
        <v>-17.8</v>
      </c>
      <c r="E847">
        <v>1.3</v>
      </c>
    </row>
    <row r="848" spans="1:5" x14ac:dyDescent="0.2">
      <c r="A848">
        <v>841</v>
      </c>
      <c r="B848">
        <v>960</v>
      </c>
      <c r="C848">
        <v>11</v>
      </c>
      <c r="D848">
        <v>-17.600000000000001</v>
      </c>
      <c r="E848">
        <v>1.3</v>
      </c>
    </row>
    <row r="849" spans="1:5" x14ac:dyDescent="0.2">
      <c r="A849">
        <v>842</v>
      </c>
      <c r="B849">
        <v>959</v>
      </c>
      <c r="C849">
        <v>11</v>
      </c>
      <c r="D849">
        <v>-17.399999999999999</v>
      </c>
      <c r="E849">
        <v>1.3</v>
      </c>
    </row>
    <row r="850" spans="1:5" x14ac:dyDescent="0.2">
      <c r="A850">
        <v>843</v>
      </c>
      <c r="B850">
        <v>957</v>
      </c>
      <c r="C850">
        <v>11</v>
      </c>
      <c r="D850">
        <v>-17.100000000000001</v>
      </c>
      <c r="E850">
        <v>1.3</v>
      </c>
    </row>
    <row r="851" spans="1:5" x14ac:dyDescent="0.2">
      <c r="A851">
        <v>844</v>
      </c>
      <c r="B851">
        <v>955</v>
      </c>
      <c r="C851">
        <v>10</v>
      </c>
      <c r="D851">
        <v>-16.7</v>
      </c>
      <c r="E851">
        <v>1.3</v>
      </c>
    </row>
    <row r="852" spans="1:5" x14ac:dyDescent="0.2">
      <c r="A852">
        <v>845</v>
      </c>
      <c r="B852">
        <v>953</v>
      </c>
      <c r="C852">
        <v>10</v>
      </c>
      <c r="D852">
        <v>-16.3</v>
      </c>
      <c r="E852">
        <v>1.3</v>
      </c>
    </row>
    <row r="853" spans="1:5" x14ac:dyDescent="0.2">
      <c r="A853">
        <v>846</v>
      </c>
      <c r="B853">
        <v>951</v>
      </c>
      <c r="C853">
        <v>10</v>
      </c>
      <c r="D853">
        <v>-15.9</v>
      </c>
      <c r="E853">
        <v>1.3</v>
      </c>
    </row>
    <row r="854" spans="1:5" x14ac:dyDescent="0.2">
      <c r="A854">
        <v>847</v>
      </c>
      <c r="B854">
        <v>949</v>
      </c>
      <c r="C854">
        <v>10</v>
      </c>
      <c r="D854">
        <v>-15.5</v>
      </c>
      <c r="E854">
        <v>1.3</v>
      </c>
    </row>
    <row r="855" spans="1:5" x14ac:dyDescent="0.2">
      <c r="A855">
        <v>848</v>
      </c>
      <c r="B855">
        <v>947</v>
      </c>
      <c r="C855">
        <v>10</v>
      </c>
      <c r="D855">
        <v>-15.2</v>
      </c>
      <c r="E855">
        <v>1.3</v>
      </c>
    </row>
    <row r="856" spans="1:5" x14ac:dyDescent="0.2">
      <c r="A856">
        <v>849</v>
      </c>
      <c r="B856">
        <v>945</v>
      </c>
      <c r="C856">
        <v>11</v>
      </c>
      <c r="D856">
        <v>-14.8</v>
      </c>
      <c r="E856">
        <v>1.3</v>
      </c>
    </row>
    <row r="857" spans="1:5" x14ac:dyDescent="0.2">
      <c r="A857">
        <v>850</v>
      </c>
      <c r="B857">
        <v>944</v>
      </c>
      <c r="C857">
        <v>11</v>
      </c>
      <c r="D857">
        <v>-14.6</v>
      </c>
      <c r="E857">
        <v>1.3</v>
      </c>
    </row>
    <row r="858" spans="1:5" x14ac:dyDescent="0.2">
      <c r="A858">
        <v>851</v>
      </c>
      <c r="B858">
        <v>943</v>
      </c>
      <c r="C858">
        <v>11</v>
      </c>
      <c r="D858">
        <v>-14.4</v>
      </c>
      <c r="E858">
        <v>1.3</v>
      </c>
    </row>
    <row r="859" spans="1:5" x14ac:dyDescent="0.2">
      <c r="A859">
        <v>852</v>
      </c>
      <c r="B859">
        <v>943</v>
      </c>
      <c r="C859">
        <v>11</v>
      </c>
      <c r="D859">
        <v>-14.3</v>
      </c>
      <c r="E859">
        <v>1.3</v>
      </c>
    </row>
    <row r="860" spans="1:5" x14ac:dyDescent="0.2">
      <c r="A860">
        <v>853</v>
      </c>
      <c r="B860">
        <v>944</v>
      </c>
      <c r="C860">
        <v>11</v>
      </c>
      <c r="D860">
        <v>-14.2</v>
      </c>
      <c r="E860">
        <v>1.3</v>
      </c>
    </row>
    <row r="861" spans="1:5" x14ac:dyDescent="0.2">
      <c r="A861">
        <v>854</v>
      </c>
      <c r="B861">
        <v>945</v>
      </c>
      <c r="C861">
        <v>11</v>
      </c>
      <c r="D861">
        <v>-14.3</v>
      </c>
      <c r="E861">
        <v>1.3</v>
      </c>
    </row>
    <row r="862" spans="1:5" x14ac:dyDescent="0.2">
      <c r="A862">
        <v>855</v>
      </c>
      <c r="B862">
        <v>947</v>
      </c>
      <c r="C862">
        <v>11</v>
      </c>
      <c r="D862">
        <v>-14.4</v>
      </c>
      <c r="E862">
        <v>1.3</v>
      </c>
    </row>
    <row r="863" spans="1:5" x14ac:dyDescent="0.2">
      <c r="A863">
        <v>856</v>
      </c>
      <c r="B863">
        <v>950</v>
      </c>
      <c r="C863">
        <v>10</v>
      </c>
      <c r="D863">
        <v>-14.6</v>
      </c>
      <c r="E863">
        <v>1.3</v>
      </c>
    </row>
    <row r="864" spans="1:5" x14ac:dyDescent="0.2">
      <c r="A864">
        <v>857</v>
      </c>
      <c r="B864">
        <v>953</v>
      </c>
      <c r="C864">
        <v>10</v>
      </c>
      <c r="D864">
        <v>-14.8</v>
      </c>
      <c r="E864">
        <v>1.3</v>
      </c>
    </row>
    <row r="865" spans="1:5" x14ac:dyDescent="0.2">
      <c r="A865">
        <v>858</v>
      </c>
      <c r="B865">
        <v>955</v>
      </c>
      <c r="C865">
        <v>10</v>
      </c>
      <c r="D865">
        <v>-14.9</v>
      </c>
      <c r="E865">
        <v>1.3</v>
      </c>
    </row>
    <row r="866" spans="1:5" x14ac:dyDescent="0.2">
      <c r="A866">
        <v>859</v>
      </c>
      <c r="B866">
        <v>956</v>
      </c>
      <c r="C866">
        <v>10</v>
      </c>
      <c r="D866">
        <v>-15</v>
      </c>
      <c r="E866">
        <v>1.3</v>
      </c>
    </row>
    <row r="867" spans="1:5" x14ac:dyDescent="0.2">
      <c r="A867">
        <v>860</v>
      </c>
      <c r="B867">
        <v>957</v>
      </c>
      <c r="C867">
        <v>11</v>
      </c>
      <c r="D867">
        <v>-15</v>
      </c>
      <c r="E867">
        <v>1.3</v>
      </c>
    </row>
    <row r="868" spans="1:5" x14ac:dyDescent="0.2">
      <c r="A868">
        <v>861</v>
      </c>
      <c r="B868">
        <v>957</v>
      </c>
      <c r="C868">
        <v>10</v>
      </c>
      <c r="D868">
        <v>-14.9</v>
      </c>
      <c r="E868">
        <v>1.3</v>
      </c>
    </row>
    <row r="869" spans="1:5" x14ac:dyDescent="0.2">
      <c r="A869">
        <v>862</v>
      </c>
      <c r="B869">
        <v>957</v>
      </c>
      <c r="C869">
        <v>10</v>
      </c>
      <c r="D869">
        <v>-14.7</v>
      </c>
      <c r="E869">
        <v>1.3</v>
      </c>
    </row>
    <row r="870" spans="1:5" x14ac:dyDescent="0.2">
      <c r="A870">
        <v>863</v>
      </c>
      <c r="B870">
        <v>956</v>
      </c>
      <c r="C870">
        <v>10</v>
      </c>
      <c r="D870">
        <v>-14.5</v>
      </c>
      <c r="E870">
        <v>1.3</v>
      </c>
    </row>
    <row r="871" spans="1:5" x14ac:dyDescent="0.2">
      <c r="A871">
        <v>864</v>
      </c>
      <c r="B871">
        <v>954</v>
      </c>
      <c r="C871">
        <v>10</v>
      </c>
      <c r="D871">
        <v>-14.2</v>
      </c>
      <c r="E871">
        <v>1.3</v>
      </c>
    </row>
    <row r="872" spans="1:5" x14ac:dyDescent="0.2">
      <c r="A872">
        <v>865</v>
      </c>
      <c r="B872">
        <v>952</v>
      </c>
      <c r="C872">
        <v>10</v>
      </c>
      <c r="D872">
        <v>-13.8</v>
      </c>
      <c r="E872">
        <v>1.3</v>
      </c>
    </row>
    <row r="873" spans="1:5" x14ac:dyDescent="0.2">
      <c r="A873">
        <v>866</v>
      </c>
      <c r="B873">
        <v>950</v>
      </c>
      <c r="C873">
        <v>10</v>
      </c>
      <c r="D873">
        <v>-13.4</v>
      </c>
      <c r="E873">
        <v>1.3</v>
      </c>
    </row>
    <row r="874" spans="1:5" x14ac:dyDescent="0.2">
      <c r="A874">
        <v>867</v>
      </c>
      <c r="B874">
        <v>947</v>
      </c>
      <c r="C874">
        <v>10</v>
      </c>
      <c r="D874">
        <v>-12.9</v>
      </c>
      <c r="E874">
        <v>1.3</v>
      </c>
    </row>
    <row r="875" spans="1:5" x14ac:dyDescent="0.2">
      <c r="A875">
        <v>868</v>
      </c>
      <c r="B875">
        <v>943</v>
      </c>
      <c r="C875">
        <v>10</v>
      </c>
      <c r="D875">
        <v>-12.3</v>
      </c>
      <c r="E875">
        <v>1.3</v>
      </c>
    </row>
    <row r="876" spans="1:5" x14ac:dyDescent="0.2">
      <c r="A876">
        <v>869</v>
      </c>
      <c r="B876">
        <v>939</v>
      </c>
      <c r="C876">
        <v>10</v>
      </c>
      <c r="D876">
        <v>-11.7</v>
      </c>
      <c r="E876">
        <v>1.3</v>
      </c>
    </row>
    <row r="877" spans="1:5" x14ac:dyDescent="0.2">
      <c r="A877">
        <v>870</v>
      </c>
      <c r="B877">
        <v>935</v>
      </c>
      <c r="C877">
        <v>10</v>
      </c>
      <c r="D877">
        <v>-11</v>
      </c>
      <c r="E877">
        <v>1.3</v>
      </c>
    </row>
    <row r="878" spans="1:5" x14ac:dyDescent="0.2">
      <c r="A878">
        <v>871</v>
      </c>
      <c r="B878">
        <v>930</v>
      </c>
      <c r="C878">
        <v>10</v>
      </c>
      <c r="D878">
        <v>-10.4</v>
      </c>
      <c r="E878">
        <v>1.3</v>
      </c>
    </row>
    <row r="879" spans="1:5" x14ac:dyDescent="0.2">
      <c r="A879">
        <v>872</v>
      </c>
      <c r="B879">
        <v>926</v>
      </c>
      <c r="C879">
        <v>10</v>
      </c>
      <c r="D879">
        <v>-9.8000000000000007</v>
      </c>
      <c r="E879">
        <v>1.3</v>
      </c>
    </row>
    <row r="880" spans="1:5" x14ac:dyDescent="0.2">
      <c r="A880">
        <v>873</v>
      </c>
      <c r="B880">
        <v>924</v>
      </c>
      <c r="C880">
        <v>10</v>
      </c>
      <c r="D880">
        <v>-9.3000000000000007</v>
      </c>
      <c r="E880">
        <v>1.3</v>
      </c>
    </row>
    <row r="881" spans="1:5" x14ac:dyDescent="0.2">
      <c r="A881">
        <v>874</v>
      </c>
      <c r="B881">
        <v>922</v>
      </c>
      <c r="C881">
        <v>10</v>
      </c>
      <c r="D881">
        <v>-9</v>
      </c>
      <c r="E881">
        <v>1.3</v>
      </c>
    </row>
    <row r="882" spans="1:5" x14ac:dyDescent="0.2">
      <c r="A882">
        <v>875</v>
      </c>
      <c r="B882">
        <v>921</v>
      </c>
      <c r="C882">
        <v>10</v>
      </c>
      <c r="D882">
        <v>-8.8000000000000007</v>
      </c>
      <c r="E882">
        <v>1.3</v>
      </c>
    </row>
    <row r="883" spans="1:5" x14ac:dyDescent="0.2">
      <c r="A883">
        <v>876</v>
      </c>
      <c r="B883">
        <v>921</v>
      </c>
      <c r="C883">
        <v>10</v>
      </c>
      <c r="D883">
        <v>-8.6</v>
      </c>
      <c r="E883">
        <v>1.3</v>
      </c>
    </row>
    <row r="884" spans="1:5" x14ac:dyDescent="0.2">
      <c r="A884">
        <v>877</v>
      </c>
      <c r="B884">
        <v>921</v>
      </c>
      <c r="C884">
        <v>10</v>
      </c>
      <c r="D884">
        <v>-8.5</v>
      </c>
      <c r="E884">
        <v>1.3</v>
      </c>
    </row>
    <row r="885" spans="1:5" x14ac:dyDescent="0.2">
      <c r="A885">
        <v>878</v>
      </c>
      <c r="B885">
        <v>921</v>
      </c>
      <c r="C885">
        <v>10</v>
      </c>
      <c r="D885">
        <v>-8.4</v>
      </c>
      <c r="E885">
        <v>1.3</v>
      </c>
    </row>
    <row r="886" spans="1:5" x14ac:dyDescent="0.2">
      <c r="A886">
        <v>879</v>
      </c>
      <c r="B886">
        <v>921</v>
      </c>
      <c r="C886">
        <v>10</v>
      </c>
      <c r="D886">
        <v>-8.3000000000000007</v>
      </c>
      <c r="E886">
        <v>1.3</v>
      </c>
    </row>
    <row r="887" spans="1:5" x14ac:dyDescent="0.2">
      <c r="A887">
        <v>880</v>
      </c>
      <c r="B887">
        <v>921</v>
      </c>
      <c r="C887">
        <v>10</v>
      </c>
      <c r="D887">
        <v>-8.1999999999999993</v>
      </c>
      <c r="E887">
        <v>1.3</v>
      </c>
    </row>
    <row r="888" spans="1:5" x14ac:dyDescent="0.2">
      <c r="A888">
        <v>881</v>
      </c>
      <c r="B888">
        <v>921</v>
      </c>
      <c r="C888">
        <v>10</v>
      </c>
      <c r="D888">
        <v>-8</v>
      </c>
      <c r="E888">
        <v>1.3</v>
      </c>
    </row>
    <row r="889" spans="1:5" x14ac:dyDescent="0.2">
      <c r="A889">
        <v>882</v>
      </c>
      <c r="B889">
        <v>921</v>
      </c>
      <c r="C889">
        <v>10</v>
      </c>
      <c r="D889">
        <v>-7.9</v>
      </c>
      <c r="E889">
        <v>1.3</v>
      </c>
    </row>
    <row r="890" spans="1:5" x14ac:dyDescent="0.2">
      <c r="A890">
        <v>883</v>
      </c>
      <c r="B890">
        <v>921</v>
      </c>
      <c r="C890">
        <v>10</v>
      </c>
      <c r="D890">
        <v>-7.9</v>
      </c>
      <c r="E890">
        <v>1.3</v>
      </c>
    </row>
    <row r="891" spans="1:5" x14ac:dyDescent="0.2">
      <c r="A891">
        <v>884</v>
      </c>
      <c r="B891">
        <v>922</v>
      </c>
      <c r="C891">
        <v>10</v>
      </c>
      <c r="D891">
        <v>-7.8</v>
      </c>
      <c r="E891">
        <v>1.3</v>
      </c>
    </row>
    <row r="892" spans="1:5" x14ac:dyDescent="0.2">
      <c r="A892">
        <v>885</v>
      </c>
      <c r="B892">
        <v>922</v>
      </c>
      <c r="C892">
        <v>10</v>
      </c>
      <c r="D892">
        <v>-7.7</v>
      </c>
      <c r="E892">
        <v>1.3</v>
      </c>
    </row>
    <row r="893" spans="1:5" x14ac:dyDescent="0.2">
      <c r="A893">
        <v>886</v>
      </c>
      <c r="B893">
        <v>922</v>
      </c>
      <c r="C893">
        <v>10</v>
      </c>
      <c r="D893">
        <v>-7.6</v>
      </c>
      <c r="E893">
        <v>1.3</v>
      </c>
    </row>
    <row r="894" spans="1:5" x14ac:dyDescent="0.2">
      <c r="A894">
        <v>887</v>
      </c>
      <c r="B894">
        <v>922</v>
      </c>
      <c r="C894">
        <v>10</v>
      </c>
      <c r="D894">
        <v>-7.5</v>
      </c>
      <c r="E894">
        <v>1.3</v>
      </c>
    </row>
    <row r="895" spans="1:5" x14ac:dyDescent="0.2">
      <c r="A895">
        <v>888</v>
      </c>
      <c r="B895">
        <v>922</v>
      </c>
      <c r="C895">
        <v>10</v>
      </c>
      <c r="D895">
        <v>-7.3</v>
      </c>
      <c r="E895">
        <v>1.3</v>
      </c>
    </row>
    <row r="896" spans="1:5" x14ac:dyDescent="0.2">
      <c r="A896">
        <v>889</v>
      </c>
      <c r="B896">
        <v>921</v>
      </c>
      <c r="C896">
        <v>10</v>
      </c>
      <c r="D896">
        <v>-7.1</v>
      </c>
      <c r="E896">
        <v>1.3</v>
      </c>
    </row>
    <row r="897" spans="1:5" x14ac:dyDescent="0.2">
      <c r="A897">
        <v>890</v>
      </c>
      <c r="B897">
        <v>920</v>
      </c>
      <c r="C897">
        <v>10</v>
      </c>
      <c r="D897">
        <v>-6.8</v>
      </c>
      <c r="E897">
        <v>1.3</v>
      </c>
    </row>
    <row r="898" spans="1:5" x14ac:dyDescent="0.2">
      <c r="A898">
        <v>891</v>
      </c>
      <c r="B898">
        <v>918</v>
      </c>
      <c r="C898">
        <v>10</v>
      </c>
      <c r="D898">
        <v>-6.5</v>
      </c>
      <c r="E898">
        <v>1.3</v>
      </c>
    </row>
    <row r="899" spans="1:5" x14ac:dyDescent="0.2">
      <c r="A899">
        <v>892</v>
      </c>
      <c r="B899">
        <v>917</v>
      </c>
      <c r="C899">
        <v>10</v>
      </c>
      <c r="D899">
        <v>-6.2</v>
      </c>
      <c r="E899">
        <v>1.3</v>
      </c>
    </row>
    <row r="900" spans="1:5" x14ac:dyDescent="0.2">
      <c r="A900">
        <v>893</v>
      </c>
      <c r="B900">
        <v>915</v>
      </c>
      <c r="C900">
        <v>10</v>
      </c>
      <c r="D900">
        <v>-5.9</v>
      </c>
      <c r="E900">
        <v>1.2</v>
      </c>
    </row>
    <row r="901" spans="1:5" x14ac:dyDescent="0.2">
      <c r="A901">
        <v>894</v>
      </c>
      <c r="B901">
        <v>914</v>
      </c>
      <c r="C901">
        <v>10</v>
      </c>
      <c r="D901">
        <v>-5.6</v>
      </c>
      <c r="E901">
        <v>1.3</v>
      </c>
    </row>
    <row r="902" spans="1:5" x14ac:dyDescent="0.2">
      <c r="A902">
        <v>895</v>
      </c>
      <c r="B902">
        <v>914</v>
      </c>
      <c r="C902">
        <v>10</v>
      </c>
      <c r="D902">
        <v>-5.6</v>
      </c>
      <c r="E902">
        <v>1.2</v>
      </c>
    </row>
    <row r="903" spans="1:5" x14ac:dyDescent="0.2">
      <c r="A903">
        <v>896</v>
      </c>
      <c r="B903">
        <v>917</v>
      </c>
      <c r="C903">
        <v>10</v>
      </c>
      <c r="D903">
        <v>-5.8</v>
      </c>
      <c r="E903">
        <v>1.2</v>
      </c>
    </row>
    <row r="904" spans="1:5" x14ac:dyDescent="0.2">
      <c r="A904">
        <v>897</v>
      </c>
      <c r="B904">
        <v>921</v>
      </c>
      <c r="C904">
        <v>10</v>
      </c>
      <c r="D904">
        <v>-6.1</v>
      </c>
      <c r="E904">
        <v>1.2</v>
      </c>
    </row>
    <row r="905" spans="1:5" x14ac:dyDescent="0.2">
      <c r="A905">
        <v>898</v>
      </c>
      <c r="B905">
        <v>926</v>
      </c>
      <c r="C905">
        <v>10</v>
      </c>
      <c r="D905">
        <v>-6.6</v>
      </c>
      <c r="E905">
        <v>1.2</v>
      </c>
    </row>
    <row r="906" spans="1:5" x14ac:dyDescent="0.2">
      <c r="A906">
        <v>899</v>
      </c>
      <c r="B906">
        <v>931</v>
      </c>
      <c r="C906">
        <v>10</v>
      </c>
      <c r="D906">
        <v>-7.1</v>
      </c>
      <c r="E906">
        <v>1.2</v>
      </c>
    </row>
    <row r="907" spans="1:5" x14ac:dyDescent="0.2">
      <c r="A907">
        <v>900</v>
      </c>
      <c r="B907">
        <v>936</v>
      </c>
      <c r="C907">
        <v>10</v>
      </c>
      <c r="D907">
        <v>-7.6</v>
      </c>
      <c r="E907">
        <v>1.3</v>
      </c>
    </row>
    <row r="908" spans="1:5" x14ac:dyDescent="0.2">
      <c r="A908">
        <v>901</v>
      </c>
      <c r="B908">
        <v>940</v>
      </c>
      <c r="C908">
        <v>10</v>
      </c>
      <c r="D908">
        <v>-8.1</v>
      </c>
      <c r="E908">
        <v>1.3</v>
      </c>
    </row>
    <row r="909" spans="1:5" x14ac:dyDescent="0.2">
      <c r="A909">
        <v>902</v>
      </c>
      <c r="B909">
        <v>944</v>
      </c>
      <c r="C909">
        <v>10</v>
      </c>
      <c r="D909">
        <v>-8.4</v>
      </c>
      <c r="E909">
        <v>1.3</v>
      </c>
    </row>
    <row r="910" spans="1:5" x14ac:dyDescent="0.2">
      <c r="A910">
        <v>903</v>
      </c>
      <c r="B910">
        <v>948</v>
      </c>
      <c r="C910">
        <v>11</v>
      </c>
      <c r="D910">
        <v>-8.6999999999999993</v>
      </c>
      <c r="E910">
        <v>1.3</v>
      </c>
    </row>
    <row r="911" spans="1:5" x14ac:dyDescent="0.2">
      <c r="A911">
        <v>904</v>
      </c>
      <c r="B911">
        <v>950</v>
      </c>
      <c r="C911">
        <v>10</v>
      </c>
      <c r="D911">
        <v>-8.9</v>
      </c>
      <c r="E911">
        <v>1.3</v>
      </c>
    </row>
    <row r="912" spans="1:5" x14ac:dyDescent="0.2">
      <c r="A912">
        <v>905</v>
      </c>
      <c r="B912">
        <v>952</v>
      </c>
      <c r="C912">
        <v>11</v>
      </c>
      <c r="D912">
        <v>-9</v>
      </c>
      <c r="E912">
        <v>1.3</v>
      </c>
    </row>
    <row r="913" spans="1:5" x14ac:dyDescent="0.2">
      <c r="A913">
        <v>906</v>
      </c>
      <c r="B913">
        <v>954</v>
      </c>
      <c r="C913">
        <v>11</v>
      </c>
      <c r="D913">
        <v>-9.1</v>
      </c>
      <c r="E913">
        <v>1.3</v>
      </c>
    </row>
    <row r="914" spans="1:5" x14ac:dyDescent="0.2">
      <c r="A914">
        <v>907</v>
      </c>
      <c r="B914">
        <v>955</v>
      </c>
      <c r="C914">
        <v>10</v>
      </c>
      <c r="D914">
        <v>-9.1</v>
      </c>
      <c r="E914">
        <v>1.3</v>
      </c>
    </row>
    <row r="915" spans="1:5" x14ac:dyDescent="0.2">
      <c r="A915">
        <v>908</v>
      </c>
      <c r="B915">
        <v>956</v>
      </c>
      <c r="C915">
        <v>10</v>
      </c>
      <c r="D915">
        <v>-9.1</v>
      </c>
      <c r="E915">
        <v>1.3</v>
      </c>
    </row>
    <row r="916" spans="1:5" x14ac:dyDescent="0.2">
      <c r="A916">
        <v>909</v>
      </c>
      <c r="B916">
        <v>957</v>
      </c>
      <c r="C916">
        <v>10</v>
      </c>
      <c r="D916">
        <v>-9.1</v>
      </c>
      <c r="E916">
        <v>1.3</v>
      </c>
    </row>
    <row r="917" spans="1:5" x14ac:dyDescent="0.2">
      <c r="A917">
        <v>910</v>
      </c>
      <c r="B917">
        <v>959</v>
      </c>
      <c r="C917">
        <v>10</v>
      </c>
      <c r="D917">
        <v>-9.1999999999999993</v>
      </c>
      <c r="E917">
        <v>1.3</v>
      </c>
    </row>
    <row r="918" spans="1:5" x14ac:dyDescent="0.2">
      <c r="A918">
        <v>911</v>
      </c>
      <c r="B918">
        <v>961</v>
      </c>
      <c r="C918">
        <v>10</v>
      </c>
      <c r="D918">
        <v>-9.3000000000000007</v>
      </c>
      <c r="E918">
        <v>1.2</v>
      </c>
    </row>
    <row r="919" spans="1:5" x14ac:dyDescent="0.2">
      <c r="A919">
        <v>912</v>
      </c>
      <c r="B919">
        <v>963</v>
      </c>
      <c r="C919">
        <v>10</v>
      </c>
      <c r="D919">
        <v>-9.5</v>
      </c>
      <c r="E919">
        <v>1.2</v>
      </c>
    </row>
    <row r="920" spans="1:5" x14ac:dyDescent="0.2">
      <c r="A920">
        <v>913</v>
      </c>
      <c r="B920">
        <v>966</v>
      </c>
      <c r="C920">
        <v>10</v>
      </c>
      <c r="D920">
        <v>-9.6999999999999993</v>
      </c>
      <c r="E920">
        <v>1.2</v>
      </c>
    </row>
    <row r="921" spans="1:5" x14ac:dyDescent="0.2">
      <c r="A921">
        <v>914</v>
      </c>
      <c r="B921">
        <v>969</v>
      </c>
      <c r="C921">
        <v>10</v>
      </c>
      <c r="D921">
        <v>-10</v>
      </c>
      <c r="E921">
        <v>1.2</v>
      </c>
    </row>
    <row r="922" spans="1:5" x14ac:dyDescent="0.2">
      <c r="A922">
        <v>915</v>
      </c>
      <c r="B922">
        <v>972</v>
      </c>
      <c r="C922">
        <v>10</v>
      </c>
      <c r="D922">
        <v>-10.3</v>
      </c>
      <c r="E922">
        <v>1.2</v>
      </c>
    </row>
    <row r="923" spans="1:5" x14ac:dyDescent="0.2">
      <c r="A923">
        <v>916</v>
      </c>
      <c r="B923">
        <v>976</v>
      </c>
      <c r="C923">
        <v>10</v>
      </c>
      <c r="D923">
        <v>-10.6</v>
      </c>
      <c r="E923">
        <v>1.2</v>
      </c>
    </row>
    <row r="924" spans="1:5" x14ac:dyDescent="0.2">
      <c r="A924">
        <v>917</v>
      </c>
      <c r="B924">
        <v>980</v>
      </c>
      <c r="C924">
        <v>10</v>
      </c>
      <c r="D924">
        <v>-11</v>
      </c>
      <c r="E924">
        <v>1.2</v>
      </c>
    </row>
    <row r="925" spans="1:5" x14ac:dyDescent="0.2">
      <c r="A925">
        <v>918</v>
      </c>
      <c r="B925">
        <v>984</v>
      </c>
      <c r="C925">
        <v>10</v>
      </c>
      <c r="D925">
        <v>-11.4</v>
      </c>
      <c r="E925">
        <v>1.2</v>
      </c>
    </row>
    <row r="926" spans="1:5" x14ac:dyDescent="0.2">
      <c r="A926">
        <v>919</v>
      </c>
      <c r="B926">
        <v>988</v>
      </c>
      <c r="C926">
        <v>10</v>
      </c>
      <c r="D926">
        <v>-11.7</v>
      </c>
      <c r="E926">
        <v>1.2</v>
      </c>
    </row>
    <row r="927" spans="1:5" x14ac:dyDescent="0.2">
      <c r="A927">
        <v>920</v>
      </c>
      <c r="B927">
        <v>992</v>
      </c>
      <c r="C927">
        <v>10</v>
      </c>
      <c r="D927">
        <v>-12.1</v>
      </c>
      <c r="E927">
        <v>1.2</v>
      </c>
    </row>
    <row r="928" spans="1:5" x14ac:dyDescent="0.2">
      <c r="A928">
        <v>921</v>
      </c>
      <c r="B928">
        <v>995</v>
      </c>
      <c r="C928">
        <v>10</v>
      </c>
      <c r="D928">
        <v>-12.4</v>
      </c>
      <c r="E928">
        <v>1.2</v>
      </c>
    </row>
    <row r="929" spans="1:5" x14ac:dyDescent="0.2">
      <c r="A929">
        <v>922</v>
      </c>
      <c r="B929">
        <v>999</v>
      </c>
      <c r="C929">
        <v>10</v>
      </c>
      <c r="D929">
        <v>-12.7</v>
      </c>
      <c r="E929">
        <v>1.2</v>
      </c>
    </row>
    <row r="930" spans="1:5" x14ac:dyDescent="0.2">
      <c r="A930">
        <v>923</v>
      </c>
      <c r="B930">
        <v>1002</v>
      </c>
      <c r="C930">
        <v>10</v>
      </c>
      <c r="D930">
        <v>-13</v>
      </c>
      <c r="E930">
        <v>1.3</v>
      </c>
    </row>
    <row r="931" spans="1:5" x14ac:dyDescent="0.2">
      <c r="A931">
        <v>924</v>
      </c>
      <c r="B931">
        <v>1006</v>
      </c>
      <c r="C931">
        <v>10</v>
      </c>
      <c r="D931">
        <v>-13.3</v>
      </c>
      <c r="E931">
        <v>1.2</v>
      </c>
    </row>
    <row r="932" spans="1:5" x14ac:dyDescent="0.2">
      <c r="A932">
        <v>925</v>
      </c>
      <c r="B932">
        <v>1009</v>
      </c>
      <c r="C932">
        <v>10</v>
      </c>
      <c r="D932">
        <v>-13.7</v>
      </c>
      <c r="E932">
        <v>1.2</v>
      </c>
    </row>
    <row r="933" spans="1:5" x14ac:dyDescent="0.2">
      <c r="A933">
        <v>926</v>
      </c>
      <c r="B933">
        <v>1014</v>
      </c>
      <c r="C933">
        <v>10</v>
      </c>
      <c r="D933">
        <v>-14.1</v>
      </c>
      <c r="E933">
        <v>1.2</v>
      </c>
    </row>
    <row r="934" spans="1:5" x14ac:dyDescent="0.2">
      <c r="A934">
        <v>927</v>
      </c>
      <c r="B934">
        <v>1019</v>
      </c>
      <c r="C934">
        <v>10</v>
      </c>
      <c r="D934">
        <v>-14.6</v>
      </c>
      <c r="E934">
        <v>1.2</v>
      </c>
    </row>
    <row r="935" spans="1:5" x14ac:dyDescent="0.2">
      <c r="A935">
        <v>928</v>
      </c>
      <c r="B935">
        <v>1025</v>
      </c>
      <c r="C935">
        <v>10</v>
      </c>
      <c r="D935">
        <v>-15.2</v>
      </c>
      <c r="E935">
        <v>1.2</v>
      </c>
    </row>
    <row r="936" spans="1:5" x14ac:dyDescent="0.2">
      <c r="A936">
        <v>929</v>
      </c>
      <c r="B936">
        <v>1030</v>
      </c>
      <c r="C936">
        <v>10</v>
      </c>
      <c r="D936">
        <v>-15.7</v>
      </c>
      <c r="E936">
        <v>1.2</v>
      </c>
    </row>
    <row r="937" spans="1:5" x14ac:dyDescent="0.2">
      <c r="A937">
        <v>930</v>
      </c>
      <c r="B937">
        <v>1035</v>
      </c>
      <c r="C937">
        <v>10</v>
      </c>
      <c r="D937">
        <v>-16.2</v>
      </c>
      <c r="E937">
        <v>1.2</v>
      </c>
    </row>
    <row r="938" spans="1:5" x14ac:dyDescent="0.2">
      <c r="A938">
        <v>931</v>
      </c>
      <c r="B938">
        <v>1039</v>
      </c>
      <c r="C938">
        <v>10</v>
      </c>
      <c r="D938">
        <v>-16.600000000000001</v>
      </c>
      <c r="E938">
        <v>1.2</v>
      </c>
    </row>
    <row r="939" spans="1:5" x14ac:dyDescent="0.2">
      <c r="A939">
        <v>932</v>
      </c>
      <c r="B939">
        <v>1042</v>
      </c>
      <c r="C939">
        <v>10</v>
      </c>
      <c r="D939">
        <v>-16.899999999999999</v>
      </c>
      <c r="E939">
        <v>1.2</v>
      </c>
    </row>
    <row r="940" spans="1:5" x14ac:dyDescent="0.2">
      <c r="A940">
        <v>933</v>
      </c>
      <c r="B940">
        <v>1044</v>
      </c>
      <c r="C940">
        <v>10</v>
      </c>
      <c r="D940">
        <v>-17</v>
      </c>
      <c r="E940">
        <v>1.2</v>
      </c>
    </row>
    <row r="941" spans="1:5" x14ac:dyDescent="0.2">
      <c r="A941">
        <v>934</v>
      </c>
      <c r="B941">
        <v>1046</v>
      </c>
      <c r="C941">
        <v>10</v>
      </c>
      <c r="D941">
        <v>-17</v>
      </c>
      <c r="E941">
        <v>1.2</v>
      </c>
    </row>
    <row r="942" spans="1:5" x14ac:dyDescent="0.2">
      <c r="A942">
        <v>935</v>
      </c>
      <c r="B942">
        <v>1046</v>
      </c>
      <c r="C942">
        <v>10</v>
      </c>
      <c r="D942">
        <v>-17</v>
      </c>
      <c r="E942">
        <v>1.2</v>
      </c>
    </row>
    <row r="943" spans="1:5" x14ac:dyDescent="0.2">
      <c r="A943">
        <v>936</v>
      </c>
      <c r="B943">
        <v>1047</v>
      </c>
      <c r="C943">
        <v>10</v>
      </c>
      <c r="D943">
        <v>-17</v>
      </c>
      <c r="E943">
        <v>1.2</v>
      </c>
    </row>
    <row r="944" spans="1:5" x14ac:dyDescent="0.2">
      <c r="A944">
        <v>937</v>
      </c>
      <c r="B944">
        <v>1048</v>
      </c>
      <c r="C944">
        <v>10</v>
      </c>
      <c r="D944">
        <v>-16.899999999999999</v>
      </c>
      <c r="E944">
        <v>1.2</v>
      </c>
    </row>
    <row r="945" spans="1:5" x14ac:dyDescent="0.2">
      <c r="A945">
        <v>938</v>
      </c>
      <c r="B945">
        <v>1049</v>
      </c>
      <c r="C945">
        <v>10</v>
      </c>
      <c r="D945">
        <v>-17</v>
      </c>
      <c r="E945">
        <v>1.2</v>
      </c>
    </row>
    <row r="946" spans="1:5" x14ac:dyDescent="0.2">
      <c r="A946">
        <v>939</v>
      </c>
      <c r="B946">
        <v>1050</v>
      </c>
      <c r="C946">
        <v>10</v>
      </c>
      <c r="D946">
        <v>-17</v>
      </c>
      <c r="E946">
        <v>1.2</v>
      </c>
    </row>
    <row r="947" spans="1:5" x14ac:dyDescent="0.2">
      <c r="A947">
        <v>940</v>
      </c>
      <c r="B947">
        <v>1051</v>
      </c>
      <c r="C947">
        <v>10</v>
      </c>
      <c r="D947">
        <v>-17</v>
      </c>
      <c r="E947">
        <v>1.3</v>
      </c>
    </row>
    <row r="948" spans="1:5" x14ac:dyDescent="0.2">
      <c r="A948">
        <v>941</v>
      </c>
      <c r="B948">
        <v>1052</v>
      </c>
      <c r="C948">
        <v>10</v>
      </c>
      <c r="D948">
        <v>-17</v>
      </c>
      <c r="E948">
        <v>1.3</v>
      </c>
    </row>
    <row r="949" spans="1:5" x14ac:dyDescent="0.2">
      <c r="A949">
        <v>942</v>
      </c>
      <c r="B949">
        <v>1051</v>
      </c>
      <c r="C949">
        <v>10</v>
      </c>
      <c r="D949">
        <v>-16.8</v>
      </c>
      <c r="E949">
        <v>1.3</v>
      </c>
    </row>
    <row r="950" spans="1:5" x14ac:dyDescent="0.2">
      <c r="A950">
        <v>943</v>
      </c>
      <c r="B950">
        <v>1050</v>
      </c>
      <c r="C950">
        <v>10</v>
      </c>
      <c r="D950">
        <v>-16.5</v>
      </c>
      <c r="E950">
        <v>1.3</v>
      </c>
    </row>
    <row r="951" spans="1:5" x14ac:dyDescent="0.2">
      <c r="A951">
        <v>944</v>
      </c>
      <c r="B951">
        <v>1047</v>
      </c>
      <c r="C951">
        <v>10</v>
      </c>
      <c r="D951">
        <v>-16</v>
      </c>
      <c r="E951">
        <v>1.3</v>
      </c>
    </row>
    <row r="952" spans="1:5" x14ac:dyDescent="0.2">
      <c r="A952">
        <v>945</v>
      </c>
      <c r="B952">
        <v>1044</v>
      </c>
      <c r="C952">
        <v>10</v>
      </c>
      <c r="D952">
        <v>-15.5</v>
      </c>
      <c r="E952">
        <v>1.3</v>
      </c>
    </row>
    <row r="953" spans="1:5" x14ac:dyDescent="0.2">
      <c r="A953">
        <v>946</v>
      </c>
      <c r="B953">
        <v>1040</v>
      </c>
      <c r="C953">
        <v>10</v>
      </c>
      <c r="D953">
        <v>-14.9</v>
      </c>
      <c r="E953">
        <v>1.3</v>
      </c>
    </row>
    <row r="954" spans="1:5" x14ac:dyDescent="0.2">
      <c r="A954">
        <v>947</v>
      </c>
      <c r="B954">
        <v>1036</v>
      </c>
      <c r="C954">
        <v>10</v>
      </c>
      <c r="D954">
        <v>-14.3</v>
      </c>
      <c r="E954">
        <v>1.2</v>
      </c>
    </row>
    <row r="955" spans="1:5" x14ac:dyDescent="0.2">
      <c r="A955">
        <v>948</v>
      </c>
      <c r="B955">
        <v>1033</v>
      </c>
      <c r="C955">
        <v>10</v>
      </c>
      <c r="D955">
        <v>-13.8</v>
      </c>
      <c r="E955">
        <v>1.2</v>
      </c>
    </row>
    <row r="956" spans="1:5" x14ac:dyDescent="0.2">
      <c r="A956">
        <v>949</v>
      </c>
      <c r="B956">
        <v>1030</v>
      </c>
      <c r="C956">
        <v>10</v>
      </c>
      <c r="D956">
        <v>-13.4</v>
      </c>
      <c r="E956">
        <v>1.2</v>
      </c>
    </row>
    <row r="957" spans="1:5" x14ac:dyDescent="0.2">
      <c r="A957">
        <v>950</v>
      </c>
      <c r="B957">
        <v>1028</v>
      </c>
      <c r="C957">
        <v>10</v>
      </c>
      <c r="D957">
        <v>-13</v>
      </c>
      <c r="E957">
        <v>1.2</v>
      </c>
    </row>
    <row r="958" spans="1:5" x14ac:dyDescent="0.2">
      <c r="A958">
        <v>951</v>
      </c>
      <c r="B958">
        <v>1027</v>
      </c>
      <c r="C958">
        <v>10</v>
      </c>
      <c r="D958">
        <v>-12.7</v>
      </c>
      <c r="E958">
        <v>1.2</v>
      </c>
    </row>
    <row r="959" spans="1:5" x14ac:dyDescent="0.2">
      <c r="A959">
        <v>952</v>
      </c>
      <c r="B959">
        <v>1027</v>
      </c>
      <c r="C959">
        <v>10</v>
      </c>
      <c r="D959">
        <v>-12.6</v>
      </c>
      <c r="E959">
        <v>1.2</v>
      </c>
    </row>
    <row r="960" spans="1:5" x14ac:dyDescent="0.2">
      <c r="A960">
        <v>953</v>
      </c>
      <c r="B960">
        <v>1030</v>
      </c>
      <c r="C960">
        <v>10</v>
      </c>
      <c r="D960">
        <v>-12.8</v>
      </c>
      <c r="E960">
        <v>1.2</v>
      </c>
    </row>
    <row r="961" spans="1:5" x14ac:dyDescent="0.2">
      <c r="A961">
        <v>954</v>
      </c>
      <c r="B961">
        <v>1035</v>
      </c>
      <c r="C961">
        <v>10</v>
      </c>
      <c r="D961">
        <v>-13.3</v>
      </c>
      <c r="E961">
        <v>1.2</v>
      </c>
    </row>
    <row r="962" spans="1:5" x14ac:dyDescent="0.2">
      <c r="A962">
        <v>955</v>
      </c>
      <c r="B962">
        <v>1043</v>
      </c>
      <c r="C962">
        <v>10</v>
      </c>
      <c r="D962">
        <v>-14.2</v>
      </c>
      <c r="E962">
        <v>1.2</v>
      </c>
    </row>
    <row r="963" spans="1:5" x14ac:dyDescent="0.2">
      <c r="A963">
        <v>956</v>
      </c>
      <c r="B963">
        <v>1054</v>
      </c>
      <c r="C963">
        <v>10</v>
      </c>
      <c r="D963">
        <v>-15.4</v>
      </c>
      <c r="E963">
        <v>1.2</v>
      </c>
    </row>
    <row r="964" spans="1:5" x14ac:dyDescent="0.2">
      <c r="A964">
        <v>957</v>
      </c>
      <c r="B964">
        <v>1066</v>
      </c>
      <c r="C964">
        <v>10</v>
      </c>
      <c r="D964">
        <v>-16.8</v>
      </c>
      <c r="E964">
        <v>1.2</v>
      </c>
    </row>
    <row r="965" spans="1:5" x14ac:dyDescent="0.2">
      <c r="A965">
        <v>958</v>
      </c>
      <c r="B965">
        <v>1077</v>
      </c>
      <c r="C965">
        <v>10</v>
      </c>
      <c r="D965">
        <v>-18</v>
      </c>
      <c r="E965">
        <v>1.2</v>
      </c>
    </row>
    <row r="966" spans="1:5" x14ac:dyDescent="0.2">
      <c r="A966">
        <v>959</v>
      </c>
      <c r="B966">
        <v>1085</v>
      </c>
      <c r="C966">
        <v>10</v>
      </c>
      <c r="D966">
        <v>-18.899999999999999</v>
      </c>
      <c r="E966">
        <v>1.2</v>
      </c>
    </row>
    <row r="967" spans="1:5" x14ac:dyDescent="0.2">
      <c r="A967">
        <v>960</v>
      </c>
      <c r="B967">
        <v>1091</v>
      </c>
      <c r="C967">
        <v>10</v>
      </c>
      <c r="D967">
        <v>-19.399999999999999</v>
      </c>
      <c r="E967">
        <v>1.2</v>
      </c>
    </row>
    <row r="968" spans="1:5" x14ac:dyDescent="0.2">
      <c r="A968">
        <v>961</v>
      </c>
      <c r="B968">
        <v>1094</v>
      </c>
      <c r="C968">
        <v>10</v>
      </c>
      <c r="D968">
        <v>-19.8</v>
      </c>
      <c r="E968">
        <v>1.2</v>
      </c>
    </row>
    <row r="969" spans="1:5" x14ac:dyDescent="0.2">
      <c r="A969">
        <v>962</v>
      </c>
      <c r="B969">
        <v>1096</v>
      </c>
      <c r="C969">
        <v>10</v>
      </c>
      <c r="D969">
        <v>-19.899999999999999</v>
      </c>
      <c r="E969">
        <v>1.2</v>
      </c>
    </row>
    <row r="970" spans="1:5" x14ac:dyDescent="0.2">
      <c r="A970">
        <v>963</v>
      </c>
      <c r="B970">
        <v>1097</v>
      </c>
      <c r="C970">
        <v>10</v>
      </c>
      <c r="D970">
        <v>-19.8</v>
      </c>
      <c r="E970">
        <v>1.2</v>
      </c>
    </row>
    <row r="971" spans="1:5" x14ac:dyDescent="0.2">
      <c r="A971">
        <v>964</v>
      </c>
      <c r="B971">
        <v>1096</v>
      </c>
      <c r="C971">
        <v>10</v>
      </c>
      <c r="D971">
        <v>-19.7</v>
      </c>
      <c r="E971">
        <v>1.2</v>
      </c>
    </row>
    <row r="972" spans="1:5" x14ac:dyDescent="0.2">
      <c r="A972">
        <v>965</v>
      </c>
      <c r="B972">
        <v>1095</v>
      </c>
      <c r="C972">
        <v>10</v>
      </c>
      <c r="D972">
        <v>-19.399999999999999</v>
      </c>
      <c r="E972">
        <v>1.2</v>
      </c>
    </row>
    <row r="973" spans="1:5" x14ac:dyDescent="0.2">
      <c r="A973">
        <v>966</v>
      </c>
      <c r="B973">
        <v>1094</v>
      </c>
      <c r="C973">
        <v>10</v>
      </c>
      <c r="D973">
        <v>-19.2</v>
      </c>
      <c r="E973">
        <v>1.2</v>
      </c>
    </row>
    <row r="974" spans="1:5" x14ac:dyDescent="0.2">
      <c r="A974">
        <v>967</v>
      </c>
      <c r="B974">
        <v>1093</v>
      </c>
      <c r="C974">
        <v>10</v>
      </c>
      <c r="D974">
        <v>-18.899999999999999</v>
      </c>
      <c r="E974">
        <v>1.2</v>
      </c>
    </row>
    <row r="975" spans="1:5" x14ac:dyDescent="0.2">
      <c r="A975">
        <v>968</v>
      </c>
      <c r="B975">
        <v>1092</v>
      </c>
      <c r="C975">
        <v>10</v>
      </c>
      <c r="D975">
        <v>-18.600000000000001</v>
      </c>
      <c r="E975">
        <v>1.2</v>
      </c>
    </row>
    <row r="976" spans="1:5" x14ac:dyDescent="0.2">
      <c r="A976">
        <v>969</v>
      </c>
      <c r="B976">
        <v>1091</v>
      </c>
      <c r="C976">
        <v>10</v>
      </c>
      <c r="D976">
        <v>-18.399999999999999</v>
      </c>
      <c r="E976">
        <v>1.2</v>
      </c>
    </row>
    <row r="977" spans="1:5" x14ac:dyDescent="0.2">
      <c r="A977">
        <v>970</v>
      </c>
      <c r="B977">
        <v>1091</v>
      </c>
      <c r="C977">
        <v>10</v>
      </c>
      <c r="D977">
        <v>-18.3</v>
      </c>
      <c r="E977">
        <v>1.2</v>
      </c>
    </row>
    <row r="978" spans="1:5" x14ac:dyDescent="0.2">
      <c r="A978">
        <v>971</v>
      </c>
      <c r="B978">
        <v>1093</v>
      </c>
      <c r="C978">
        <v>10</v>
      </c>
      <c r="D978">
        <v>-18.399999999999999</v>
      </c>
      <c r="E978">
        <v>1.2</v>
      </c>
    </row>
    <row r="979" spans="1:5" x14ac:dyDescent="0.2">
      <c r="A979">
        <v>972</v>
      </c>
      <c r="B979">
        <v>1096</v>
      </c>
      <c r="C979">
        <v>10</v>
      </c>
      <c r="D979">
        <v>-18.7</v>
      </c>
      <c r="E979">
        <v>1.2</v>
      </c>
    </row>
    <row r="980" spans="1:5" x14ac:dyDescent="0.2">
      <c r="A980">
        <v>973</v>
      </c>
      <c r="B980">
        <v>1100</v>
      </c>
      <c r="C980">
        <v>10</v>
      </c>
      <c r="D980">
        <v>-19</v>
      </c>
      <c r="E980">
        <v>1.2</v>
      </c>
    </row>
    <row r="981" spans="1:5" x14ac:dyDescent="0.2">
      <c r="A981">
        <v>974</v>
      </c>
      <c r="B981">
        <v>1104</v>
      </c>
      <c r="C981">
        <v>10</v>
      </c>
      <c r="D981">
        <v>-19.5</v>
      </c>
      <c r="E981">
        <v>1.2</v>
      </c>
    </row>
    <row r="982" spans="1:5" x14ac:dyDescent="0.2">
      <c r="A982">
        <v>975</v>
      </c>
      <c r="B982">
        <v>1109</v>
      </c>
      <c r="C982">
        <v>10</v>
      </c>
      <c r="D982">
        <v>-19.899999999999999</v>
      </c>
      <c r="E982">
        <v>1.2</v>
      </c>
    </row>
    <row r="983" spans="1:5" x14ac:dyDescent="0.2">
      <c r="A983">
        <v>976</v>
      </c>
      <c r="B983">
        <v>1113</v>
      </c>
      <c r="C983">
        <v>10</v>
      </c>
      <c r="D983">
        <v>-20.3</v>
      </c>
      <c r="E983">
        <v>1.2</v>
      </c>
    </row>
    <row r="984" spans="1:5" x14ac:dyDescent="0.2">
      <c r="A984">
        <v>977</v>
      </c>
      <c r="B984">
        <v>1116</v>
      </c>
      <c r="C984">
        <v>10</v>
      </c>
      <c r="D984">
        <v>-20.5</v>
      </c>
      <c r="E984">
        <v>1.2</v>
      </c>
    </row>
    <row r="985" spans="1:5" x14ac:dyDescent="0.2">
      <c r="A985">
        <v>978</v>
      </c>
      <c r="B985">
        <v>1118</v>
      </c>
      <c r="C985">
        <v>10</v>
      </c>
      <c r="D985">
        <v>-20.7</v>
      </c>
      <c r="E985">
        <v>1.3</v>
      </c>
    </row>
    <row r="986" spans="1:5" x14ac:dyDescent="0.2">
      <c r="A986">
        <v>979</v>
      </c>
      <c r="B986">
        <v>1119</v>
      </c>
      <c r="C986">
        <v>10</v>
      </c>
      <c r="D986">
        <v>-20.7</v>
      </c>
      <c r="E986">
        <v>1.3</v>
      </c>
    </row>
    <row r="987" spans="1:5" x14ac:dyDescent="0.2">
      <c r="A987">
        <v>980</v>
      </c>
      <c r="B987">
        <v>1119</v>
      </c>
      <c r="C987">
        <v>10</v>
      </c>
      <c r="D987">
        <v>-20.5</v>
      </c>
      <c r="E987">
        <v>1.3</v>
      </c>
    </row>
    <row r="988" spans="1:5" x14ac:dyDescent="0.2">
      <c r="A988">
        <v>981</v>
      </c>
      <c r="B988">
        <v>1118</v>
      </c>
      <c r="C988">
        <v>11</v>
      </c>
      <c r="D988">
        <v>-20.3</v>
      </c>
      <c r="E988">
        <v>1.3</v>
      </c>
    </row>
    <row r="989" spans="1:5" x14ac:dyDescent="0.2">
      <c r="A989">
        <v>982</v>
      </c>
      <c r="B989">
        <v>1116</v>
      </c>
      <c r="C989">
        <v>11</v>
      </c>
      <c r="D989">
        <v>-19.899999999999999</v>
      </c>
      <c r="E989">
        <v>1.3</v>
      </c>
    </row>
    <row r="990" spans="1:5" x14ac:dyDescent="0.2">
      <c r="A990">
        <v>983</v>
      </c>
      <c r="B990">
        <v>1115</v>
      </c>
      <c r="C990">
        <v>11</v>
      </c>
      <c r="D990">
        <v>-19.600000000000001</v>
      </c>
      <c r="E990">
        <v>1.3</v>
      </c>
    </row>
    <row r="991" spans="1:5" x14ac:dyDescent="0.2">
      <c r="A991">
        <v>984</v>
      </c>
      <c r="B991">
        <v>1113</v>
      </c>
      <c r="C991">
        <v>11</v>
      </c>
      <c r="D991">
        <v>-19.399999999999999</v>
      </c>
      <c r="E991">
        <v>1.4</v>
      </c>
    </row>
    <row r="992" spans="1:5" x14ac:dyDescent="0.2">
      <c r="A992">
        <v>985</v>
      </c>
      <c r="B992">
        <v>1113</v>
      </c>
      <c r="C992">
        <v>11</v>
      </c>
      <c r="D992">
        <v>-19.2</v>
      </c>
      <c r="E992">
        <v>1.4</v>
      </c>
    </row>
    <row r="993" spans="1:5" x14ac:dyDescent="0.2">
      <c r="A993">
        <v>986</v>
      </c>
      <c r="B993">
        <v>1112</v>
      </c>
      <c r="C993">
        <v>12</v>
      </c>
      <c r="D993">
        <v>-19</v>
      </c>
      <c r="E993">
        <v>1.5</v>
      </c>
    </row>
    <row r="994" spans="1:5" x14ac:dyDescent="0.2">
      <c r="A994">
        <v>987</v>
      </c>
      <c r="B994">
        <v>1112</v>
      </c>
      <c r="C994">
        <v>12</v>
      </c>
      <c r="D994">
        <v>-18.899999999999999</v>
      </c>
      <c r="E994">
        <v>1.5</v>
      </c>
    </row>
    <row r="995" spans="1:5" x14ac:dyDescent="0.2">
      <c r="A995">
        <v>988</v>
      </c>
      <c r="B995">
        <v>1112</v>
      </c>
      <c r="C995">
        <v>13</v>
      </c>
      <c r="D995">
        <v>-18.8</v>
      </c>
      <c r="E995">
        <v>1.5</v>
      </c>
    </row>
    <row r="996" spans="1:5" x14ac:dyDescent="0.2">
      <c r="A996">
        <v>989</v>
      </c>
      <c r="B996">
        <v>1113</v>
      </c>
      <c r="C996">
        <v>13</v>
      </c>
      <c r="D996">
        <v>-18.7</v>
      </c>
      <c r="E996">
        <v>1.5</v>
      </c>
    </row>
    <row r="997" spans="1:5" x14ac:dyDescent="0.2">
      <c r="A997">
        <v>990</v>
      </c>
      <c r="B997">
        <v>1113</v>
      </c>
      <c r="C997">
        <v>13</v>
      </c>
      <c r="D997">
        <v>-18.7</v>
      </c>
      <c r="E997">
        <v>1.5</v>
      </c>
    </row>
    <row r="998" spans="1:5" x14ac:dyDescent="0.2">
      <c r="A998">
        <v>991</v>
      </c>
      <c r="B998">
        <v>1114</v>
      </c>
      <c r="C998">
        <v>12</v>
      </c>
      <c r="D998">
        <v>-18.7</v>
      </c>
      <c r="E998">
        <v>1.5</v>
      </c>
    </row>
    <row r="999" spans="1:5" x14ac:dyDescent="0.2">
      <c r="A999">
        <v>992</v>
      </c>
      <c r="B999">
        <v>1115</v>
      </c>
      <c r="C999">
        <v>12</v>
      </c>
      <c r="D999">
        <v>-18.7</v>
      </c>
      <c r="E999">
        <v>1.5</v>
      </c>
    </row>
    <row r="1000" spans="1:5" x14ac:dyDescent="0.2">
      <c r="A1000">
        <v>993</v>
      </c>
      <c r="B1000">
        <v>1116</v>
      </c>
      <c r="C1000">
        <v>12</v>
      </c>
      <c r="D1000">
        <v>-18.7</v>
      </c>
      <c r="E1000">
        <v>1.4</v>
      </c>
    </row>
    <row r="1001" spans="1:5" x14ac:dyDescent="0.2">
      <c r="A1001">
        <v>994</v>
      </c>
      <c r="B1001">
        <v>1118</v>
      </c>
      <c r="C1001">
        <v>12</v>
      </c>
      <c r="D1001">
        <v>-18.7</v>
      </c>
      <c r="E1001">
        <v>1.4</v>
      </c>
    </row>
    <row r="1002" spans="1:5" x14ac:dyDescent="0.2">
      <c r="A1002">
        <v>995</v>
      </c>
      <c r="B1002">
        <v>1119</v>
      </c>
      <c r="C1002">
        <v>12</v>
      </c>
      <c r="D1002">
        <v>-18.8</v>
      </c>
      <c r="E1002">
        <v>1.4</v>
      </c>
    </row>
    <row r="1003" spans="1:5" x14ac:dyDescent="0.2">
      <c r="A1003">
        <v>996</v>
      </c>
      <c r="B1003">
        <v>1120</v>
      </c>
      <c r="C1003">
        <v>12</v>
      </c>
      <c r="D1003">
        <v>-18.8</v>
      </c>
      <c r="E1003">
        <v>1.4</v>
      </c>
    </row>
    <row r="1004" spans="1:5" x14ac:dyDescent="0.2">
      <c r="A1004">
        <v>997</v>
      </c>
      <c r="B1004">
        <v>1122</v>
      </c>
      <c r="C1004">
        <v>12</v>
      </c>
      <c r="D1004">
        <v>-18.899999999999999</v>
      </c>
      <c r="E1004">
        <v>1.5</v>
      </c>
    </row>
    <row r="1005" spans="1:5" x14ac:dyDescent="0.2">
      <c r="A1005">
        <v>998</v>
      </c>
      <c r="B1005">
        <v>1123</v>
      </c>
      <c r="C1005">
        <v>12</v>
      </c>
      <c r="D1005">
        <v>-19</v>
      </c>
      <c r="E1005">
        <v>1.5</v>
      </c>
    </row>
    <row r="1006" spans="1:5" x14ac:dyDescent="0.2">
      <c r="A1006">
        <v>999</v>
      </c>
      <c r="B1006">
        <v>1125</v>
      </c>
      <c r="C1006">
        <v>13</v>
      </c>
      <c r="D1006">
        <v>-19</v>
      </c>
      <c r="E1006">
        <v>1.6</v>
      </c>
    </row>
    <row r="1007" spans="1:5" x14ac:dyDescent="0.2">
      <c r="A1007">
        <v>1000</v>
      </c>
      <c r="B1007">
        <v>1126</v>
      </c>
      <c r="C1007">
        <v>13</v>
      </c>
      <c r="D1007">
        <v>-19.100000000000001</v>
      </c>
      <c r="E1007">
        <v>1.6</v>
      </c>
    </row>
    <row r="1008" spans="1:5" x14ac:dyDescent="0.2">
      <c r="A1008">
        <v>1001</v>
      </c>
      <c r="B1008">
        <v>1128</v>
      </c>
      <c r="C1008">
        <v>13</v>
      </c>
      <c r="D1008">
        <v>-19.100000000000001</v>
      </c>
      <c r="E1008">
        <v>1.6</v>
      </c>
    </row>
    <row r="1009" spans="1:5" x14ac:dyDescent="0.2">
      <c r="A1009">
        <v>1002</v>
      </c>
      <c r="B1009">
        <v>1129</v>
      </c>
      <c r="C1009">
        <v>13</v>
      </c>
      <c r="D1009">
        <v>-19.2</v>
      </c>
      <c r="E1009">
        <v>1.6</v>
      </c>
    </row>
    <row r="1010" spans="1:5" x14ac:dyDescent="0.2">
      <c r="A1010">
        <v>1003</v>
      </c>
      <c r="B1010">
        <v>1131</v>
      </c>
      <c r="C1010">
        <v>13</v>
      </c>
      <c r="D1010">
        <v>-19.2</v>
      </c>
      <c r="E1010">
        <v>1.6</v>
      </c>
    </row>
    <row r="1011" spans="1:5" x14ac:dyDescent="0.2">
      <c r="A1011">
        <v>1004</v>
      </c>
      <c r="B1011">
        <v>1132</v>
      </c>
      <c r="C1011">
        <v>14</v>
      </c>
      <c r="D1011">
        <v>-19.3</v>
      </c>
      <c r="E1011">
        <v>1.7</v>
      </c>
    </row>
    <row r="1012" spans="1:5" x14ac:dyDescent="0.2">
      <c r="A1012">
        <v>1005</v>
      </c>
      <c r="B1012">
        <v>1133</v>
      </c>
      <c r="C1012">
        <v>14</v>
      </c>
      <c r="D1012">
        <v>-19.3</v>
      </c>
      <c r="E1012">
        <v>1.7</v>
      </c>
    </row>
    <row r="1013" spans="1:5" x14ac:dyDescent="0.2">
      <c r="A1013">
        <v>1006</v>
      </c>
      <c r="B1013">
        <v>1134</v>
      </c>
      <c r="C1013">
        <v>13</v>
      </c>
      <c r="D1013">
        <v>-19.3</v>
      </c>
      <c r="E1013">
        <v>1.6</v>
      </c>
    </row>
    <row r="1014" spans="1:5" x14ac:dyDescent="0.2">
      <c r="A1014">
        <v>1007</v>
      </c>
      <c r="B1014">
        <v>1135</v>
      </c>
      <c r="C1014">
        <v>13</v>
      </c>
      <c r="D1014">
        <v>-19.3</v>
      </c>
      <c r="E1014">
        <v>1.6</v>
      </c>
    </row>
    <row r="1015" spans="1:5" x14ac:dyDescent="0.2">
      <c r="A1015">
        <v>1008</v>
      </c>
      <c r="B1015">
        <v>1136</v>
      </c>
      <c r="C1015">
        <v>13</v>
      </c>
      <c r="D1015">
        <v>-19.3</v>
      </c>
      <c r="E1015">
        <v>1.6</v>
      </c>
    </row>
    <row r="1016" spans="1:5" x14ac:dyDescent="0.2">
      <c r="A1016">
        <v>1009</v>
      </c>
      <c r="B1016">
        <v>1137</v>
      </c>
      <c r="C1016">
        <v>13</v>
      </c>
      <c r="D1016">
        <v>-19.3</v>
      </c>
      <c r="E1016">
        <v>1.6</v>
      </c>
    </row>
    <row r="1017" spans="1:5" x14ac:dyDescent="0.2">
      <c r="A1017">
        <v>1010</v>
      </c>
      <c r="B1017">
        <v>1138</v>
      </c>
      <c r="C1017">
        <v>13</v>
      </c>
      <c r="D1017">
        <v>-19.3</v>
      </c>
      <c r="E1017">
        <v>1.6</v>
      </c>
    </row>
    <row r="1018" spans="1:5" x14ac:dyDescent="0.2">
      <c r="A1018">
        <v>1011</v>
      </c>
      <c r="B1018">
        <v>1138</v>
      </c>
      <c r="C1018">
        <v>13</v>
      </c>
      <c r="D1018">
        <v>-19.2</v>
      </c>
      <c r="E1018">
        <v>1.6</v>
      </c>
    </row>
    <row r="1019" spans="1:5" x14ac:dyDescent="0.2">
      <c r="A1019">
        <v>1012</v>
      </c>
      <c r="B1019">
        <v>1139</v>
      </c>
      <c r="C1019">
        <v>13</v>
      </c>
      <c r="D1019">
        <v>-19.100000000000001</v>
      </c>
      <c r="E1019">
        <v>1.5</v>
      </c>
    </row>
    <row r="1020" spans="1:5" x14ac:dyDescent="0.2">
      <c r="A1020">
        <v>1013</v>
      </c>
      <c r="B1020">
        <v>1139</v>
      </c>
      <c r="C1020">
        <v>13</v>
      </c>
      <c r="D1020">
        <v>-19.100000000000001</v>
      </c>
      <c r="E1020">
        <v>1.5</v>
      </c>
    </row>
    <row r="1021" spans="1:5" x14ac:dyDescent="0.2">
      <c r="A1021">
        <v>1014</v>
      </c>
      <c r="B1021">
        <v>1139</v>
      </c>
      <c r="C1021">
        <v>13</v>
      </c>
      <c r="D1021">
        <v>-19</v>
      </c>
      <c r="E1021">
        <v>1.5</v>
      </c>
    </row>
    <row r="1022" spans="1:5" x14ac:dyDescent="0.2">
      <c r="A1022">
        <v>1015</v>
      </c>
      <c r="B1022">
        <v>1139</v>
      </c>
      <c r="C1022">
        <v>13</v>
      </c>
      <c r="D1022">
        <v>-18.8</v>
      </c>
      <c r="E1022">
        <v>1.5</v>
      </c>
    </row>
    <row r="1023" spans="1:5" x14ac:dyDescent="0.2">
      <c r="A1023">
        <v>1016</v>
      </c>
      <c r="B1023">
        <v>1139</v>
      </c>
      <c r="C1023">
        <v>13</v>
      </c>
      <c r="D1023">
        <v>-18.7</v>
      </c>
      <c r="E1023">
        <v>1.6</v>
      </c>
    </row>
    <row r="1024" spans="1:5" x14ac:dyDescent="0.2">
      <c r="A1024">
        <v>1017</v>
      </c>
      <c r="B1024">
        <v>1138</v>
      </c>
      <c r="C1024">
        <v>13</v>
      </c>
      <c r="D1024">
        <v>-18.5</v>
      </c>
      <c r="E1024">
        <v>1.6</v>
      </c>
    </row>
    <row r="1025" spans="1:5" x14ac:dyDescent="0.2">
      <c r="A1025">
        <v>1018</v>
      </c>
      <c r="B1025">
        <v>1138</v>
      </c>
      <c r="C1025">
        <v>13</v>
      </c>
      <c r="D1025">
        <v>-18.3</v>
      </c>
      <c r="E1025">
        <v>1.6</v>
      </c>
    </row>
    <row r="1026" spans="1:5" x14ac:dyDescent="0.2">
      <c r="A1026">
        <v>1019</v>
      </c>
      <c r="B1026">
        <v>1137</v>
      </c>
      <c r="C1026">
        <v>13</v>
      </c>
      <c r="D1026">
        <v>-18.100000000000001</v>
      </c>
      <c r="E1026">
        <v>1.6</v>
      </c>
    </row>
    <row r="1027" spans="1:5" x14ac:dyDescent="0.2">
      <c r="A1027">
        <v>1020</v>
      </c>
      <c r="B1027">
        <v>1136</v>
      </c>
      <c r="C1027">
        <v>13</v>
      </c>
      <c r="D1027">
        <v>-17.899999999999999</v>
      </c>
      <c r="E1027">
        <v>1.6</v>
      </c>
    </row>
    <row r="1028" spans="1:5" x14ac:dyDescent="0.2">
      <c r="A1028">
        <v>1021</v>
      </c>
      <c r="B1028">
        <v>1135</v>
      </c>
      <c r="C1028">
        <v>13</v>
      </c>
      <c r="D1028">
        <v>-17.600000000000001</v>
      </c>
      <c r="E1028">
        <v>1.6</v>
      </c>
    </row>
    <row r="1029" spans="1:5" x14ac:dyDescent="0.2">
      <c r="A1029">
        <v>1022</v>
      </c>
      <c r="B1029">
        <v>1134</v>
      </c>
      <c r="C1029">
        <v>13</v>
      </c>
      <c r="D1029">
        <v>-17.3</v>
      </c>
      <c r="E1029">
        <v>1.6</v>
      </c>
    </row>
    <row r="1030" spans="1:5" x14ac:dyDescent="0.2">
      <c r="A1030">
        <v>1023</v>
      </c>
      <c r="B1030">
        <v>1132</v>
      </c>
      <c r="C1030">
        <v>13</v>
      </c>
      <c r="D1030">
        <v>-17</v>
      </c>
      <c r="E1030">
        <v>1.6</v>
      </c>
    </row>
    <row r="1031" spans="1:5" x14ac:dyDescent="0.2">
      <c r="A1031">
        <v>1024</v>
      </c>
      <c r="B1031">
        <v>1130</v>
      </c>
      <c r="C1031">
        <v>13</v>
      </c>
      <c r="D1031">
        <v>-16.7</v>
      </c>
      <c r="E1031">
        <v>1.6</v>
      </c>
    </row>
    <row r="1032" spans="1:5" x14ac:dyDescent="0.2">
      <c r="A1032">
        <v>1025</v>
      </c>
      <c r="B1032">
        <v>1128</v>
      </c>
      <c r="C1032">
        <v>13</v>
      </c>
      <c r="D1032">
        <v>-16.3</v>
      </c>
      <c r="E1032">
        <v>1.6</v>
      </c>
    </row>
    <row r="1033" spans="1:5" x14ac:dyDescent="0.2">
      <c r="A1033">
        <v>1026</v>
      </c>
      <c r="B1033">
        <v>1126</v>
      </c>
      <c r="C1033">
        <v>13</v>
      </c>
      <c r="D1033">
        <v>-16</v>
      </c>
      <c r="E1033">
        <v>1.6</v>
      </c>
    </row>
    <row r="1034" spans="1:5" x14ac:dyDescent="0.2">
      <c r="A1034">
        <v>1027</v>
      </c>
      <c r="B1034">
        <v>1124</v>
      </c>
      <c r="C1034">
        <v>13</v>
      </c>
      <c r="D1034">
        <v>-15.6</v>
      </c>
      <c r="E1034">
        <v>1.5</v>
      </c>
    </row>
    <row r="1035" spans="1:5" x14ac:dyDescent="0.2">
      <c r="A1035">
        <v>1028</v>
      </c>
      <c r="B1035">
        <v>1122</v>
      </c>
      <c r="C1035">
        <v>12</v>
      </c>
      <c r="D1035">
        <v>-15.2</v>
      </c>
      <c r="E1035">
        <v>1.5</v>
      </c>
    </row>
    <row r="1036" spans="1:5" x14ac:dyDescent="0.2">
      <c r="A1036">
        <v>1029</v>
      </c>
      <c r="B1036">
        <v>1120</v>
      </c>
      <c r="C1036">
        <v>12</v>
      </c>
      <c r="D1036">
        <v>-14.8</v>
      </c>
      <c r="E1036">
        <v>1.5</v>
      </c>
    </row>
    <row r="1037" spans="1:5" x14ac:dyDescent="0.2">
      <c r="A1037">
        <v>1030</v>
      </c>
      <c r="B1037">
        <v>1118</v>
      </c>
      <c r="C1037">
        <v>12</v>
      </c>
      <c r="D1037">
        <v>-14.5</v>
      </c>
      <c r="E1037">
        <v>1.5</v>
      </c>
    </row>
    <row r="1038" spans="1:5" x14ac:dyDescent="0.2">
      <c r="A1038">
        <v>1031</v>
      </c>
      <c r="B1038">
        <v>1116</v>
      </c>
      <c r="C1038">
        <v>12</v>
      </c>
      <c r="D1038">
        <v>-14.1</v>
      </c>
      <c r="E1038">
        <v>1.5</v>
      </c>
    </row>
    <row r="1039" spans="1:5" x14ac:dyDescent="0.2">
      <c r="A1039">
        <v>1032</v>
      </c>
      <c r="B1039">
        <v>1114</v>
      </c>
      <c r="C1039">
        <v>12</v>
      </c>
      <c r="D1039">
        <v>-13.7</v>
      </c>
      <c r="E1039">
        <v>1.5</v>
      </c>
    </row>
    <row r="1040" spans="1:5" x14ac:dyDescent="0.2">
      <c r="A1040">
        <v>1033</v>
      </c>
      <c r="B1040">
        <v>1112</v>
      </c>
      <c r="C1040">
        <v>12</v>
      </c>
      <c r="D1040">
        <v>-13.3</v>
      </c>
      <c r="E1040">
        <v>1.5</v>
      </c>
    </row>
    <row r="1041" spans="1:5" x14ac:dyDescent="0.2">
      <c r="A1041">
        <v>1034</v>
      </c>
      <c r="B1041">
        <v>1110</v>
      </c>
      <c r="C1041">
        <v>12</v>
      </c>
      <c r="D1041">
        <v>-13</v>
      </c>
      <c r="E1041">
        <v>1.4</v>
      </c>
    </row>
    <row r="1042" spans="1:5" x14ac:dyDescent="0.2">
      <c r="A1042">
        <v>1035</v>
      </c>
      <c r="B1042">
        <v>1108</v>
      </c>
      <c r="C1042">
        <v>12</v>
      </c>
      <c r="D1042">
        <v>-12.6</v>
      </c>
      <c r="E1042">
        <v>1.5</v>
      </c>
    </row>
    <row r="1043" spans="1:5" x14ac:dyDescent="0.2">
      <c r="A1043">
        <v>1036</v>
      </c>
      <c r="B1043">
        <v>1106</v>
      </c>
      <c r="C1043">
        <v>12</v>
      </c>
      <c r="D1043">
        <v>-12.3</v>
      </c>
      <c r="E1043">
        <v>1.5</v>
      </c>
    </row>
    <row r="1044" spans="1:5" x14ac:dyDescent="0.2">
      <c r="A1044">
        <v>1037</v>
      </c>
      <c r="B1044">
        <v>1105</v>
      </c>
      <c r="C1044">
        <v>12</v>
      </c>
      <c r="D1044">
        <v>-12</v>
      </c>
      <c r="E1044">
        <v>1.5</v>
      </c>
    </row>
    <row r="1045" spans="1:5" x14ac:dyDescent="0.2">
      <c r="A1045">
        <v>1038</v>
      </c>
      <c r="B1045">
        <v>1103</v>
      </c>
      <c r="C1045">
        <v>12</v>
      </c>
      <c r="D1045">
        <v>-11.7</v>
      </c>
      <c r="E1045">
        <v>1.5</v>
      </c>
    </row>
    <row r="1046" spans="1:5" x14ac:dyDescent="0.2">
      <c r="A1046">
        <v>1039</v>
      </c>
      <c r="B1046">
        <v>1102</v>
      </c>
      <c r="C1046">
        <v>12</v>
      </c>
      <c r="D1046">
        <v>-11.5</v>
      </c>
      <c r="E1046">
        <v>1.5</v>
      </c>
    </row>
    <row r="1047" spans="1:5" x14ac:dyDescent="0.2">
      <c r="A1047">
        <v>1040</v>
      </c>
      <c r="B1047">
        <v>1102</v>
      </c>
      <c r="C1047">
        <v>12</v>
      </c>
      <c r="D1047">
        <v>-11.3</v>
      </c>
      <c r="E1047">
        <v>1.5</v>
      </c>
    </row>
    <row r="1048" spans="1:5" x14ac:dyDescent="0.2">
      <c r="A1048">
        <v>1041</v>
      </c>
      <c r="B1048">
        <v>1101</v>
      </c>
      <c r="C1048">
        <v>12</v>
      </c>
      <c r="D1048">
        <v>-11.1</v>
      </c>
      <c r="E1048">
        <v>1.5</v>
      </c>
    </row>
    <row r="1049" spans="1:5" x14ac:dyDescent="0.2">
      <c r="A1049">
        <v>1042</v>
      </c>
      <c r="B1049">
        <v>1101</v>
      </c>
      <c r="C1049">
        <v>13</v>
      </c>
      <c r="D1049">
        <v>-10.9</v>
      </c>
      <c r="E1049">
        <v>1.5</v>
      </c>
    </row>
    <row r="1050" spans="1:5" x14ac:dyDescent="0.2">
      <c r="A1050">
        <v>1043</v>
      </c>
      <c r="B1050">
        <v>1101</v>
      </c>
      <c r="C1050">
        <v>13</v>
      </c>
      <c r="D1050">
        <v>-10.8</v>
      </c>
      <c r="E1050">
        <v>1.6</v>
      </c>
    </row>
    <row r="1051" spans="1:5" x14ac:dyDescent="0.2">
      <c r="A1051">
        <v>1044</v>
      </c>
      <c r="B1051">
        <v>1101</v>
      </c>
      <c r="C1051">
        <v>13</v>
      </c>
      <c r="D1051">
        <v>-10.7</v>
      </c>
      <c r="E1051">
        <v>1.6</v>
      </c>
    </row>
    <row r="1052" spans="1:5" x14ac:dyDescent="0.2">
      <c r="A1052">
        <v>1045</v>
      </c>
      <c r="B1052">
        <v>1102</v>
      </c>
      <c r="C1052">
        <v>13</v>
      </c>
      <c r="D1052">
        <v>-10.7</v>
      </c>
      <c r="E1052">
        <v>1.6</v>
      </c>
    </row>
    <row r="1053" spans="1:5" x14ac:dyDescent="0.2">
      <c r="A1053">
        <v>1046</v>
      </c>
      <c r="B1053">
        <v>1103</v>
      </c>
      <c r="C1053">
        <v>13</v>
      </c>
      <c r="D1053">
        <v>-10.7</v>
      </c>
      <c r="E1053">
        <v>1.6</v>
      </c>
    </row>
    <row r="1054" spans="1:5" x14ac:dyDescent="0.2">
      <c r="A1054">
        <v>1047</v>
      </c>
      <c r="B1054">
        <v>1105</v>
      </c>
      <c r="C1054">
        <v>13</v>
      </c>
      <c r="D1054">
        <v>-10.8</v>
      </c>
      <c r="E1054">
        <v>1.6</v>
      </c>
    </row>
    <row r="1055" spans="1:5" x14ac:dyDescent="0.2">
      <c r="A1055">
        <v>1048</v>
      </c>
      <c r="B1055">
        <v>1106</v>
      </c>
      <c r="C1055">
        <v>13</v>
      </c>
      <c r="D1055">
        <v>-10.9</v>
      </c>
      <c r="E1055">
        <v>1.5</v>
      </c>
    </row>
    <row r="1056" spans="1:5" x14ac:dyDescent="0.2">
      <c r="A1056">
        <v>1049</v>
      </c>
      <c r="B1056">
        <v>1109</v>
      </c>
      <c r="C1056">
        <v>12</v>
      </c>
      <c r="D1056">
        <v>-11.1</v>
      </c>
      <c r="E1056">
        <v>1.5</v>
      </c>
    </row>
    <row r="1057" spans="1:5" x14ac:dyDescent="0.2">
      <c r="A1057">
        <v>1050</v>
      </c>
      <c r="B1057">
        <v>1111</v>
      </c>
      <c r="C1057">
        <v>12</v>
      </c>
      <c r="D1057">
        <v>-11.2</v>
      </c>
      <c r="E1057">
        <v>1.5</v>
      </c>
    </row>
    <row r="1058" spans="1:5" x14ac:dyDescent="0.2">
      <c r="A1058">
        <v>1051</v>
      </c>
      <c r="B1058">
        <v>1114</v>
      </c>
      <c r="C1058">
        <v>12</v>
      </c>
      <c r="D1058">
        <v>-11.5</v>
      </c>
      <c r="E1058">
        <v>1.5</v>
      </c>
    </row>
    <row r="1059" spans="1:5" x14ac:dyDescent="0.2">
      <c r="A1059">
        <v>1052</v>
      </c>
      <c r="B1059">
        <v>1117</v>
      </c>
      <c r="C1059">
        <v>12</v>
      </c>
      <c r="D1059">
        <v>-11.7</v>
      </c>
      <c r="E1059">
        <v>1.5</v>
      </c>
    </row>
    <row r="1060" spans="1:5" x14ac:dyDescent="0.2">
      <c r="A1060">
        <v>1053</v>
      </c>
      <c r="B1060">
        <v>1120</v>
      </c>
      <c r="C1060">
        <v>12</v>
      </c>
      <c r="D1060">
        <v>-12</v>
      </c>
      <c r="E1060">
        <v>1.5</v>
      </c>
    </row>
    <row r="1061" spans="1:5" x14ac:dyDescent="0.2">
      <c r="A1061">
        <v>1054</v>
      </c>
      <c r="B1061">
        <v>1124</v>
      </c>
      <c r="C1061">
        <v>12</v>
      </c>
      <c r="D1061">
        <v>-12.3</v>
      </c>
      <c r="E1061">
        <v>1.5</v>
      </c>
    </row>
    <row r="1062" spans="1:5" x14ac:dyDescent="0.2">
      <c r="A1062">
        <v>1055</v>
      </c>
      <c r="B1062">
        <v>1127</v>
      </c>
      <c r="C1062">
        <v>12</v>
      </c>
      <c r="D1062">
        <v>-12.6</v>
      </c>
      <c r="E1062">
        <v>1.5</v>
      </c>
    </row>
    <row r="1063" spans="1:5" x14ac:dyDescent="0.2">
      <c r="A1063">
        <v>1056</v>
      </c>
      <c r="B1063">
        <v>1131</v>
      </c>
      <c r="C1063">
        <v>12</v>
      </c>
      <c r="D1063">
        <v>-13</v>
      </c>
      <c r="E1063">
        <v>1.5</v>
      </c>
    </row>
    <row r="1064" spans="1:5" x14ac:dyDescent="0.2">
      <c r="A1064">
        <v>1057</v>
      </c>
      <c r="B1064">
        <v>1135</v>
      </c>
      <c r="C1064">
        <v>12</v>
      </c>
      <c r="D1064">
        <v>-13.3</v>
      </c>
      <c r="E1064">
        <v>1.5</v>
      </c>
    </row>
    <row r="1065" spans="1:5" x14ac:dyDescent="0.2">
      <c r="A1065">
        <v>1058</v>
      </c>
      <c r="B1065">
        <v>1139</v>
      </c>
      <c r="C1065">
        <v>12</v>
      </c>
      <c r="D1065">
        <v>-13.7</v>
      </c>
      <c r="E1065">
        <v>1.5</v>
      </c>
    </row>
    <row r="1066" spans="1:5" x14ac:dyDescent="0.2">
      <c r="A1066">
        <v>1059</v>
      </c>
      <c r="B1066">
        <v>1143</v>
      </c>
      <c r="C1066">
        <v>12</v>
      </c>
      <c r="D1066">
        <v>-14</v>
      </c>
      <c r="E1066">
        <v>1.5</v>
      </c>
    </row>
    <row r="1067" spans="1:5" x14ac:dyDescent="0.2">
      <c r="A1067">
        <v>1060</v>
      </c>
      <c r="B1067">
        <v>1147</v>
      </c>
      <c r="C1067">
        <v>12</v>
      </c>
      <c r="D1067">
        <v>-14.4</v>
      </c>
      <c r="E1067">
        <v>1.5</v>
      </c>
    </row>
    <row r="1068" spans="1:5" x14ac:dyDescent="0.2">
      <c r="A1068">
        <v>1061</v>
      </c>
      <c r="B1068">
        <v>1151</v>
      </c>
      <c r="C1068">
        <v>13</v>
      </c>
      <c r="D1068">
        <v>-14.8</v>
      </c>
      <c r="E1068">
        <v>1.6</v>
      </c>
    </row>
    <row r="1069" spans="1:5" x14ac:dyDescent="0.2">
      <c r="A1069">
        <v>1062</v>
      </c>
      <c r="B1069">
        <v>1155</v>
      </c>
      <c r="C1069">
        <v>13</v>
      </c>
      <c r="D1069">
        <v>-15.2</v>
      </c>
      <c r="E1069">
        <v>1.6</v>
      </c>
    </row>
    <row r="1070" spans="1:5" x14ac:dyDescent="0.2">
      <c r="A1070">
        <v>1063</v>
      </c>
      <c r="B1070">
        <v>1159</v>
      </c>
      <c r="C1070">
        <v>13</v>
      </c>
      <c r="D1070">
        <v>-15.5</v>
      </c>
      <c r="E1070">
        <v>1.6</v>
      </c>
    </row>
    <row r="1071" spans="1:5" x14ac:dyDescent="0.2">
      <c r="A1071">
        <v>1064</v>
      </c>
      <c r="B1071">
        <v>1163</v>
      </c>
      <c r="C1071">
        <v>14</v>
      </c>
      <c r="D1071">
        <v>-15.9</v>
      </c>
      <c r="E1071">
        <v>1.7</v>
      </c>
    </row>
    <row r="1072" spans="1:5" x14ac:dyDescent="0.2">
      <c r="A1072">
        <v>1065</v>
      </c>
      <c r="B1072">
        <v>1166</v>
      </c>
      <c r="C1072">
        <v>14</v>
      </c>
      <c r="D1072">
        <v>-16.3</v>
      </c>
      <c r="E1072">
        <v>1.7</v>
      </c>
    </row>
    <row r="1073" spans="1:5" x14ac:dyDescent="0.2">
      <c r="A1073">
        <v>1066</v>
      </c>
      <c r="B1073">
        <v>1170</v>
      </c>
      <c r="C1073">
        <v>14</v>
      </c>
      <c r="D1073">
        <v>-16.600000000000001</v>
      </c>
      <c r="E1073">
        <v>1.7</v>
      </c>
    </row>
    <row r="1074" spans="1:5" x14ac:dyDescent="0.2">
      <c r="A1074">
        <v>1067</v>
      </c>
      <c r="B1074">
        <v>1174</v>
      </c>
      <c r="C1074">
        <v>14</v>
      </c>
      <c r="D1074">
        <v>-16.899999999999999</v>
      </c>
      <c r="E1074">
        <v>1.7</v>
      </c>
    </row>
    <row r="1075" spans="1:5" x14ac:dyDescent="0.2">
      <c r="A1075">
        <v>1068</v>
      </c>
      <c r="B1075">
        <v>1177</v>
      </c>
      <c r="C1075">
        <v>14</v>
      </c>
      <c r="D1075">
        <v>-17.2</v>
      </c>
      <c r="E1075">
        <v>1.8</v>
      </c>
    </row>
    <row r="1076" spans="1:5" x14ac:dyDescent="0.2">
      <c r="A1076">
        <v>1069</v>
      </c>
      <c r="B1076">
        <v>1180</v>
      </c>
      <c r="C1076">
        <v>14</v>
      </c>
      <c r="D1076">
        <v>-17.5</v>
      </c>
      <c r="E1076">
        <v>1.8</v>
      </c>
    </row>
    <row r="1077" spans="1:5" x14ac:dyDescent="0.2">
      <c r="A1077">
        <v>1070</v>
      </c>
      <c r="B1077">
        <v>1183</v>
      </c>
      <c r="C1077">
        <v>14</v>
      </c>
      <c r="D1077">
        <v>-17.7</v>
      </c>
      <c r="E1077">
        <v>1.8</v>
      </c>
    </row>
    <row r="1078" spans="1:5" x14ac:dyDescent="0.2">
      <c r="A1078">
        <v>1071</v>
      </c>
      <c r="B1078">
        <v>1186</v>
      </c>
      <c r="C1078">
        <v>14</v>
      </c>
      <c r="D1078">
        <v>-17.899999999999999</v>
      </c>
      <c r="E1078">
        <v>1.8</v>
      </c>
    </row>
    <row r="1079" spans="1:5" x14ac:dyDescent="0.2">
      <c r="A1079">
        <v>1072</v>
      </c>
      <c r="B1079">
        <v>1188</v>
      </c>
      <c r="C1079">
        <v>14</v>
      </c>
      <c r="D1079">
        <v>-18.100000000000001</v>
      </c>
      <c r="E1079">
        <v>1.8</v>
      </c>
    </row>
    <row r="1080" spans="1:5" x14ac:dyDescent="0.2">
      <c r="A1080">
        <v>1073</v>
      </c>
      <c r="B1080">
        <v>1191</v>
      </c>
      <c r="C1080">
        <v>14</v>
      </c>
      <c r="D1080">
        <v>-18.3</v>
      </c>
      <c r="E1080">
        <v>1.7</v>
      </c>
    </row>
    <row r="1081" spans="1:5" x14ac:dyDescent="0.2">
      <c r="A1081">
        <v>1074</v>
      </c>
      <c r="B1081">
        <v>1193</v>
      </c>
      <c r="C1081">
        <v>14</v>
      </c>
      <c r="D1081">
        <v>-18.399999999999999</v>
      </c>
      <c r="E1081">
        <v>1.7</v>
      </c>
    </row>
    <row r="1082" spans="1:5" x14ac:dyDescent="0.2">
      <c r="A1082">
        <v>1075</v>
      </c>
      <c r="B1082">
        <v>1195</v>
      </c>
      <c r="C1082">
        <v>14</v>
      </c>
      <c r="D1082">
        <v>-18.5</v>
      </c>
      <c r="E1082">
        <v>1.7</v>
      </c>
    </row>
    <row r="1083" spans="1:5" x14ac:dyDescent="0.2">
      <c r="A1083">
        <v>1076</v>
      </c>
      <c r="B1083">
        <v>1196</v>
      </c>
      <c r="C1083">
        <v>14</v>
      </c>
      <c r="D1083">
        <v>-18.600000000000001</v>
      </c>
      <c r="E1083">
        <v>1.7</v>
      </c>
    </row>
    <row r="1084" spans="1:5" x14ac:dyDescent="0.2">
      <c r="A1084">
        <v>1077</v>
      </c>
      <c r="B1084">
        <v>1198</v>
      </c>
      <c r="C1084">
        <v>14</v>
      </c>
      <c r="D1084">
        <v>-18.600000000000001</v>
      </c>
      <c r="E1084">
        <v>1.7</v>
      </c>
    </row>
    <row r="1085" spans="1:5" x14ac:dyDescent="0.2">
      <c r="A1085">
        <v>1078</v>
      </c>
      <c r="B1085">
        <v>1199</v>
      </c>
      <c r="C1085">
        <v>13</v>
      </c>
      <c r="D1085">
        <v>-18.600000000000001</v>
      </c>
      <c r="E1085">
        <v>1.6</v>
      </c>
    </row>
    <row r="1086" spans="1:5" x14ac:dyDescent="0.2">
      <c r="A1086">
        <v>1079</v>
      </c>
      <c r="B1086">
        <v>1200</v>
      </c>
      <c r="C1086">
        <v>13</v>
      </c>
      <c r="D1086">
        <v>-18.7</v>
      </c>
      <c r="E1086">
        <v>1.6</v>
      </c>
    </row>
    <row r="1087" spans="1:5" x14ac:dyDescent="0.2">
      <c r="A1087">
        <v>1080</v>
      </c>
      <c r="B1087">
        <v>1201</v>
      </c>
      <c r="C1087">
        <v>13</v>
      </c>
      <c r="D1087">
        <v>-18.600000000000001</v>
      </c>
      <c r="E1087">
        <v>1.6</v>
      </c>
    </row>
    <row r="1088" spans="1:5" x14ac:dyDescent="0.2">
      <c r="A1088">
        <v>1081</v>
      </c>
      <c r="B1088">
        <v>1201</v>
      </c>
      <c r="C1088">
        <v>13</v>
      </c>
      <c r="D1088">
        <v>-18.600000000000001</v>
      </c>
      <c r="E1088">
        <v>1.6</v>
      </c>
    </row>
    <row r="1089" spans="1:5" x14ac:dyDescent="0.2">
      <c r="A1089">
        <v>1082</v>
      </c>
      <c r="B1089">
        <v>1202</v>
      </c>
      <c r="C1089">
        <v>13</v>
      </c>
      <c r="D1089">
        <v>-18.5</v>
      </c>
      <c r="E1089">
        <v>1.6</v>
      </c>
    </row>
    <row r="1090" spans="1:5" x14ac:dyDescent="0.2">
      <c r="A1090">
        <v>1083</v>
      </c>
      <c r="B1090">
        <v>1202</v>
      </c>
      <c r="C1090">
        <v>13</v>
      </c>
      <c r="D1090">
        <v>-18.5</v>
      </c>
      <c r="E1090">
        <v>1.6</v>
      </c>
    </row>
    <row r="1091" spans="1:5" x14ac:dyDescent="0.2">
      <c r="A1091">
        <v>1084</v>
      </c>
      <c r="B1091">
        <v>1202</v>
      </c>
      <c r="C1091">
        <v>13</v>
      </c>
      <c r="D1091">
        <v>-18.399999999999999</v>
      </c>
      <c r="E1091">
        <v>1.6</v>
      </c>
    </row>
    <row r="1092" spans="1:5" x14ac:dyDescent="0.2">
      <c r="A1092">
        <v>1085</v>
      </c>
      <c r="B1092">
        <v>1202</v>
      </c>
      <c r="C1092">
        <v>13</v>
      </c>
      <c r="D1092">
        <v>-18.3</v>
      </c>
      <c r="E1092">
        <v>1.6</v>
      </c>
    </row>
    <row r="1093" spans="1:5" x14ac:dyDescent="0.2">
      <c r="A1093">
        <v>1086</v>
      </c>
      <c r="B1093">
        <v>1202</v>
      </c>
      <c r="C1093">
        <v>13</v>
      </c>
      <c r="D1093">
        <v>-18.100000000000001</v>
      </c>
      <c r="E1093">
        <v>1.6</v>
      </c>
    </row>
    <row r="1094" spans="1:5" x14ac:dyDescent="0.2">
      <c r="A1094">
        <v>1087</v>
      </c>
      <c r="B1094">
        <v>1202</v>
      </c>
      <c r="C1094">
        <v>13</v>
      </c>
      <c r="D1094">
        <v>-18</v>
      </c>
      <c r="E1094">
        <v>1.6</v>
      </c>
    </row>
    <row r="1095" spans="1:5" x14ac:dyDescent="0.2">
      <c r="A1095">
        <v>1088</v>
      </c>
      <c r="B1095">
        <v>1202</v>
      </c>
      <c r="C1095">
        <v>14</v>
      </c>
      <c r="D1095">
        <v>-17.899999999999999</v>
      </c>
      <c r="E1095">
        <v>1.7</v>
      </c>
    </row>
    <row r="1096" spans="1:5" x14ac:dyDescent="0.2">
      <c r="A1096">
        <v>1089</v>
      </c>
      <c r="B1096">
        <v>1202</v>
      </c>
      <c r="C1096">
        <v>14</v>
      </c>
      <c r="D1096">
        <v>-17.7</v>
      </c>
      <c r="E1096">
        <v>1.7</v>
      </c>
    </row>
    <row r="1097" spans="1:5" x14ac:dyDescent="0.2">
      <c r="A1097">
        <v>1090</v>
      </c>
      <c r="B1097">
        <v>1201</v>
      </c>
      <c r="C1097">
        <v>14</v>
      </c>
      <c r="D1097">
        <v>-17.5</v>
      </c>
      <c r="E1097">
        <v>1.7</v>
      </c>
    </row>
    <row r="1098" spans="1:5" x14ac:dyDescent="0.2">
      <c r="A1098">
        <v>1091</v>
      </c>
      <c r="B1098">
        <v>1201</v>
      </c>
      <c r="C1098">
        <v>14</v>
      </c>
      <c r="D1098">
        <v>-17.3</v>
      </c>
      <c r="E1098">
        <v>1.7</v>
      </c>
    </row>
    <row r="1099" spans="1:5" x14ac:dyDescent="0.2">
      <c r="A1099">
        <v>1092</v>
      </c>
      <c r="B1099">
        <v>1200</v>
      </c>
      <c r="C1099">
        <v>14</v>
      </c>
      <c r="D1099">
        <v>-17.100000000000001</v>
      </c>
      <c r="E1099">
        <v>1.7</v>
      </c>
    </row>
    <row r="1100" spans="1:5" x14ac:dyDescent="0.2">
      <c r="A1100">
        <v>1093</v>
      </c>
      <c r="B1100">
        <v>1199</v>
      </c>
      <c r="C1100">
        <v>14</v>
      </c>
      <c r="D1100">
        <v>-16.899999999999999</v>
      </c>
      <c r="E1100">
        <v>1.7</v>
      </c>
    </row>
    <row r="1101" spans="1:5" x14ac:dyDescent="0.2">
      <c r="A1101">
        <v>1094</v>
      </c>
      <c r="B1101">
        <v>1199</v>
      </c>
      <c r="C1101">
        <v>14</v>
      </c>
      <c r="D1101">
        <v>-16.7</v>
      </c>
      <c r="E1101">
        <v>1.7</v>
      </c>
    </row>
    <row r="1102" spans="1:5" x14ac:dyDescent="0.2">
      <c r="A1102">
        <v>1095</v>
      </c>
      <c r="B1102">
        <v>1198</v>
      </c>
      <c r="C1102">
        <v>14</v>
      </c>
      <c r="D1102">
        <v>-16.5</v>
      </c>
      <c r="E1102">
        <v>1.7</v>
      </c>
    </row>
    <row r="1103" spans="1:5" x14ac:dyDescent="0.2">
      <c r="A1103">
        <v>1096</v>
      </c>
      <c r="B1103">
        <v>1197</v>
      </c>
      <c r="C1103">
        <v>14</v>
      </c>
      <c r="D1103">
        <v>-16.3</v>
      </c>
      <c r="E1103">
        <v>1.7</v>
      </c>
    </row>
    <row r="1104" spans="1:5" x14ac:dyDescent="0.2">
      <c r="A1104">
        <v>1097</v>
      </c>
      <c r="B1104">
        <v>1196</v>
      </c>
      <c r="C1104">
        <v>14</v>
      </c>
      <c r="D1104">
        <v>-16.100000000000001</v>
      </c>
      <c r="E1104">
        <v>1.7</v>
      </c>
    </row>
    <row r="1105" spans="1:5" x14ac:dyDescent="0.2">
      <c r="A1105">
        <v>1098</v>
      </c>
      <c r="B1105">
        <v>1195</v>
      </c>
      <c r="C1105">
        <v>13</v>
      </c>
      <c r="D1105">
        <v>-15.9</v>
      </c>
      <c r="E1105">
        <v>1.6</v>
      </c>
    </row>
    <row r="1106" spans="1:5" x14ac:dyDescent="0.2">
      <c r="A1106">
        <v>1099</v>
      </c>
      <c r="B1106">
        <v>1195</v>
      </c>
      <c r="C1106">
        <v>13</v>
      </c>
      <c r="D1106">
        <v>-15.6</v>
      </c>
      <c r="E1106">
        <v>1.6</v>
      </c>
    </row>
    <row r="1107" spans="1:5" x14ac:dyDescent="0.2">
      <c r="A1107">
        <v>1100</v>
      </c>
      <c r="B1107">
        <v>1194</v>
      </c>
      <c r="C1107">
        <v>13</v>
      </c>
      <c r="D1107">
        <v>-15.4</v>
      </c>
      <c r="E1107">
        <v>1.6</v>
      </c>
    </row>
    <row r="1108" spans="1:5" x14ac:dyDescent="0.2">
      <c r="A1108">
        <v>1101</v>
      </c>
      <c r="B1108">
        <v>1193</v>
      </c>
      <c r="C1108">
        <v>13</v>
      </c>
      <c r="D1108">
        <v>-15.2</v>
      </c>
      <c r="E1108">
        <v>1.6</v>
      </c>
    </row>
    <row r="1109" spans="1:5" x14ac:dyDescent="0.2">
      <c r="A1109">
        <v>1102</v>
      </c>
      <c r="B1109">
        <v>1192</v>
      </c>
      <c r="C1109">
        <v>13</v>
      </c>
      <c r="D1109">
        <v>-15</v>
      </c>
      <c r="E1109">
        <v>1.6</v>
      </c>
    </row>
    <row r="1110" spans="1:5" x14ac:dyDescent="0.2">
      <c r="A1110">
        <v>1103</v>
      </c>
      <c r="B1110">
        <v>1191</v>
      </c>
      <c r="C1110">
        <v>13</v>
      </c>
      <c r="D1110">
        <v>-14.8</v>
      </c>
      <c r="E1110">
        <v>1.6</v>
      </c>
    </row>
    <row r="1111" spans="1:5" x14ac:dyDescent="0.2">
      <c r="A1111">
        <v>1104</v>
      </c>
      <c r="B1111">
        <v>1191</v>
      </c>
      <c r="C1111">
        <v>13</v>
      </c>
      <c r="D1111">
        <v>-14.6</v>
      </c>
      <c r="E1111">
        <v>1.6</v>
      </c>
    </row>
    <row r="1112" spans="1:5" x14ac:dyDescent="0.2">
      <c r="A1112">
        <v>1105</v>
      </c>
      <c r="B1112">
        <v>1190</v>
      </c>
      <c r="C1112">
        <v>13</v>
      </c>
      <c r="D1112">
        <v>-14.4</v>
      </c>
      <c r="E1112">
        <v>1.6</v>
      </c>
    </row>
    <row r="1113" spans="1:5" x14ac:dyDescent="0.2">
      <c r="A1113">
        <v>1106</v>
      </c>
      <c r="B1113">
        <v>1189</v>
      </c>
      <c r="C1113">
        <v>14</v>
      </c>
      <c r="D1113">
        <v>-14.2</v>
      </c>
      <c r="E1113">
        <v>1.7</v>
      </c>
    </row>
    <row r="1114" spans="1:5" x14ac:dyDescent="0.2">
      <c r="A1114">
        <v>1107</v>
      </c>
      <c r="B1114">
        <v>1189</v>
      </c>
      <c r="C1114">
        <v>14</v>
      </c>
      <c r="D1114">
        <v>-14</v>
      </c>
      <c r="E1114">
        <v>1.7</v>
      </c>
    </row>
    <row r="1115" spans="1:5" x14ac:dyDescent="0.2">
      <c r="A1115">
        <v>1108</v>
      </c>
      <c r="B1115">
        <v>1189</v>
      </c>
      <c r="C1115">
        <v>14</v>
      </c>
      <c r="D1115">
        <v>-13.8</v>
      </c>
      <c r="E1115">
        <v>1.7</v>
      </c>
    </row>
    <row r="1116" spans="1:5" x14ac:dyDescent="0.2">
      <c r="A1116">
        <v>1109</v>
      </c>
      <c r="B1116">
        <v>1188</v>
      </c>
      <c r="C1116">
        <v>14</v>
      </c>
      <c r="D1116">
        <v>-13.7</v>
      </c>
      <c r="E1116">
        <v>1.8</v>
      </c>
    </row>
    <row r="1117" spans="1:5" x14ac:dyDescent="0.2">
      <c r="A1117">
        <v>1110</v>
      </c>
      <c r="B1117">
        <v>1188</v>
      </c>
      <c r="C1117">
        <v>15</v>
      </c>
      <c r="D1117">
        <v>-13.6</v>
      </c>
      <c r="E1117">
        <v>1.8</v>
      </c>
    </row>
    <row r="1118" spans="1:5" x14ac:dyDescent="0.2">
      <c r="A1118">
        <v>1111</v>
      </c>
      <c r="B1118">
        <v>1188</v>
      </c>
      <c r="C1118">
        <v>15</v>
      </c>
      <c r="D1118">
        <v>-13.4</v>
      </c>
      <c r="E1118">
        <v>1.9</v>
      </c>
    </row>
    <row r="1119" spans="1:5" x14ac:dyDescent="0.2">
      <c r="A1119">
        <v>1112</v>
      </c>
      <c r="B1119">
        <v>1188</v>
      </c>
      <c r="C1119">
        <v>15</v>
      </c>
      <c r="D1119">
        <v>-13.3</v>
      </c>
      <c r="E1119">
        <v>1.9</v>
      </c>
    </row>
    <row r="1120" spans="1:5" x14ac:dyDescent="0.2">
      <c r="A1120">
        <v>1113</v>
      </c>
      <c r="B1120">
        <v>1189</v>
      </c>
      <c r="C1120">
        <v>16</v>
      </c>
      <c r="D1120">
        <v>-13.3</v>
      </c>
      <c r="E1120">
        <v>1.9</v>
      </c>
    </row>
    <row r="1121" spans="1:5" x14ac:dyDescent="0.2">
      <c r="A1121">
        <v>1114</v>
      </c>
      <c r="B1121">
        <v>1189</v>
      </c>
      <c r="C1121">
        <v>16</v>
      </c>
      <c r="D1121">
        <v>-13.2</v>
      </c>
      <c r="E1121">
        <v>1.9</v>
      </c>
    </row>
    <row r="1122" spans="1:5" x14ac:dyDescent="0.2">
      <c r="A1122">
        <v>1115</v>
      </c>
      <c r="B1122">
        <v>1190</v>
      </c>
      <c r="C1122">
        <v>16</v>
      </c>
      <c r="D1122">
        <v>-13.2</v>
      </c>
      <c r="E1122">
        <v>1.9</v>
      </c>
    </row>
    <row r="1123" spans="1:5" x14ac:dyDescent="0.2">
      <c r="A1123">
        <v>1116</v>
      </c>
      <c r="B1123">
        <v>1191</v>
      </c>
      <c r="C1123">
        <v>16</v>
      </c>
      <c r="D1123">
        <v>-13.2</v>
      </c>
      <c r="E1123">
        <v>1.9</v>
      </c>
    </row>
    <row r="1124" spans="1:5" x14ac:dyDescent="0.2">
      <c r="A1124">
        <v>1117</v>
      </c>
      <c r="B1124">
        <v>1192</v>
      </c>
      <c r="C1124">
        <v>16</v>
      </c>
      <c r="D1124">
        <v>-13.2</v>
      </c>
      <c r="E1124">
        <v>1.9</v>
      </c>
    </row>
    <row r="1125" spans="1:5" x14ac:dyDescent="0.2">
      <c r="A1125">
        <v>1118</v>
      </c>
      <c r="B1125">
        <v>1193</v>
      </c>
      <c r="C1125">
        <v>15</v>
      </c>
      <c r="D1125">
        <v>-13.2</v>
      </c>
      <c r="E1125">
        <v>1.9</v>
      </c>
    </row>
    <row r="1126" spans="1:5" x14ac:dyDescent="0.2">
      <c r="A1126">
        <v>1119</v>
      </c>
      <c r="B1126">
        <v>1195</v>
      </c>
      <c r="C1126">
        <v>15</v>
      </c>
      <c r="D1126">
        <v>-13.3</v>
      </c>
      <c r="E1126">
        <v>1.9</v>
      </c>
    </row>
    <row r="1127" spans="1:5" x14ac:dyDescent="0.2">
      <c r="A1127">
        <v>1120</v>
      </c>
      <c r="B1127">
        <v>1196</v>
      </c>
      <c r="C1127">
        <v>15</v>
      </c>
      <c r="D1127">
        <v>-13.4</v>
      </c>
      <c r="E1127">
        <v>1.8</v>
      </c>
    </row>
    <row r="1128" spans="1:5" x14ac:dyDescent="0.2">
      <c r="A1128">
        <v>1121</v>
      </c>
      <c r="B1128">
        <v>1198</v>
      </c>
      <c r="C1128">
        <v>14</v>
      </c>
      <c r="D1128">
        <v>-13.5</v>
      </c>
      <c r="E1128">
        <v>1.8</v>
      </c>
    </row>
    <row r="1129" spans="1:5" x14ac:dyDescent="0.2">
      <c r="A1129">
        <v>1122</v>
      </c>
      <c r="B1129">
        <v>1200</v>
      </c>
      <c r="C1129">
        <v>14</v>
      </c>
      <c r="D1129">
        <v>-13.6</v>
      </c>
      <c r="E1129">
        <v>1.7</v>
      </c>
    </row>
    <row r="1130" spans="1:5" x14ac:dyDescent="0.2">
      <c r="A1130">
        <v>1123</v>
      </c>
      <c r="B1130">
        <v>1203</v>
      </c>
      <c r="C1130">
        <v>14</v>
      </c>
      <c r="D1130">
        <v>-13.8</v>
      </c>
      <c r="E1130">
        <v>1.7</v>
      </c>
    </row>
    <row r="1131" spans="1:5" x14ac:dyDescent="0.2">
      <c r="A1131">
        <v>1124</v>
      </c>
      <c r="B1131">
        <v>1205</v>
      </c>
      <c r="C1131">
        <v>14</v>
      </c>
      <c r="D1131">
        <v>-14</v>
      </c>
      <c r="E1131">
        <v>1.7</v>
      </c>
    </row>
    <row r="1132" spans="1:5" x14ac:dyDescent="0.2">
      <c r="A1132">
        <v>1125</v>
      </c>
      <c r="B1132">
        <v>1207</v>
      </c>
      <c r="C1132">
        <v>14</v>
      </c>
      <c r="D1132">
        <v>-14.1</v>
      </c>
      <c r="E1132">
        <v>1.7</v>
      </c>
    </row>
    <row r="1133" spans="1:5" x14ac:dyDescent="0.2">
      <c r="A1133">
        <v>1126</v>
      </c>
      <c r="B1133">
        <v>1210</v>
      </c>
      <c r="C1133">
        <v>14</v>
      </c>
      <c r="D1133">
        <v>-14.3</v>
      </c>
      <c r="E1133">
        <v>1.7</v>
      </c>
    </row>
    <row r="1134" spans="1:5" x14ac:dyDescent="0.2">
      <c r="A1134">
        <v>1127</v>
      </c>
      <c r="B1134">
        <v>1212</v>
      </c>
      <c r="C1134">
        <v>14</v>
      </c>
      <c r="D1134">
        <v>-14.5</v>
      </c>
      <c r="E1134">
        <v>1.7</v>
      </c>
    </row>
    <row r="1135" spans="1:5" x14ac:dyDescent="0.2">
      <c r="A1135">
        <v>1128</v>
      </c>
      <c r="B1135">
        <v>1215</v>
      </c>
      <c r="C1135">
        <v>14</v>
      </c>
      <c r="D1135">
        <v>-14.6</v>
      </c>
      <c r="E1135">
        <v>1.7</v>
      </c>
    </row>
    <row r="1136" spans="1:5" x14ac:dyDescent="0.2">
      <c r="A1136">
        <v>1129</v>
      </c>
      <c r="B1136">
        <v>1217</v>
      </c>
      <c r="C1136">
        <v>13</v>
      </c>
      <c r="D1136">
        <v>-14.8</v>
      </c>
      <c r="E1136">
        <v>1.6</v>
      </c>
    </row>
    <row r="1137" spans="1:5" x14ac:dyDescent="0.2">
      <c r="A1137">
        <v>1130</v>
      </c>
      <c r="B1137">
        <v>1219</v>
      </c>
      <c r="C1137">
        <v>13</v>
      </c>
      <c r="D1137">
        <v>-14.9</v>
      </c>
      <c r="E1137">
        <v>1.6</v>
      </c>
    </row>
    <row r="1138" spans="1:5" x14ac:dyDescent="0.2">
      <c r="A1138">
        <v>1131</v>
      </c>
      <c r="B1138">
        <v>1220</v>
      </c>
      <c r="C1138">
        <v>12</v>
      </c>
      <c r="D1138">
        <v>-15</v>
      </c>
      <c r="E1138">
        <v>1.5</v>
      </c>
    </row>
    <row r="1139" spans="1:5" x14ac:dyDescent="0.2">
      <c r="A1139">
        <v>1132</v>
      </c>
      <c r="B1139">
        <v>1222</v>
      </c>
      <c r="C1139">
        <v>12</v>
      </c>
      <c r="D1139">
        <v>-15</v>
      </c>
      <c r="E1139">
        <v>1.4</v>
      </c>
    </row>
    <row r="1140" spans="1:5" x14ac:dyDescent="0.2">
      <c r="A1140">
        <v>1133</v>
      </c>
      <c r="B1140">
        <v>1223</v>
      </c>
      <c r="C1140">
        <v>12</v>
      </c>
      <c r="D1140">
        <v>-15.1</v>
      </c>
      <c r="E1140">
        <v>1.4</v>
      </c>
    </row>
    <row r="1141" spans="1:5" x14ac:dyDescent="0.2">
      <c r="A1141">
        <v>1134</v>
      </c>
      <c r="B1141">
        <v>1224</v>
      </c>
      <c r="C1141">
        <v>11</v>
      </c>
      <c r="D1141">
        <v>-15</v>
      </c>
      <c r="E1141">
        <v>1.4</v>
      </c>
    </row>
    <row r="1142" spans="1:5" x14ac:dyDescent="0.2">
      <c r="A1142">
        <v>1135</v>
      </c>
      <c r="B1142">
        <v>1224</v>
      </c>
      <c r="C1142">
        <v>11</v>
      </c>
      <c r="D1142">
        <v>-15</v>
      </c>
      <c r="E1142">
        <v>1.4</v>
      </c>
    </row>
    <row r="1143" spans="1:5" x14ac:dyDescent="0.2">
      <c r="A1143">
        <v>1136</v>
      </c>
      <c r="B1143">
        <v>1224</v>
      </c>
      <c r="C1143">
        <v>11</v>
      </c>
      <c r="D1143">
        <v>-14.8</v>
      </c>
      <c r="E1143">
        <v>1.4</v>
      </c>
    </row>
    <row r="1144" spans="1:5" x14ac:dyDescent="0.2">
      <c r="A1144">
        <v>1137</v>
      </c>
      <c r="B1144">
        <v>1223</v>
      </c>
      <c r="C1144">
        <v>12</v>
      </c>
      <c r="D1144">
        <v>-14.6</v>
      </c>
      <c r="E1144">
        <v>1.4</v>
      </c>
    </row>
    <row r="1145" spans="1:5" x14ac:dyDescent="0.2">
      <c r="A1145">
        <v>1138</v>
      </c>
      <c r="B1145">
        <v>1222</v>
      </c>
      <c r="C1145">
        <v>12</v>
      </c>
      <c r="D1145">
        <v>-14.3</v>
      </c>
      <c r="E1145">
        <v>1.4</v>
      </c>
    </row>
    <row r="1146" spans="1:5" x14ac:dyDescent="0.2">
      <c r="A1146">
        <v>1139</v>
      </c>
      <c r="B1146">
        <v>1220</v>
      </c>
      <c r="C1146">
        <v>12</v>
      </c>
      <c r="D1146">
        <v>-14</v>
      </c>
      <c r="E1146">
        <v>1.4</v>
      </c>
    </row>
    <row r="1147" spans="1:5" x14ac:dyDescent="0.2">
      <c r="A1147">
        <v>1140</v>
      </c>
      <c r="B1147">
        <v>1218</v>
      </c>
      <c r="C1147">
        <v>12</v>
      </c>
      <c r="D1147">
        <v>-13.7</v>
      </c>
      <c r="E1147">
        <v>1.5</v>
      </c>
    </row>
    <row r="1148" spans="1:5" x14ac:dyDescent="0.2">
      <c r="A1148">
        <v>1141</v>
      </c>
      <c r="B1148">
        <v>1217</v>
      </c>
      <c r="C1148">
        <v>12</v>
      </c>
      <c r="D1148">
        <v>-13.4</v>
      </c>
      <c r="E1148">
        <v>1.5</v>
      </c>
    </row>
    <row r="1149" spans="1:5" x14ac:dyDescent="0.2">
      <c r="A1149">
        <v>1142</v>
      </c>
      <c r="B1149">
        <v>1217</v>
      </c>
      <c r="C1149">
        <v>12</v>
      </c>
      <c r="D1149">
        <v>-13.2</v>
      </c>
      <c r="E1149">
        <v>1.5</v>
      </c>
    </row>
    <row r="1150" spans="1:5" x14ac:dyDescent="0.2">
      <c r="A1150">
        <v>1143</v>
      </c>
      <c r="B1150">
        <v>1217</v>
      </c>
      <c r="C1150">
        <v>12</v>
      </c>
      <c r="D1150">
        <v>-13.1</v>
      </c>
      <c r="E1150">
        <v>1.5</v>
      </c>
    </row>
    <row r="1151" spans="1:5" x14ac:dyDescent="0.2">
      <c r="A1151">
        <v>1144</v>
      </c>
      <c r="B1151">
        <v>1217</v>
      </c>
      <c r="C1151">
        <v>12</v>
      </c>
      <c r="D1151">
        <v>-13</v>
      </c>
      <c r="E1151">
        <v>1.5</v>
      </c>
    </row>
    <row r="1152" spans="1:5" x14ac:dyDescent="0.2">
      <c r="A1152">
        <v>1145</v>
      </c>
      <c r="B1152">
        <v>1218</v>
      </c>
      <c r="C1152">
        <v>12</v>
      </c>
      <c r="D1152">
        <v>-13</v>
      </c>
      <c r="E1152">
        <v>1.5</v>
      </c>
    </row>
    <row r="1153" spans="1:5" x14ac:dyDescent="0.2">
      <c r="A1153">
        <v>1146</v>
      </c>
      <c r="B1153">
        <v>1218</v>
      </c>
      <c r="C1153">
        <v>12</v>
      </c>
      <c r="D1153">
        <v>-12.9</v>
      </c>
      <c r="E1153">
        <v>1.4</v>
      </c>
    </row>
    <row r="1154" spans="1:5" x14ac:dyDescent="0.2">
      <c r="A1154">
        <v>1147</v>
      </c>
      <c r="B1154">
        <v>1219</v>
      </c>
      <c r="C1154">
        <v>11</v>
      </c>
      <c r="D1154">
        <v>-12.9</v>
      </c>
      <c r="E1154">
        <v>1.4</v>
      </c>
    </row>
    <row r="1155" spans="1:5" x14ac:dyDescent="0.2">
      <c r="A1155">
        <v>1148</v>
      </c>
      <c r="B1155">
        <v>1219</v>
      </c>
      <c r="C1155">
        <v>11</v>
      </c>
      <c r="D1155">
        <v>-12.8</v>
      </c>
      <c r="E1155">
        <v>1.4</v>
      </c>
    </row>
    <row r="1156" spans="1:5" x14ac:dyDescent="0.2">
      <c r="A1156">
        <v>1149</v>
      </c>
      <c r="B1156">
        <v>1220</v>
      </c>
      <c r="C1156">
        <v>11</v>
      </c>
      <c r="D1156">
        <v>-12.8</v>
      </c>
      <c r="E1156">
        <v>1.3</v>
      </c>
    </row>
    <row r="1157" spans="1:5" x14ac:dyDescent="0.2">
      <c r="A1157">
        <v>1150</v>
      </c>
      <c r="B1157">
        <v>1220</v>
      </c>
      <c r="C1157">
        <v>11</v>
      </c>
      <c r="D1157">
        <v>-12.7</v>
      </c>
      <c r="E1157">
        <v>1.3</v>
      </c>
    </row>
    <row r="1158" spans="1:5" x14ac:dyDescent="0.2">
      <c r="A1158">
        <v>1151</v>
      </c>
      <c r="B1158">
        <v>1221</v>
      </c>
      <c r="C1158">
        <v>10</v>
      </c>
      <c r="D1158">
        <v>-12.7</v>
      </c>
      <c r="E1158">
        <v>1.3</v>
      </c>
    </row>
    <row r="1159" spans="1:5" x14ac:dyDescent="0.2">
      <c r="A1159">
        <v>1152</v>
      </c>
      <c r="B1159">
        <v>1223</v>
      </c>
      <c r="C1159">
        <v>10</v>
      </c>
      <c r="D1159">
        <v>-12.8</v>
      </c>
      <c r="E1159">
        <v>1.3</v>
      </c>
    </row>
    <row r="1160" spans="1:5" x14ac:dyDescent="0.2">
      <c r="A1160">
        <v>1153</v>
      </c>
      <c r="B1160">
        <v>1225</v>
      </c>
      <c r="C1160">
        <v>10</v>
      </c>
      <c r="D1160">
        <v>-12.9</v>
      </c>
      <c r="E1160">
        <v>1.3</v>
      </c>
    </row>
    <row r="1161" spans="1:5" x14ac:dyDescent="0.2">
      <c r="A1161">
        <v>1154</v>
      </c>
      <c r="B1161">
        <v>1226</v>
      </c>
      <c r="C1161">
        <v>10</v>
      </c>
      <c r="D1161">
        <v>-13</v>
      </c>
      <c r="E1161">
        <v>1.2</v>
      </c>
    </row>
    <row r="1162" spans="1:5" x14ac:dyDescent="0.2">
      <c r="A1162">
        <v>1155</v>
      </c>
      <c r="B1162">
        <v>1228</v>
      </c>
      <c r="C1162">
        <v>10</v>
      </c>
      <c r="D1162">
        <v>-13</v>
      </c>
      <c r="E1162">
        <v>1.3</v>
      </c>
    </row>
    <row r="1163" spans="1:5" x14ac:dyDescent="0.2">
      <c r="A1163">
        <v>1156</v>
      </c>
      <c r="B1163">
        <v>1228</v>
      </c>
      <c r="C1163">
        <v>10</v>
      </c>
      <c r="D1163">
        <v>-13</v>
      </c>
      <c r="E1163">
        <v>1.3</v>
      </c>
    </row>
    <row r="1164" spans="1:5" x14ac:dyDescent="0.2">
      <c r="A1164">
        <v>1157</v>
      </c>
      <c r="B1164">
        <v>1228</v>
      </c>
      <c r="C1164">
        <v>10</v>
      </c>
      <c r="D1164">
        <v>-12.8</v>
      </c>
      <c r="E1164">
        <v>1.3</v>
      </c>
    </row>
    <row r="1165" spans="1:5" x14ac:dyDescent="0.2">
      <c r="A1165">
        <v>1158</v>
      </c>
      <c r="B1165">
        <v>1226</v>
      </c>
      <c r="C1165">
        <v>10</v>
      </c>
      <c r="D1165">
        <v>-12.5</v>
      </c>
      <c r="E1165">
        <v>1.3</v>
      </c>
    </row>
    <row r="1166" spans="1:5" x14ac:dyDescent="0.2">
      <c r="A1166">
        <v>1159</v>
      </c>
      <c r="B1166">
        <v>1222</v>
      </c>
      <c r="C1166">
        <v>10</v>
      </c>
      <c r="D1166">
        <v>-11.9</v>
      </c>
      <c r="E1166">
        <v>1.3</v>
      </c>
    </row>
    <row r="1167" spans="1:5" x14ac:dyDescent="0.2">
      <c r="A1167">
        <v>1160</v>
      </c>
      <c r="B1167">
        <v>1217</v>
      </c>
      <c r="C1167">
        <v>10</v>
      </c>
      <c r="D1167">
        <v>-11.1</v>
      </c>
      <c r="E1167">
        <v>1.3</v>
      </c>
    </row>
    <row r="1168" spans="1:5" x14ac:dyDescent="0.2">
      <c r="A1168">
        <v>1161</v>
      </c>
      <c r="B1168">
        <v>1211</v>
      </c>
      <c r="C1168">
        <v>10</v>
      </c>
      <c r="D1168">
        <v>-10.3</v>
      </c>
      <c r="E1168">
        <v>1.3</v>
      </c>
    </row>
    <row r="1169" spans="1:5" x14ac:dyDescent="0.2">
      <c r="A1169">
        <v>1162</v>
      </c>
      <c r="B1169">
        <v>1205</v>
      </c>
      <c r="C1169">
        <v>10</v>
      </c>
      <c r="D1169">
        <v>-9.3000000000000007</v>
      </c>
      <c r="E1169">
        <v>1.3</v>
      </c>
    </row>
    <row r="1170" spans="1:5" x14ac:dyDescent="0.2">
      <c r="A1170">
        <v>1163</v>
      </c>
      <c r="B1170">
        <v>1199</v>
      </c>
      <c r="C1170">
        <v>10</v>
      </c>
      <c r="D1170">
        <v>-8.5</v>
      </c>
      <c r="E1170">
        <v>1.3</v>
      </c>
    </row>
    <row r="1171" spans="1:5" x14ac:dyDescent="0.2">
      <c r="A1171">
        <v>1164</v>
      </c>
      <c r="B1171">
        <v>1194</v>
      </c>
      <c r="C1171">
        <v>10</v>
      </c>
      <c r="D1171">
        <v>-7.8</v>
      </c>
      <c r="E1171">
        <v>1.3</v>
      </c>
    </row>
    <row r="1172" spans="1:5" x14ac:dyDescent="0.2">
      <c r="A1172">
        <v>1165</v>
      </c>
      <c r="B1172">
        <v>1191</v>
      </c>
      <c r="C1172">
        <v>10</v>
      </c>
      <c r="D1172">
        <v>-7.3</v>
      </c>
      <c r="E1172">
        <v>1.3</v>
      </c>
    </row>
    <row r="1173" spans="1:5" x14ac:dyDescent="0.2">
      <c r="A1173">
        <v>1166</v>
      </c>
      <c r="B1173">
        <v>1188</v>
      </c>
      <c r="C1173">
        <v>10</v>
      </c>
      <c r="D1173">
        <v>-6.8</v>
      </c>
      <c r="E1173">
        <v>1.3</v>
      </c>
    </row>
    <row r="1174" spans="1:5" x14ac:dyDescent="0.2">
      <c r="A1174">
        <v>1167</v>
      </c>
      <c r="B1174">
        <v>1185</v>
      </c>
      <c r="C1174">
        <v>10</v>
      </c>
      <c r="D1174">
        <v>-6.4</v>
      </c>
      <c r="E1174">
        <v>1.3</v>
      </c>
    </row>
    <row r="1175" spans="1:5" x14ac:dyDescent="0.2">
      <c r="A1175">
        <v>1168</v>
      </c>
      <c r="B1175">
        <v>1183</v>
      </c>
      <c r="C1175">
        <v>10</v>
      </c>
      <c r="D1175">
        <v>-5.9</v>
      </c>
      <c r="E1175">
        <v>1.2</v>
      </c>
    </row>
    <row r="1176" spans="1:5" x14ac:dyDescent="0.2">
      <c r="A1176">
        <v>1169</v>
      </c>
      <c r="B1176">
        <v>1179</v>
      </c>
      <c r="C1176">
        <v>10</v>
      </c>
      <c r="D1176">
        <v>-5.4</v>
      </c>
      <c r="E1176">
        <v>1.2</v>
      </c>
    </row>
    <row r="1177" spans="1:5" x14ac:dyDescent="0.2">
      <c r="A1177">
        <v>1170</v>
      </c>
      <c r="B1177">
        <v>1174</v>
      </c>
      <c r="C1177">
        <v>10</v>
      </c>
      <c r="D1177">
        <v>-4.5999999999999996</v>
      </c>
      <c r="E1177">
        <v>1.2</v>
      </c>
    </row>
    <row r="1178" spans="1:5" x14ac:dyDescent="0.2">
      <c r="A1178">
        <v>1171</v>
      </c>
      <c r="B1178">
        <v>1168</v>
      </c>
      <c r="C1178">
        <v>10</v>
      </c>
      <c r="D1178">
        <v>-3.7</v>
      </c>
      <c r="E1178">
        <v>1.2</v>
      </c>
    </row>
    <row r="1179" spans="1:5" x14ac:dyDescent="0.2">
      <c r="A1179">
        <v>1172</v>
      </c>
      <c r="B1179">
        <v>1163</v>
      </c>
      <c r="C1179">
        <v>9</v>
      </c>
      <c r="D1179">
        <v>-3.1</v>
      </c>
      <c r="E1179">
        <v>1.2</v>
      </c>
    </row>
    <row r="1180" spans="1:5" x14ac:dyDescent="0.2">
      <c r="A1180">
        <v>1173</v>
      </c>
      <c r="B1180">
        <v>1166</v>
      </c>
      <c r="C1180">
        <v>9</v>
      </c>
      <c r="D1180">
        <v>-3.2</v>
      </c>
      <c r="E1180">
        <v>1.2</v>
      </c>
    </row>
    <row r="1181" spans="1:5" x14ac:dyDescent="0.2">
      <c r="A1181">
        <v>1174</v>
      </c>
      <c r="B1181">
        <v>1178</v>
      </c>
      <c r="C1181">
        <v>9</v>
      </c>
      <c r="D1181">
        <v>-4.7</v>
      </c>
      <c r="E1181">
        <v>1.2</v>
      </c>
    </row>
    <row r="1182" spans="1:5" x14ac:dyDescent="0.2">
      <c r="A1182">
        <v>1175</v>
      </c>
      <c r="B1182">
        <v>1203</v>
      </c>
      <c r="C1182">
        <v>9</v>
      </c>
      <c r="D1182">
        <v>-7.6</v>
      </c>
      <c r="E1182">
        <v>1.2</v>
      </c>
    </row>
    <row r="1183" spans="1:5" x14ac:dyDescent="0.2">
      <c r="A1183">
        <v>1176</v>
      </c>
      <c r="B1183">
        <v>1238</v>
      </c>
      <c r="C1183">
        <v>9</v>
      </c>
      <c r="D1183">
        <v>-11.8</v>
      </c>
      <c r="E1183">
        <v>1.2</v>
      </c>
    </row>
    <row r="1184" spans="1:5" x14ac:dyDescent="0.2">
      <c r="A1184">
        <v>1177</v>
      </c>
      <c r="B1184">
        <v>1269</v>
      </c>
      <c r="C1184">
        <v>10</v>
      </c>
      <c r="D1184">
        <v>-15.5</v>
      </c>
      <c r="E1184">
        <v>1.2</v>
      </c>
    </row>
    <row r="1185" spans="1:5" x14ac:dyDescent="0.2">
      <c r="A1185">
        <v>1178</v>
      </c>
      <c r="B1185">
        <v>1289</v>
      </c>
      <c r="C1185">
        <v>9</v>
      </c>
      <c r="D1185">
        <v>-17.8</v>
      </c>
      <c r="E1185">
        <v>1.2</v>
      </c>
    </row>
    <row r="1186" spans="1:5" x14ac:dyDescent="0.2">
      <c r="A1186">
        <v>1179</v>
      </c>
      <c r="B1186">
        <v>1299</v>
      </c>
      <c r="C1186">
        <v>10</v>
      </c>
      <c r="D1186">
        <v>-18.899999999999999</v>
      </c>
      <c r="E1186">
        <v>1.2</v>
      </c>
    </row>
    <row r="1187" spans="1:5" x14ac:dyDescent="0.2">
      <c r="A1187">
        <v>1180</v>
      </c>
      <c r="B1187">
        <v>1302</v>
      </c>
      <c r="C1187">
        <v>10</v>
      </c>
      <c r="D1187">
        <v>-19.100000000000001</v>
      </c>
      <c r="E1187">
        <v>1.2</v>
      </c>
    </row>
    <row r="1188" spans="1:5" x14ac:dyDescent="0.2">
      <c r="A1188">
        <v>1181</v>
      </c>
      <c r="B1188">
        <v>1301</v>
      </c>
      <c r="C1188">
        <v>10</v>
      </c>
      <c r="D1188">
        <v>-19</v>
      </c>
      <c r="E1188">
        <v>1.2</v>
      </c>
    </row>
    <row r="1189" spans="1:5" x14ac:dyDescent="0.2">
      <c r="A1189">
        <v>1182</v>
      </c>
      <c r="B1189">
        <v>1299</v>
      </c>
      <c r="C1189">
        <v>10</v>
      </c>
      <c r="D1189">
        <v>-18.600000000000001</v>
      </c>
      <c r="E1189">
        <v>1.2</v>
      </c>
    </row>
    <row r="1190" spans="1:5" x14ac:dyDescent="0.2">
      <c r="A1190">
        <v>1183</v>
      </c>
      <c r="B1190">
        <v>1295</v>
      </c>
      <c r="C1190">
        <v>10</v>
      </c>
      <c r="D1190">
        <v>-18</v>
      </c>
      <c r="E1190">
        <v>1.2</v>
      </c>
    </row>
    <row r="1191" spans="1:5" x14ac:dyDescent="0.2">
      <c r="A1191">
        <v>1184</v>
      </c>
      <c r="B1191">
        <v>1291</v>
      </c>
      <c r="C1191">
        <v>10</v>
      </c>
      <c r="D1191">
        <v>-17.3</v>
      </c>
      <c r="E1191">
        <v>1.2</v>
      </c>
    </row>
    <row r="1192" spans="1:5" x14ac:dyDescent="0.2">
      <c r="A1192">
        <v>1185</v>
      </c>
      <c r="B1192">
        <v>1287</v>
      </c>
      <c r="C1192">
        <v>10</v>
      </c>
      <c r="D1192">
        <v>-16.8</v>
      </c>
      <c r="E1192">
        <v>1.2</v>
      </c>
    </row>
    <row r="1193" spans="1:5" x14ac:dyDescent="0.2">
      <c r="A1193">
        <v>1186</v>
      </c>
      <c r="B1193">
        <v>1284</v>
      </c>
      <c r="C1193">
        <v>10</v>
      </c>
      <c r="D1193">
        <v>-16.3</v>
      </c>
      <c r="E1193">
        <v>1.2</v>
      </c>
    </row>
    <row r="1194" spans="1:5" x14ac:dyDescent="0.2">
      <c r="A1194">
        <v>1187</v>
      </c>
      <c r="B1194">
        <v>1283</v>
      </c>
      <c r="C1194">
        <v>10</v>
      </c>
      <c r="D1194">
        <v>-16</v>
      </c>
      <c r="E1194">
        <v>1.2</v>
      </c>
    </row>
    <row r="1195" spans="1:5" x14ac:dyDescent="0.2">
      <c r="A1195">
        <v>1188</v>
      </c>
      <c r="B1195">
        <v>1284</v>
      </c>
      <c r="C1195">
        <v>10</v>
      </c>
      <c r="D1195">
        <v>-16</v>
      </c>
      <c r="E1195">
        <v>1.2</v>
      </c>
    </row>
    <row r="1196" spans="1:5" x14ac:dyDescent="0.2">
      <c r="A1196">
        <v>1189</v>
      </c>
      <c r="B1196">
        <v>1286</v>
      </c>
      <c r="C1196">
        <v>10</v>
      </c>
      <c r="D1196">
        <v>-16.100000000000001</v>
      </c>
      <c r="E1196">
        <v>1.2</v>
      </c>
    </row>
    <row r="1197" spans="1:5" x14ac:dyDescent="0.2">
      <c r="A1197">
        <v>1190</v>
      </c>
      <c r="B1197">
        <v>1290</v>
      </c>
      <c r="C1197">
        <v>10</v>
      </c>
      <c r="D1197">
        <v>-16.5</v>
      </c>
      <c r="E1197">
        <v>1.2</v>
      </c>
    </row>
    <row r="1198" spans="1:5" x14ac:dyDescent="0.2">
      <c r="A1198">
        <v>1191</v>
      </c>
      <c r="B1198">
        <v>1295</v>
      </c>
      <c r="C1198">
        <v>10</v>
      </c>
      <c r="D1198">
        <v>-17</v>
      </c>
      <c r="E1198">
        <v>1.2</v>
      </c>
    </row>
    <row r="1199" spans="1:5" x14ac:dyDescent="0.2">
      <c r="A1199">
        <v>1192</v>
      </c>
      <c r="B1199">
        <v>1300</v>
      </c>
      <c r="C1199">
        <v>10</v>
      </c>
      <c r="D1199">
        <v>-17.5</v>
      </c>
      <c r="E1199">
        <v>1.2</v>
      </c>
    </row>
    <row r="1200" spans="1:5" x14ac:dyDescent="0.2">
      <c r="A1200">
        <v>1193</v>
      </c>
      <c r="B1200">
        <v>1305</v>
      </c>
      <c r="C1200">
        <v>10</v>
      </c>
      <c r="D1200">
        <v>-18</v>
      </c>
      <c r="E1200">
        <v>1.2</v>
      </c>
    </row>
    <row r="1201" spans="1:5" x14ac:dyDescent="0.2">
      <c r="A1201">
        <v>1194</v>
      </c>
      <c r="B1201">
        <v>1308</v>
      </c>
      <c r="C1201">
        <v>10</v>
      </c>
      <c r="D1201">
        <v>-18.3</v>
      </c>
      <c r="E1201">
        <v>1.2</v>
      </c>
    </row>
    <row r="1202" spans="1:5" x14ac:dyDescent="0.2">
      <c r="A1202">
        <v>1195</v>
      </c>
      <c r="B1202">
        <v>1310</v>
      </c>
      <c r="C1202">
        <v>10</v>
      </c>
      <c r="D1202">
        <v>-18.3</v>
      </c>
      <c r="E1202">
        <v>1.2</v>
      </c>
    </row>
    <row r="1203" spans="1:5" x14ac:dyDescent="0.2">
      <c r="A1203">
        <v>1196</v>
      </c>
      <c r="B1203">
        <v>1309</v>
      </c>
      <c r="C1203">
        <v>10</v>
      </c>
      <c r="D1203">
        <v>-18.100000000000001</v>
      </c>
      <c r="E1203">
        <v>1.2</v>
      </c>
    </row>
    <row r="1204" spans="1:5" x14ac:dyDescent="0.2">
      <c r="A1204">
        <v>1197</v>
      </c>
      <c r="B1204">
        <v>1307</v>
      </c>
      <c r="C1204">
        <v>10</v>
      </c>
      <c r="D1204">
        <v>-17.7</v>
      </c>
      <c r="E1204">
        <v>1.2</v>
      </c>
    </row>
    <row r="1205" spans="1:5" x14ac:dyDescent="0.2">
      <c r="A1205">
        <v>1198</v>
      </c>
      <c r="B1205">
        <v>1304</v>
      </c>
      <c r="C1205">
        <v>10</v>
      </c>
      <c r="D1205">
        <v>-17.3</v>
      </c>
      <c r="E1205">
        <v>1.2</v>
      </c>
    </row>
    <row r="1206" spans="1:5" x14ac:dyDescent="0.2">
      <c r="A1206">
        <v>1199</v>
      </c>
      <c r="B1206">
        <v>1302</v>
      </c>
      <c r="C1206">
        <v>10</v>
      </c>
      <c r="D1206">
        <v>-17</v>
      </c>
      <c r="E1206">
        <v>1.2</v>
      </c>
    </row>
    <row r="1207" spans="1:5" x14ac:dyDescent="0.2">
      <c r="A1207">
        <v>1200</v>
      </c>
      <c r="B1207">
        <v>1301</v>
      </c>
      <c r="C1207">
        <v>10</v>
      </c>
      <c r="D1207">
        <v>-16.600000000000001</v>
      </c>
      <c r="E1207">
        <v>1.2</v>
      </c>
    </row>
    <row r="1208" spans="1:5" x14ac:dyDescent="0.2">
      <c r="A1208">
        <v>1201</v>
      </c>
      <c r="B1208">
        <v>1299</v>
      </c>
      <c r="C1208">
        <v>10</v>
      </c>
      <c r="D1208">
        <v>-16.3</v>
      </c>
      <c r="E1208">
        <v>1.2</v>
      </c>
    </row>
    <row r="1209" spans="1:5" x14ac:dyDescent="0.2">
      <c r="A1209">
        <v>1202</v>
      </c>
      <c r="B1209">
        <v>1298</v>
      </c>
      <c r="C1209">
        <v>10</v>
      </c>
      <c r="D1209">
        <v>-16.100000000000001</v>
      </c>
      <c r="E1209">
        <v>1.2</v>
      </c>
    </row>
    <row r="1210" spans="1:5" x14ac:dyDescent="0.2">
      <c r="A1210">
        <v>1203</v>
      </c>
      <c r="B1210">
        <v>1297</v>
      </c>
      <c r="C1210">
        <v>10</v>
      </c>
      <c r="D1210">
        <v>-15.8</v>
      </c>
      <c r="E1210">
        <v>1.2</v>
      </c>
    </row>
    <row r="1211" spans="1:5" x14ac:dyDescent="0.2">
      <c r="A1211">
        <v>1204</v>
      </c>
      <c r="B1211">
        <v>1296</v>
      </c>
      <c r="C1211">
        <v>10</v>
      </c>
      <c r="D1211">
        <v>-15.5</v>
      </c>
      <c r="E1211">
        <v>1.2</v>
      </c>
    </row>
    <row r="1212" spans="1:5" x14ac:dyDescent="0.2">
      <c r="A1212">
        <v>1205</v>
      </c>
      <c r="B1212">
        <v>1294</v>
      </c>
      <c r="C1212">
        <v>10</v>
      </c>
      <c r="D1212">
        <v>-15.2</v>
      </c>
      <c r="E1212">
        <v>1.3</v>
      </c>
    </row>
    <row r="1213" spans="1:5" x14ac:dyDescent="0.2">
      <c r="A1213">
        <v>1206</v>
      </c>
      <c r="B1213">
        <v>1291</v>
      </c>
      <c r="C1213">
        <v>10</v>
      </c>
      <c r="D1213">
        <v>-14.7</v>
      </c>
      <c r="E1213">
        <v>1.3</v>
      </c>
    </row>
    <row r="1214" spans="1:5" x14ac:dyDescent="0.2">
      <c r="A1214">
        <v>1207</v>
      </c>
      <c r="B1214">
        <v>1287</v>
      </c>
      <c r="C1214">
        <v>10</v>
      </c>
      <c r="D1214">
        <v>-14.2</v>
      </c>
      <c r="E1214">
        <v>1.3</v>
      </c>
    </row>
    <row r="1215" spans="1:5" x14ac:dyDescent="0.2">
      <c r="A1215">
        <v>1208</v>
      </c>
      <c r="B1215">
        <v>1284</v>
      </c>
      <c r="C1215">
        <v>10</v>
      </c>
      <c r="D1215">
        <v>-13.6</v>
      </c>
      <c r="E1215">
        <v>1.3</v>
      </c>
    </row>
    <row r="1216" spans="1:5" x14ac:dyDescent="0.2">
      <c r="A1216">
        <v>1209</v>
      </c>
      <c r="B1216">
        <v>1279</v>
      </c>
      <c r="C1216">
        <v>10</v>
      </c>
      <c r="D1216">
        <v>-12.9</v>
      </c>
      <c r="E1216">
        <v>1.3</v>
      </c>
    </row>
    <row r="1217" spans="1:5" x14ac:dyDescent="0.2">
      <c r="A1217">
        <v>1210</v>
      </c>
      <c r="B1217">
        <v>1275</v>
      </c>
      <c r="C1217">
        <v>10</v>
      </c>
      <c r="D1217">
        <v>-12.3</v>
      </c>
      <c r="E1217">
        <v>1.3</v>
      </c>
    </row>
    <row r="1218" spans="1:5" x14ac:dyDescent="0.2">
      <c r="A1218">
        <v>1211</v>
      </c>
      <c r="B1218">
        <v>1271</v>
      </c>
      <c r="C1218">
        <v>10</v>
      </c>
      <c r="D1218">
        <v>-11.7</v>
      </c>
      <c r="E1218">
        <v>1.3</v>
      </c>
    </row>
    <row r="1219" spans="1:5" x14ac:dyDescent="0.2">
      <c r="A1219">
        <v>1212</v>
      </c>
      <c r="B1219">
        <v>1267</v>
      </c>
      <c r="C1219">
        <v>10</v>
      </c>
      <c r="D1219">
        <v>-11.1</v>
      </c>
      <c r="E1219">
        <v>1.3</v>
      </c>
    </row>
    <row r="1220" spans="1:5" x14ac:dyDescent="0.2">
      <c r="A1220">
        <v>1213</v>
      </c>
      <c r="B1220">
        <v>1265</v>
      </c>
      <c r="C1220">
        <v>10</v>
      </c>
      <c r="D1220">
        <v>-10.7</v>
      </c>
      <c r="E1220">
        <v>1.3</v>
      </c>
    </row>
    <row r="1221" spans="1:5" x14ac:dyDescent="0.2">
      <c r="A1221">
        <v>1214</v>
      </c>
      <c r="B1221">
        <v>1263</v>
      </c>
      <c r="C1221">
        <v>10</v>
      </c>
      <c r="D1221">
        <v>-10.4</v>
      </c>
      <c r="E1221">
        <v>1.3</v>
      </c>
    </row>
    <row r="1222" spans="1:5" x14ac:dyDescent="0.2">
      <c r="A1222">
        <v>1215</v>
      </c>
      <c r="B1222">
        <v>1263</v>
      </c>
      <c r="C1222">
        <v>10</v>
      </c>
      <c r="D1222">
        <v>-10.199999999999999</v>
      </c>
      <c r="E1222">
        <v>1.3</v>
      </c>
    </row>
    <row r="1223" spans="1:5" x14ac:dyDescent="0.2">
      <c r="A1223">
        <v>1216</v>
      </c>
      <c r="B1223">
        <v>1263</v>
      </c>
      <c r="C1223">
        <v>10</v>
      </c>
      <c r="D1223">
        <v>-10.1</v>
      </c>
      <c r="E1223">
        <v>1.3</v>
      </c>
    </row>
    <row r="1224" spans="1:5" x14ac:dyDescent="0.2">
      <c r="A1224">
        <v>1217</v>
      </c>
      <c r="B1224">
        <v>1263</v>
      </c>
      <c r="C1224">
        <v>10</v>
      </c>
      <c r="D1224">
        <v>-10</v>
      </c>
      <c r="E1224">
        <v>1.3</v>
      </c>
    </row>
    <row r="1225" spans="1:5" x14ac:dyDescent="0.2">
      <c r="A1225">
        <v>1218</v>
      </c>
      <c r="B1225">
        <v>1263</v>
      </c>
      <c r="C1225">
        <v>10</v>
      </c>
      <c r="D1225">
        <v>-9.9</v>
      </c>
      <c r="E1225">
        <v>1.3</v>
      </c>
    </row>
    <row r="1226" spans="1:5" x14ac:dyDescent="0.2">
      <c r="A1226">
        <v>1219</v>
      </c>
      <c r="B1226">
        <v>1264</v>
      </c>
      <c r="C1226">
        <v>10</v>
      </c>
      <c r="D1226">
        <v>-9.8000000000000007</v>
      </c>
      <c r="E1226">
        <v>1.3</v>
      </c>
    </row>
    <row r="1227" spans="1:5" x14ac:dyDescent="0.2">
      <c r="A1227">
        <v>1220</v>
      </c>
      <c r="B1227">
        <v>1264</v>
      </c>
      <c r="C1227">
        <v>10</v>
      </c>
      <c r="D1227">
        <v>-9.8000000000000007</v>
      </c>
      <c r="E1227">
        <v>1.3</v>
      </c>
    </row>
    <row r="1228" spans="1:5" x14ac:dyDescent="0.2">
      <c r="A1228">
        <v>1221</v>
      </c>
      <c r="B1228">
        <v>1265</v>
      </c>
      <c r="C1228">
        <v>10</v>
      </c>
      <c r="D1228">
        <v>-9.6999999999999993</v>
      </c>
      <c r="E1228">
        <v>1.3</v>
      </c>
    </row>
    <row r="1229" spans="1:5" x14ac:dyDescent="0.2">
      <c r="A1229">
        <v>1222</v>
      </c>
      <c r="B1229">
        <v>1265</v>
      </c>
      <c r="C1229">
        <v>10</v>
      </c>
      <c r="D1229">
        <v>-9.6</v>
      </c>
      <c r="E1229">
        <v>1.3</v>
      </c>
    </row>
    <row r="1230" spans="1:5" x14ac:dyDescent="0.2">
      <c r="A1230">
        <v>1223</v>
      </c>
      <c r="B1230">
        <v>1265</v>
      </c>
      <c r="C1230">
        <v>10</v>
      </c>
      <c r="D1230">
        <v>-9.4</v>
      </c>
      <c r="E1230">
        <v>1.3</v>
      </c>
    </row>
    <row r="1231" spans="1:5" x14ac:dyDescent="0.2">
      <c r="A1231">
        <v>1224</v>
      </c>
      <c r="B1231">
        <v>1263</v>
      </c>
      <c r="C1231">
        <v>10</v>
      </c>
      <c r="D1231">
        <v>-9.1999999999999993</v>
      </c>
      <c r="E1231">
        <v>1.3</v>
      </c>
    </row>
    <row r="1232" spans="1:5" x14ac:dyDescent="0.2">
      <c r="A1232">
        <v>1225</v>
      </c>
      <c r="B1232">
        <v>1262</v>
      </c>
      <c r="C1232">
        <v>10</v>
      </c>
      <c r="D1232">
        <v>-8.9</v>
      </c>
      <c r="E1232">
        <v>1.3</v>
      </c>
    </row>
    <row r="1233" spans="1:5" x14ac:dyDescent="0.2">
      <c r="A1233">
        <v>1226</v>
      </c>
      <c r="B1233">
        <v>1260</v>
      </c>
      <c r="C1233">
        <v>10</v>
      </c>
      <c r="D1233">
        <v>-8.5</v>
      </c>
      <c r="E1233">
        <v>1.2</v>
      </c>
    </row>
    <row r="1234" spans="1:5" x14ac:dyDescent="0.2">
      <c r="A1234">
        <v>1227</v>
      </c>
      <c r="B1234">
        <v>1258</v>
      </c>
      <c r="C1234">
        <v>10</v>
      </c>
      <c r="D1234">
        <v>-8.1</v>
      </c>
      <c r="E1234">
        <v>1.2</v>
      </c>
    </row>
    <row r="1235" spans="1:5" x14ac:dyDescent="0.2">
      <c r="A1235">
        <v>1228</v>
      </c>
      <c r="B1235">
        <v>1256</v>
      </c>
      <c r="C1235">
        <v>10</v>
      </c>
      <c r="D1235">
        <v>-7.7</v>
      </c>
      <c r="E1235">
        <v>1.3</v>
      </c>
    </row>
    <row r="1236" spans="1:5" x14ac:dyDescent="0.2">
      <c r="A1236">
        <v>1229</v>
      </c>
      <c r="B1236">
        <v>1254</v>
      </c>
      <c r="C1236">
        <v>10</v>
      </c>
      <c r="D1236">
        <v>-7.4</v>
      </c>
      <c r="E1236">
        <v>1.3</v>
      </c>
    </row>
    <row r="1237" spans="1:5" x14ac:dyDescent="0.2">
      <c r="A1237">
        <v>1230</v>
      </c>
      <c r="B1237">
        <v>1253</v>
      </c>
      <c r="C1237">
        <v>11</v>
      </c>
      <c r="D1237">
        <v>-7.2</v>
      </c>
      <c r="E1237">
        <v>1.3</v>
      </c>
    </row>
    <row r="1238" spans="1:5" x14ac:dyDescent="0.2">
      <c r="A1238">
        <v>1231</v>
      </c>
      <c r="B1238">
        <v>1253</v>
      </c>
      <c r="C1238">
        <v>11</v>
      </c>
      <c r="D1238">
        <v>-7.1</v>
      </c>
      <c r="E1238">
        <v>1.3</v>
      </c>
    </row>
    <row r="1239" spans="1:5" x14ac:dyDescent="0.2">
      <c r="A1239">
        <v>1232</v>
      </c>
      <c r="B1239">
        <v>1253</v>
      </c>
      <c r="C1239">
        <v>11</v>
      </c>
      <c r="D1239">
        <v>-7</v>
      </c>
      <c r="E1239">
        <v>1.4</v>
      </c>
    </row>
    <row r="1240" spans="1:5" x14ac:dyDescent="0.2">
      <c r="A1240">
        <v>1233</v>
      </c>
      <c r="B1240">
        <v>1254</v>
      </c>
      <c r="C1240">
        <v>11</v>
      </c>
      <c r="D1240">
        <v>-6.9</v>
      </c>
      <c r="E1240">
        <v>1.4</v>
      </c>
    </row>
    <row r="1241" spans="1:5" x14ac:dyDescent="0.2">
      <c r="A1241">
        <v>1234</v>
      </c>
      <c r="B1241">
        <v>1254</v>
      </c>
      <c r="C1241">
        <v>11</v>
      </c>
      <c r="D1241">
        <v>-6.8</v>
      </c>
      <c r="E1241">
        <v>1.4</v>
      </c>
    </row>
    <row r="1242" spans="1:5" x14ac:dyDescent="0.2">
      <c r="A1242">
        <v>1235</v>
      </c>
      <c r="B1242">
        <v>1255</v>
      </c>
      <c r="C1242">
        <v>11</v>
      </c>
      <c r="D1242">
        <v>-6.8</v>
      </c>
      <c r="E1242">
        <v>1.4</v>
      </c>
    </row>
    <row r="1243" spans="1:5" x14ac:dyDescent="0.2">
      <c r="A1243">
        <v>1236</v>
      </c>
      <c r="B1243">
        <v>1254</v>
      </c>
      <c r="C1243">
        <v>11</v>
      </c>
      <c r="D1243">
        <v>-6.6</v>
      </c>
      <c r="E1243">
        <v>1.4</v>
      </c>
    </row>
    <row r="1244" spans="1:5" x14ac:dyDescent="0.2">
      <c r="A1244">
        <v>1237</v>
      </c>
      <c r="B1244">
        <v>1254</v>
      </c>
      <c r="C1244">
        <v>11</v>
      </c>
      <c r="D1244">
        <v>-6.4</v>
      </c>
      <c r="E1244">
        <v>1.4</v>
      </c>
    </row>
    <row r="1245" spans="1:5" x14ac:dyDescent="0.2">
      <c r="A1245">
        <v>1238</v>
      </c>
      <c r="B1245">
        <v>1253</v>
      </c>
      <c r="C1245">
        <v>11</v>
      </c>
      <c r="D1245">
        <v>-6.2</v>
      </c>
      <c r="E1245">
        <v>1.4</v>
      </c>
    </row>
    <row r="1246" spans="1:5" x14ac:dyDescent="0.2">
      <c r="A1246">
        <v>1239</v>
      </c>
      <c r="B1246">
        <v>1252</v>
      </c>
      <c r="C1246">
        <v>11</v>
      </c>
      <c r="D1246">
        <v>-5.9</v>
      </c>
      <c r="E1246">
        <v>1.4</v>
      </c>
    </row>
    <row r="1247" spans="1:5" x14ac:dyDescent="0.2">
      <c r="A1247">
        <v>1240</v>
      </c>
      <c r="B1247">
        <v>1251</v>
      </c>
      <c r="C1247">
        <v>11</v>
      </c>
      <c r="D1247">
        <v>-5.7</v>
      </c>
      <c r="E1247">
        <v>1.4</v>
      </c>
    </row>
    <row r="1248" spans="1:5" x14ac:dyDescent="0.2">
      <c r="A1248">
        <v>1241</v>
      </c>
      <c r="B1248">
        <v>1252</v>
      </c>
      <c r="C1248">
        <v>11</v>
      </c>
      <c r="D1248">
        <v>-5.7</v>
      </c>
      <c r="E1248">
        <v>1.4</v>
      </c>
    </row>
    <row r="1249" spans="1:5" x14ac:dyDescent="0.2">
      <c r="A1249">
        <v>1242</v>
      </c>
      <c r="B1249">
        <v>1255</v>
      </c>
      <c r="C1249">
        <v>11</v>
      </c>
      <c r="D1249">
        <v>-5.9</v>
      </c>
      <c r="E1249">
        <v>1.4</v>
      </c>
    </row>
    <row r="1250" spans="1:5" x14ac:dyDescent="0.2">
      <c r="A1250">
        <v>1243</v>
      </c>
      <c r="B1250">
        <v>1259</v>
      </c>
      <c r="C1250">
        <v>11</v>
      </c>
      <c r="D1250">
        <v>-6.4</v>
      </c>
      <c r="E1250">
        <v>1.4</v>
      </c>
    </row>
    <row r="1251" spans="1:5" x14ac:dyDescent="0.2">
      <c r="A1251">
        <v>1244</v>
      </c>
      <c r="B1251">
        <v>1264</v>
      </c>
      <c r="C1251">
        <v>11</v>
      </c>
      <c r="D1251">
        <v>-6.9</v>
      </c>
      <c r="E1251">
        <v>1.4</v>
      </c>
    </row>
    <row r="1252" spans="1:5" x14ac:dyDescent="0.2">
      <c r="A1252">
        <v>1245</v>
      </c>
      <c r="B1252">
        <v>1270</v>
      </c>
      <c r="C1252">
        <v>11</v>
      </c>
      <c r="D1252">
        <v>-7.4</v>
      </c>
      <c r="E1252">
        <v>1.4</v>
      </c>
    </row>
    <row r="1253" spans="1:5" x14ac:dyDescent="0.2">
      <c r="A1253">
        <v>1246</v>
      </c>
      <c r="B1253">
        <v>1274</v>
      </c>
      <c r="C1253">
        <v>11</v>
      </c>
      <c r="D1253">
        <v>-7.9</v>
      </c>
      <c r="E1253">
        <v>1.4</v>
      </c>
    </row>
    <row r="1254" spans="1:5" x14ac:dyDescent="0.2">
      <c r="A1254">
        <v>1247</v>
      </c>
      <c r="B1254">
        <v>1278</v>
      </c>
      <c r="C1254">
        <v>11</v>
      </c>
      <c r="D1254">
        <v>-8.3000000000000007</v>
      </c>
      <c r="E1254">
        <v>1.4</v>
      </c>
    </row>
    <row r="1255" spans="1:5" x14ac:dyDescent="0.2">
      <c r="A1255">
        <v>1248</v>
      </c>
      <c r="B1255">
        <v>1281</v>
      </c>
      <c r="C1255">
        <v>11</v>
      </c>
      <c r="D1255">
        <v>-8.5</v>
      </c>
      <c r="E1255">
        <v>1.4</v>
      </c>
    </row>
    <row r="1256" spans="1:5" x14ac:dyDescent="0.2">
      <c r="A1256">
        <v>1249</v>
      </c>
      <c r="B1256">
        <v>1283</v>
      </c>
      <c r="C1256">
        <v>11</v>
      </c>
      <c r="D1256">
        <v>-8.6</v>
      </c>
      <c r="E1256">
        <v>1.4</v>
      </c>
    </row>
    <row r="1257" spans="1:5" x14ac:dyDescent="0.2">
      <c r="A1257">
        <v>1250</v>
      </c>
      <c r="B1257">
        <v>1284</v>
      </c>
      <c r="C1257">
        <v>11</v>
      </c>
      <c r="D1257">
        <v>-8.6</v>
      </c>
      <c r="E1257">
        <v>1.4</v>
      </c>
    </row>
    <row r="1258" spans="1:5" x14ac:dyDescent="0.2">
      <c r="A1258">
        <v>1251</v>
      </c>
      <c r="B1258">
        <v>1283</v>
      </c>
      <c r="C1258">
        <v>11</v>
      </c>
      <c r="D1258">
        <v>-8.4</v>
      </c>
      <c r="E1258">
        <v>1.4</v>
      </c>
    </row>
    <row r="1259" spans="1:5" x14ac:dyDescent="0.2">
      <c r="A1259">
        <v>1252</v>
      </c>
      <c r="B1259">
        <v>1282</v>
      </c>
      <c r="C1259">
        <v>11</v>
      </c>
      <c r="D1259">
        <v>-8.1</v>
      </c>
      <c r="E1259">
        <v>1.4</v>
      </c>
    </row>
    <row r="1260" spans="1:5" x14ac:dyDescent="0.2">
      <c r="A1260">
        <v>1253</v>
      </c>
      <c r="B1260">
        <v>1281</v>
      </c>
      <c r="C1260">
        <v>11</v>
      </c>
      <c r="D1260">
        <v>-7.8</v>
      </c>
      <c r="E1260">
        <v>1.3</v>
      </c>
    </row>
    <row r="1261" spans="1:5" x14ac:dyDescent="0.2">
      <c r="A1261">
        <v>1254</v>
      </c>
      <c r="B1261">
        <v>1279</v>
      </c>
      <c r="C1261">
        <v>11</v>
      </c>
      <c r="D1261">
        <v>-7.5</v>
      </c>
      <c r="E1261">
        <v>1.3</v>
      </c>
    </row>
    <row r="1262" spans="1:5" x14ac:dyDescent="0.2">
      <c r="A1262">
        <v>1255</v>
      </c>
      <c r="B1262">
        <v>1277</v>
      </c>
      <c r="C1262">
        <v>11</v>
      </c>
      <c r="D1262">
        <v>-7.1</v>
      </c>
      <c r="E1262">
        <v>1.3</v>
      </c>
    </row>
    <row r="1263" spans="1:5" x14ac:dyDescent="0.2">
      <c r="A1263">
        <v>1256</v>
      </c>
      <c r="B1263">
        <v>1276</v>
      </c>
      <c r="C1263">
        <v>11</v>
      </c>
      <c r="D1263">
        <v>-6.9</v>
      </c>
      <c r="E1263">
        <v>1.4</v>
      </c>
    </row>
    <row r="1264" spans="1:5" x14ac:dyDescent="0.2">
      <c r="A1264">
        <v>1257</v>
      </c>
      <c r="B1264">
        <v>1275</v>
      </c>
      <c r="C1264">
        <v>11</v>
      </c>
      <c r="D1264">
        <v>-6.7</v>
      </c>
      <c r="E1264">
        <v>1.4</v>
      </c>
    </row>
    <row r="1265" spans="1:5" x14ac:dyDescent="0.2">
      <c r="A1265">
        <v>1258</v>
      </c>
      <c r="B1265">
        <v>1276</v>
      </c>
      <c r="C1265">
        <v>12</v>
      </c>
      <c r="D1265">
        <v>-6.6</v>
      </c>
      <c r="E1265">
        <v>1.4</v>
      </c>
    </row>
    <row r="1266" spans="1:5" x14ac:dyDescent="0.2">
      <c r="A1266">
        <v>1259</v>
      </c>
      <c r="B1266">
        <v>1277</v>
      </c>
      <c r="C1266">
        <v>12</v>
      </c>
      <c r="D1266">
        <v>-6.6</v>
      </c>
      <c r="E1266">
        <v>1.4</v>
      </c>
    </row>
    <row r="1267" spans="1:5" x14ac:dyDescent="0.2">
      <c r="A1267">
        <v>1260</v>
      </c>
      <c r="B1267">
        <v>1278</v>
      </c>
      <c r="C1267">
        <v>12</v>
      </c>
      <c r="D1267">
        <v>-6.7</v>
      </c>
      <c r="E1267">
        <v>1.5</v>
      </c>
    </row>
    <row r="1268" spans="1:5" x14ac:dyDescent="0.2">
      <c r="A1268">
        <v>1261</v>
      </c>
      <c r="B1268">
        <v>1280</v>
      </c>
      <c r="C1268">
        <v>12</v>
      </c>
      <c r="D1268">
        <v>-6.7</v>
      </c>
      <c r="E1268">
        <v>1.5</v>
      </c>
    </row>
    <row r="1269" spans="1:5" x14ac:dyDescent="0.2">
      <c r="A1269">
        <v>1262</v>
      </c>
      <c r="B1269">
        <v>1281</v>
      </c>
      <c r="C1269">
        <v>13</v>
      </c>
      <c r="D1269">
        <v>-6.8</v>
      </c>
      <c r="E1269">
        <v>1.6</v>
      </c>
    </row>
    <row r="1270" spans="1:5" x14ac:dyDescent="0.2">
      <c r="A1270">
        <v>1263</v>
      </c>
      <c r="B1270">
        <v>1283</v>
      </c>
      <c r="C1270">
        <v>13</v>
      </c>
      <c r="D1270">
        <v>-6.9</v>
      </c>
      <c r="E1270">
        <v>1.7</v>
      </c>
    </row>
    <row r="1271" spans="1:5" x14ac:dyDescent="0.2">
      <c r="A1271">
        <v>1264</v>
      </c>
      <c r="B1271">
        <v>1285</v>
      </c>
      <c r="C1271">
        <v>14</v>
      </c>
      <c r="D1271">
        <v>-7</v>
      </c>
      <c r="E1271">
        <v>1.7</v>
      </c>
    </row>
    <row r="1272" spans="1:5" x14ac:dyDescent="0.2">
      <c r="A1272">
        <v>1265</v>
      </c>
      <c r="B1272">
        <v>1286</v>
      </c>
      <c r="C1272">
        <v>14</v>
      </c>
      <c r="D1272">
        <v>-7.1</v>
      </c>
      <c r="E1272">
        <v>1.7</v>
      </c>
    </row>
    <row r="1273" spans="1:5" x14ac:dyDescent="0.2">
      <c r="A1273">
        <v>1266</v>
      </c>
      <c r="B1273">
        <v>1288</v>
      </c>
      <c r="C1273">
        <v>14</v>
      </c>
      <c r="D1273">
        <v>-7.2</v>
      </c>
      <c r="E1273">
        <v>1.8</v>
      </c>
    </row>
    <row r="1274" spans="1:5" x14ac:dyDescent="0.2">
      <c r="A1274">
        <v>1267</v>
      </c>
      <c r="B1274">
        <v>1290</v>
      </c>
      <c r="C1274">
        <v>14</v>
      </c>
      <c r="D1274">
        <v>-7.3</v>
      </c>
      <c r="E1274">
        <v>1.8</v>
      </c>
    </row>
    <row r="1275" spans="1:5" x14ac:dyDescent="0.2">
      <c r="A1275">
        <v>1268</v>
      </c>
      <c r="B1275">
        <v>1292</v>
      </c>
      <c r="C1275">
        <v>14</v>
      </c>
      <c r="D1275">
        <v>-7.4</v>
      </c>
      <c r="E1275">
        <v>1.8</v>
      </c>
    </row>
    <row r="1276" spans="1:5" x14ac:dyDescent="0.2">
      <c r="A1276">
        <v>1269</v>
      </c>
      <c r="B1276">
        <v>1294</v>
      </c>
      <c r="C1276">
        <v>14</v>
      </c>
      <c r="D1276">
        <v>-7.5</v>
      </c>
      <c r="E1276">
        <v>1.7</v>
      </c>
    </row>
    <row r="1277" spans="1:5" x14ac:dyDescent="0.2">
      <c r="A1277">
        <v>1270</v>
      </c>
      <c r="B1277">
        <v>1295</v>
      </c>
      <c r="C1277">
        <v>14</v>
      </c>
      <c r="D1277">
        <v>-7.6</v>
      </c>
      <c r="E1277">
        <v>1.7</v>
      </c>
    </row>
    <row r="1278" spans="1:5" x14ac:dyDescent="0.2">
      <c r="A1278">
        <v>1271</v>
      </c>
      <c r="B1278">
        <v>1297</v>
      </c>
      <c r="C1278">
        <v>14</v>
      </c>
      <c r="D1278">
        <v>-7.7</v>
      </c>
      <c r="E1278">
        <v>1.7</v>
      </c>
    </row>
    <row r="1279" spans="1:5" x14ac:dyDescent="0.2">
      <c r="A1279">
        <v>1272</v>
      </c>
      <c r="B1279">
        <v>1299</v>
      </c>
      <c r="C1279">
        <v>14</v>
      </c>
      <c r="D1279">
        <v>-7.9</v>
      </c>
      <c r="E1279">
        <v>1.7</v>
      </c>
    </row>
    <row r="1280" spans="1:5" x14ac:dyDescent="0.2">
      <c r="A1280">
        <v>1273</v>
      </c>
      <c r="B1280">
        <v>1302</v>
      </c>
      <c r="C1280">
        <v>13</v>
      </c>
      <c r="D1280">
        <v>-8</v>
      </c>
      <c r="E1280">
        <v>1.6</v>
      </c>
    </row>
    <row r="1281" spans="1:5" x14ac:dyDescent="0.2">
      <c r="A1281">
        <v>1274</v>
      </c>
      <c r="B1281">
        <v>1304</v>
      </c>
      <c r="C1281">
        <v>13</v>
      </c>
      <c r="D1281">
        <v>-8.1999999999999993</v>
      </c>
      <c r="E1281">
        <v>1.6</v>
      </c>
    </row>
    <row r="1282" spans="1:5" x14ac:dyDescent="0.2">
      <c r="A1282">
        <v>1275</v>
      </c>
      <c r="B1282">
        <v>1306</v>
      </c>
      <c r="C1282">
        <v>13</v>
      </c>
      <c r="D1282">
        <v>-8.3000000000000007</v>
      </c>
      <c r="E1282">
        <v>1.6</v>
      </c>
    </row>
    <row r="1283" spans="1:5" x14ac:dyDescent="0.2">
      <c r="A1283">
        <v>1276</v>
      </c>
      <c r="B1283">
        <v>1308</v>
      </c>
      <c r="C1283">
        <v>13</v>
      </c>
      <c r="D1283">
        <v>-8.5</v>
      </c>
      <c r="E1283">
        <v>1.6</v>
      </c>
    </row>
    <row r="1284" spans="1:5" x14ac:dyDescent="0.2">
      <c r="A1284">
        <v>1277</v>
      </c>
      <c r="B1284">
        <v>1311</v>
      </c>
      <c r="C1284">
        <v>13</v>
      </c>
      <c r="D1284">
        <v>-8.6</v>
      </c>
      <c r="E1284">
        <v>1.6</v>
      </c>
    </row>
    <row r="1285" spans="1:5" x14ac:dyDescent="0.2">
      <c r="A1285">
        <v>1278</v>
      </c>
      <c r="B1285">
        <v>1313</v>
      </c>
      <c r="C1285">
        <v>13</v>
      </c>
      <c r="D1285">
        <v>-8.8000000000000007</v>
      </c>
      <c r="E1285">
        <v>1.6</v>
      </c>
    </row>
    <row r="1286" spans="1:5" x14ac:dyDescent="0.2">
      <c r="A1286">
        <v>1279</v>
      </c>
      <c r="B1286">
        <v>1316</v>
      </c>
      <c r="C1286">
        <v>13</v>
      </c>
      <c r="D1286">
        <v>-9</v>
      </c>
      <c r="E1286">
        <v>1.6</v>
      </c>
    </row>
    <row r="1287" spans="1:5" x14ac:dyDescent="0.2">
      <c r="A1287">
        <v>1280</v>
      </c>
      <c r="B1287">
        <v>1318</v>
      </c>
      <c r="C1287">
        <v>13</v>
      </c>
      <c r="D1287">
        <v>-9.1999999999999993</v>
      </c>
      <c r="E1287">
        <v>1.6</v>
      </c>
    </row>
    <row r="1288" spans="1:5" x14ac:dyDescent="0.2">
      <c r="A1288">
        <v>1281</v>
      </c>
      <c r="B1288">
        <v>1321</v>
      </c>
      <c r="C1288">
        <v>13</v>
      </c>
      <c r="D1288">
        <v>-9.5</v>
      </c>
      <c r="E1288">
        <v>1.6</v>
      </c>
    </row>
    <row r="1289" spans="1:5" x14ac:dyDescent="0.2">
      <c r="A1289">
        <v>1282</v>
      </c>
      <c r="B1289">
        <v>1324</v>
      </c>
      <c r="C1289">
        <v>14</v>
      </c>
      <c r="D1289">
        <v>-9.6999999999999993</v>
      </c>
      <c r="E1289">
        <v>1.7</v>
      </c>
    </row>
    <row r="1290" spans="1:5" x14ac:dyDescent="0.2">
      <c r="A1290">
        <v>1283</v>
      </c>
      <c r="B1290">
        <v>1327</v>
      </c>
      <c r="C1290">
        <v>14</v>
      </c>
      <c r="D1290">
        <v>-10</v>
      </c>
      <c r="E1290">
        <v>1.7</v>
      </c>
    </row>
    <row r="1291" spans="1:5" x14ac:dyDescent="0.2">
      <c r="A1291">
        <v>1284</v>
      </c>
      <c r="B1291">
        <v>1331</v>
      </c>
      <c r="C1291">
        <v>14</v>
      </c>
      <c r="D1291">
        <v>-10.3</v>
      </c>
      <c r="E1291">
        <v>1.7</v>
      </c>
    </row>
    <row r="1292" spans="1:5" x14ac:dyDescent="0.2">
      <c r="A1292">
        <v>1285</v>
      </c>
      <c r="B1292">
        <v>1334</v>
      </c>
      <c r="C1292">
        <v>14</v>
      </c>
      <c r="D1292">
        <v>-10.5</v>
      </c>
      <c r="E1292">
        <v>1.7</v>
      </c>
    </row>
    <row r="1293" spans="1:5" x14ac:dyDescent="0.2">
      <c r="A1293">
        <v>1286</v>
      </c>
      <c r="B1293">
        <v>1337</v>
      </c>
      <c r="C1293">
        <v>14</v>
      </c>
      <c r="D1293">
        <v>-10.9</v>
      </c>
      <c r="E1293">
        <v>1.7</v>
      </c>
    </row>
    <row r="1294" spans="1:5" x14ac:dyDescent="0.2">
      <c r="A1294">
        <v>1287</v>
      </c>
      <c r="B1294">
        <v>1341</v>
      </c>
      <c r="C1294">
        <v>14</v>
      </c>
      <c r="D1294">
        <v>-11.2</v>
      </c>
      <c r="E1294">
        <v>1.7</v>
      </c>
    </row>
    <row r="1295" spans="1:5" x14ac:dyDescent="0.2">
      <c r="A1295">
        <v>1288</v>
      </c>
      <c r="B1295">
        <v>1345</v>
      </c>
      <c r="C1295">
        <v>14</v>
      </c>
      <c r="D1295">
        <v>-11.5</v>
      </c>
      <c r="E1295">
        <v>1.7</v>
      </c>
    </row>
    <row r="1296" spans="1:5" x14ac:dyDescent="0.2">
      <c r="A1296">
        <v>1289</v>
      </c>
      <c r="B1296">
        <v>1349</v>
      </c>
      <c r="C1296">
        <v>14</v>
      </c>
      <c r="D1296">
        <v>-11.9</v>
      </c>
      <c r="E1296">
        <v>1.7</v>
      </c>
    </row>
    <row r="1297" spans="1:5" x14ac:dyDescent="0.2">
      <c r="A1297">
        <v>1290</v>
      </c>
      <c r="B1297">
        <v>1353</v>
      </c>
      <c r="C1297">
        <v>14</v>
      </c>
      <c r="D1297">
        <v>-12.3</v>
      </c>
      <c r="E1297">
        <v>1.7</v>
      </c>
    </row>
    <row r="1298" spans="1:5" x14ac:dyDescent="0.2">
      <c r="A1298">
        <v>1291</v>
      </c>
      <c r="B1298">
        <v>1357</v>
      </c>
      <c r="C1298">
        <v>13</v>
      </c>
      <c r="D1298">
        <v>-12.6</v>
      </c>
      <c r="E1298">
        <v>1.6</v>
      </c>
    </row>
    <row r="1299" spans="1:5" x14ac:dyDescent="0.2">
      <c r="A1299">
        <v>1292</v>
      </c>
      <c r="B1299">
        <v>1361</v>
      </c>
      <c r="C1299">
        <v>13</v>
      </c>
      <c r="D1299">
        <v>-13</v>
      </c>
      <c r="E1299">
        <v>1.6</v>
      </c>
    </row>
    <row r="1300" spans="1:5" x14ac:dyDescent="0.2">
      <c r="A1300">
        <v>1293</v>
      </c>
      <c r="B1300">
        <v>1365</v>
      </c>
      <c r="C1300">
        <v>13</v>
      </c>
      <c r="D1300">
        <v>-13.4</v>
      </c>
      <c r="E1300">
        <v>1.6</v>
      </c>
    </row>
    <row r="1301" spans="1:5" x14ac:dyDescent="0.2">
      <c r="A1301">
        <v>1294</v>
      </c>
      <c r="B1301">
        <v>1369</v>
      </c>
      <c r="C1301">
        <v>13</v>
      </c>
      <c r="D1301">
        <v>-13.8</v>
      </c>
      <c r="E1301">
        <v>1.6</v>
      </c>
    </row>
    <row r="1302" spans="1:5" x14ac:dyDescent="0.2">
      <c r="A1302">
        <v>1295</v>
      </c>
      <c r="B1302">
        <v>1374</v>
      </c>
      <c r="C1302">
        <v>13</v>
      </c>
      <c r="D1302">
        <v>-14.2</v>
      </c>
      <c r="E1302">
        <v>1.5</v>
      </c>
    </row>
    <row r="1303" spans="1:5" x14ac:dyDescent="0.2">
      <c r="A1303">
        <v>1296</v>
      </c>
      <c r="B1303">
        <v>1378</v>
      </c>
      <c r="C1303">
        <v>13</v>
      </c>
      <c r="D1303">
        <v>-14.7</v>
      </c>
      <c r="E1303">
        <v>1.5</v>
      </c>
    </row>
    <row r="1304" spans="1:5" x14ac:dyDescent="0.2">
      <c r="A1304">
        <v>1297</v>
      </c>
      <c r="B1304">
        <v>1382</v>
      </c>
      <c r="C1304">
        <v>13</v>
      </c>
      <c r="D1304">
        <v>-15.1</v>
      </c>
      <c r="E1304">
        <v>1.5</v>
      </c>
    </row>
    <row r="1305" spans="1:5" x14ac:dyDescent="0.2">
      <c r="A1305">
        <v>1298</v>
      </c>
      <c r="B1305">
        <v>1387</v>
      </c>
      <c r="C1305">
        <v>13</v>
      </c>
      <c r="D1305">
        <v>-15.5</v>
      </c>
      <c r="E1305">
        <v>1.6</v>
      </c>
    </row>
    <row r="1306" spans="1:5" x14ac:dyDescent="0.2">
      <c r="A1306">
        <v>1299</v>
      </c>
      <c r="B1306">
        <v>1391</v>
      </c>
      <c r="C1306">
        <v>13</v>
      </c>
      <c r="D1306">
        <v>-15.9</v>
      </c>
      <c r="E1306">
        <v>1.6</v>
      </c>
    </row>
    <row r="1307" spans="1:5" x14ac:dyDescent="0.2">
      <c r="A1307">
        <v>1300</v>
      </c>
      <c r="B1307">
        <v>1396</v>
      </c>
      <c r="C1307">
        <v>13</v>
      </c>
      <c r="D1307">
        <v>-16.3</v>
      </c>
      <c r="E1307">
        <v>1.6</v>
      </c>
    </row>
    <row r="1308" spans="1:5" x14ac:dyDescent="0.2">
      <c r="A1308">
        <v>1301</v>
      </c>
      <c r="B1308">
        <v>1400</v>
      </c>
      <c r="C1308">
        <v>13</v>
      </c>
      <c r="D1308">
        <v>-16.8</v>
      </c>
      <c r="E1308">
        <v>1.6</v>
      </c>
    </row>
    <row r="1309" spans="1:5" x14ac:dyDescent="0.2">
      <c r="A1309">
        <v>1302</v>
      </c>
      <c r="B1309">
        <v>1404</v>
      </c>
      <c r="C1309">
        <v>13</v>
      </c>
      <c r="D1309">
        <v>-17.2</v>
      </c>
      <c r="E1309">
        <v>1.6</v>
      </c>
    </row>
    <row r="1310" spans="1:5" x14ac:dyDescent="0.2">
      <c r="A1310">
        <v>1303</v>
      </c>
      <c r="B1310">
        <v>1409</v>
      </c>
      <c r="C1310">
        <v>13</v>
      </c>
      <c r="D1310">
        <v>-17.600000000000001</v>
      </c>
      <c r="E1310">
        <v>1.6</v>
      </c>
    </row>
    <row r="1311" spans="1:5" x14ac:dyDescent="0.2">
      <c r="A1311">
        <v>1304</v>
      </c>
      <c r="B1311">
        <v>1413</v>
      </c>
      <c r="C1311">
        <v>13</v>
      </c>
      <c r="D1311">
        <v>-18</v>
      </c>
      <c r="E1311">
        <v>1.6</v>
      </c>
    </row>
    <row r="1312" spans="1:5" x14ac:dyDescent="0.2">
      <c r="A1312">
        <v>1305</v>
      </c>
      <c r="B1312">
        <v>1417</v>
      </c>
      <c r="C1312">
        <v>14</v>
      </c>
      <c r="D1312">
        <v>-18.399999999999999</v>
      </c>
      <c r="E1312">
        <v>1.7</v>
      </c>
    </row>
    <row r="1313" spans="1:5" x14ac:dyDescent="0.2">
      <c r="A1313">
        <v>1306</v>
      </c>
      <c r="B1313">
        <v>1421</v>
      </c>
      <c r="C1313">
        <v>13</v>
      </c>
      <c r="D1313">
        <v>-18.7</v>
      </c>
      <c r="E1313">
        <v>1.6</v>
      </c>
    </row>
    <row r="1314" spans="1:5" x14ac:dyDescent="0.2">
      <c r="A1314">
        <v>1307</v>
      </c>
      <c r="B1314">
        <v>1425</v>
      </c>
      <c r="C1314">
        <v>13</v>
      </c>
      <c r="D1314">
        <v>-19.100000000000001</v>
      </c>
      <c r="E1314">
        <v>1.6</v>
      </c>
    </row>
    <row r="1315" spans="1:5" x14ac:dyDescent="0.2">
      <c r="A1315">
        <v>1308</v>
      </c>
      <c r="B1315">
        <v>1429</v>
      </c>
      <c r="C1315">
        <v>13</v>
      </c>
      <c r="D1315">
        <v>-19.399999999999999</v>
      </c>
      <c r="E1315">
        <v>1.6</v>
      </c>
    </row>
    <row r="1316" spans="1:5" x14ac:dyDescent="0.2">
      <c r="A1316">
        <v>1309</v>
      </c>
      <c r="B1316">
        <v>1432</v>
      </c>
      <c r="C1316">
        <v>13</v>
      </c>
      <c r="D1316">
        <v>-19.8</v>
      </c>
      <c r="E1316">
        <v>1.6</v>
      </c>
    </row>
    <row r="1317" spans="1:5" x14ac:dyDescent="0.2">
      <c r="A1317">
        <v>1310</v>
      </c>
      <c r="B1317">
        <v>1436</v>
      </c>
      <c r="C1317">
        <v>13</v>
      </c>
      <c r="D1317">
        <v>-20.100000000000001</v>
      </c>
      <c r="E1317">
        <v>1.5</v>
      </c>
    </row>
    <row r="1318" spans="1:5" x14ac:dyDescent="0.2">
      <c r="A1318">
        <v>1311</v>
      </c>
      <c r="B1318">
        <v>1439</v>
      </c>
      <c r="C1318">
        <v>12</v>
      </c>
      <c r="D1318">
        <v>-20.399999999999999</v>
      </c>
      <c r="E1318">
        <v>1.5</v>
      </c>
    </row>
    <row r="1319" spans="1:5" x14ac:dyDescent="0.2">
      <c r="A1319">
        <v>1312</v>
      </c>
      <c r="B1319">
        <v>1442</v>
      </c>
      <c r="C1319">
        <v>12</v>
      </c>
      <c r="D1319">
        <v>-20.6</v>
      </c>
      <c r="E1319">
        <v>1.5</v>
      </c>
    </row>
    <row r="1320" spans="1:5" x14ac:dyDescent="0.2">
      <c r="A1320">
        <v>1313</v>
      </c>
      <c r="B1320">
        <v>1445</v>
      </c>
      <c r="C1320">
        <v>12</v>
      </c>
      <c r="D1320">
        <v>-20.9</v>
      </c>
      <c r="E1320">
        <v>1.5</v>
      </c>
    </row>
    <row r="1321" spans="1:5" x14ac:dyDescent="0.2">
      <c r="A1321">
        <v>1314</v>
      </c>
      <c r="B1321">
        <v>1448</v>
      </c>
      <c r="C1321">
        <v>13</v>
      </c>
      <c r="D1321">
        <v>-21</v>
      </c>
      <c r="E1321">
        <v>1.6</v>
      </c>
    </row>
    <row r="1322" spans="1:5" x14ac:dyDescent="0.2">
      <c r="A1322">
        <v>1315</v>
      </c>
      <c r="B1322">
        <v>1450</v>
      </c>
      <c r="C1322">
        <v>13</v>
      </c>
      <c r="D1322">
        <v>-21.2</v>
      </c>
      <c r="E1322">
        <v>1.6</v>
      </c>
    </row>
    <row r="1323" spans="1:5" x14ac:dyDescent="0.2">
      <c r="A1323">
        <v>1316</v>
      </c>
      <c r="B1323">
        <v>1451</v>
      </c>
      <c r="C1323">
        <v>13</v>
      </c>
      <c r="D1323">
        <v>-21.3</v>
      </c>
      <c r="E1323">
        <v>1.6</v>
      </c>
    </row>
    <row r="1324" spans="1:5" x14ac:dyDescent="0.2">
      <c r="A1324">
        <v>1317</v>
      </c>
      <c r="B1324">
        <v>1453</v>
      </c>
      <c r="C1324">
        <v>13</v>
      </c>
      <c r="D1324">
        <v>-21.3</v>
      </c>
      <c r="E1324">
        <v>1.6</v>
      </c>
    </row>
    <row r="1325" spans="1:5" x14ac:dyDescent="0.2">
      <c r="A1325">
        <v>1318</v>
      </c>
      <c r="B1325">
        <v>1453</v>
      </c>
      <c r="C1325">
        <v>13</v>
      </c>
      <c r="D1325">
        <v>-21.2</v>
      </c>
      <c r="E1325">
        <v>1.6</v>
      </c>
    </row>
    <row r="1326" spans="1:5" x14ac:dyDescent="0.2">
      <c r="A1326">
        <v>1319</v>
      </c>
      <c r="B1326">
        <v>1453</v>
      </c>
      <c r="C1326">
        <v>13</v>
      </c>
      <c r="D1326">
        <v>-21.1</v>
      </c>
      <c r="E1326">
        <v>1.6</v>
      </c>
    </row>
    <row r="1327" spans="1:5" x14ac:dyDescent="0.2">
      <c r="A1327">
        <v>1320</v>
      </c>
      <c r="B1327">
        <v>1453</v>
      </c>
      <c r="C1327">
        <v>13</v>
      </c>
      <c r="D1327">
        <v>-21</v>
      </c>
      <c r="E1327">
        <v>1.6</v>
      </c>
    </row>
    <row r="1328" spans="1:5" x14ac:dyDescent="0.2">
      <c r="A1328">
        <v>1321</v>
      </c>
      <c r="B1328">
        <v>1452</v>
      </c>
      <c r="C1328">
        <v>13</v>
      </c>
      <c r="D1328">
        <v>-20.8</v>
      </c>
      <c r="E1328">
        <v>1.6</v>
      </c>
    </row>
    <row r="1329" spans="1:5" x14ac:dyDescent="0.2">
      <c r="A1329">
        <v>1322</v>
      </c>
      <c r="B1329">
        <v>1451</v>
      </c>
      <c r="C1329">
        <v>13</v>
      </c>
      <c r="D1329">
        <v>-20.5</v>
      </c>
      <c r="E1329">
        <v>1.6</v>
      </c>
    </row>
    <row r="1330" spans="1:5" x14ac:dyDescent="0.2">
      <c r="A1330">
        <v>1323</v>
      </c>
      <c r="B1330">
        <v>1450</v>
      </c>
      <c r="C1330">
        <v>13</v>
      </c>
      <c r="D1330">
        <v>-20.2</v>
      </c>
      <c r="E1330">
        <v>1.6</v>
      </c>
    </row>
    <row r="1331" spans="1:5" x14ac:dyDescent="0.2">
      <c r="A1331">
        <v>1324</v>
      </c>
      <c r="B1331">
        <v>1448</v>
      </c>
      <c r="C1331">
        <v>14</v>
      </c>
      <c r="D1331">
        <v>-19.899999999999999</v>
      </c>
      <c r="E1331">
        <v>1.6</v>
      </c>
    </row>
    <row r="1332" spans="1:5" x14ac:dyDescent="0.2">
      <c r="A1332">
        <v>1325</v>
      </c>
      <c r="B1332">
        <v>1447</v>
      </c>
      <c r="C1332">
        <v>14</v>
      </c>
      <c r="D1332">
        <v>-19.600000000000001</v>
      </c>
      <c r="E1332">
        <v>1.7</v>
      </c>
    </row>
    <row r="1333" spans="1:5" x14ac:dyDescent="0.2">
      <c r="A1333">
        <v>1326</v>
      </c>
      <c r="B1333">
        <v>1445</v>
      </c>
      <c r="C1333">
        <v>14</v>
      </c>
      <c r="D1333">
        <v>-19.3</v>
      </c>
      <c r="E1333">
        <v>1.6</v>
      </c>
    </row>
    <row r="1334" spans="1:5" x14ac:dyDescent="0.2">
      <c r="A1334">
        <v>1327</v>
      </c>
      <c r="B1334">
        <v>1444</v>
      </c>
      <c r="C1334">
        <v>13</v>
      </c>
      <c r="D1334">
        <v>-19</v>
      </c>
      <c r="E1334">
        <v>1.6</v>
      </c>
    </row>
    <row r="1335" spans="1:5" x14ac:dyDescent="0.2">
      <c r="A1335">
        <v>1328</v>
      </c>
      <c r="B1335">
        <v>1442</v>
      </c>
      <c r="C1335">
        <v>13</v>
      </c>
      <c r="D1335">
        <v>-18.7</v>
      </c>
      <c r="E1335">
        <v>1.6</v>
      </c>
    </row>
    <row r="1336" spans="1:5" x14ac:dyDescent="0.2">
      <c r="A1336">
        <v>1329</v>
      </c>
      <c r="B1336">
        <v>1441</v>
      </c>
      <c r="C1336">
        <v>13</v>
      </c>
      <c r="D1336">
        <v>-18.399999999999999</v>
      </c>
      <c r="E1336">
        <v>1.6</v>
      </c>
    </row>
    <row r="1337" spans="1:5" x14ac:dyDescent="0.2">
      <c r="A1337">
        <v>1330</v>
      </c>
      <c r="B1337">
        <v>1439</v>
      </c>
      <c r="C1337">
        <v>14</v>
      </c>
      <c r="D1337">
        <v>-18.100000000000001</v>
      </c>
      <c r="E1337">
        <v>1.7</v>
      </c>
    </row>
    <row r="1338" spans="1:5" x14ac:dyDescent="0.2">
      <c r="A1338">
        <v>1331</v>
      </c>
      <c r="B1338">
        <v>1438</v>
      </c>
      <c r="C1338">
        <v>14</v>
      </c>
      <c r="D1338">
        <v>-17.8</v>
      </c>
      <c r="E1338">
        <v>1.7</v>
      </c>
    </row>
    <row r="1339" spans="1:5" x14ac:dyDescent="0.2">
      <c r="A1339">
        <v>1332</v>
      </c>
      <c r="B1339">
        <v>1437</v>
      </c>
      <c r="C1339">
        <v>14</v>
      </c>
      <c r="D1339">
        <v>-17.600000000000001</v>
      </c>
      <c r="E1339">
        <v>1.7</v>
      </c>
    </row>
    <row r="1340" spans="1:5" x14ac:dyDescent="0.2">
      <c r="A1340">
        <v>1333</v>
      </c>
      <c r="B1340">
        <v>1435</v>
      </c>
      <c r="C1340">
        <v>14</v>
      </c>
      <c r="D1340">
        <v>-17.3</v>
      </c>
      <c r="E1340">
        <v>1.7</v>
      </c>
    </row>
    <row r="1341" spans="1:5" x14ac:dyDescent="0.2">
      <c r="A1341">
        <v>1334</v>
      </c>
      <c r="B1341">
        <v>1434</v>
      </c>
      <c r="C1341">
        <v>14</v>
      </c>
      <c r="D1341">
        <v>-17.100000000000001</v>
      </c>
      <c r="E1341">
        <v>1.7</v>
      </c>
    </row>
    <row r="1342" spans="1:5" x14ac:dyDescent="0.2">
      <c r="A1342">
        <v>1335</v>
      </c>
      <c r="B1342">
        <v>1434</v>
      </c>
      <c r="C1342">
        <v>14</v>
      </c>
      <c r="D1342">
        <v>-16.8</v>
      </c>
      <c r="E1342">
        <v>1.7</v>
      </c>
    </row>
    <row r="1343" spans="1:5" x14ac:dyDescent="0.2">
      <c r="A1343">
        <v>1336</v>
      </c>
      <c r="B1343">
        <v>1433</v>
      </c>
      <c r="C1343">
        <v>13</v>
      </c>
      <c r="D1343">
        <v>-16.7</v>
      </c>
      <c r="E1343">
        <v>1.6</v>
      </c>
    </row>
    <row r="1344" spans="1:5" x14ac:dyDescent="0.2">
      <c r="A1344">
        <v>1337</v>
      </c>
      <c r="B1344">
        <v>1433</v>
      </c>
      <c r="C1344">
        <v>13</v>
      </c>
      <c r="D1344">
        <v>-16.5</v>
      </c>
      <c r="E1344">
        <v>1.6</v>
      </c>
    </row>
    <row r="1345" spans="1:5" x14ac:dyDescent="0.2">
      <c r="A1345">
        <v>1338</v>
      </c>
      <c r="B1345">
        <v>1433</v>
      </c>
      <c r="C1345">
        <v>13</v>
      </c>
      <c r="D1345">
        <v>-16.5</v>
      </c>
      <c r="E1345">
        <v>1.6</v>
      </c>
    </row>
    <row r="1346" spans="1:5" x14ac:dyDescent="0.2">
      <c r="A1346">
        <v>1339</v>
      </c>
      <c r="B1346">
        <v>1434</v>
      </c>
      <c r="C1346">
        <v>14</v>
      </c>
      <c r="D1346">
        <v>-16.399999999999999</v>
      </c>
      <c r="E1346">
        <v>1.7</v>
      </c>
    </row>
    <row r="1347" spans="1:5" x14ac:dyDescent="0.2">
      <c r="A1347">
        <v>1340</v>
      </c>
      <c r="B1347">
        <v>1436</v>
      </c>
      <c r="C1347">
        <v>14</v>
      </c>
      <c r="D1347">
        <v>-16.5</v>
      </c>
      <c r="E1347">
        <v>1.7</v>
      </c>
    </row>
    <row r="1348" spans="1:5" x14ac:dyDescent="0.2">
      <c r="A1348">
        <v>1341</v>
      </c>
      <c r="B1348">
        <v>1438</v>
      </c>
      <c r="C1348">
        <v>14</v>
      </c>
      <c r="D1348">
        <v>-16.600000000000001</v>
      </c>
      <c r="E1348">
        <v>1.7</v>
      </c>
    </row>
    <row r="1349" spans="1:5" x14ac:dyDescent="0.2">
      <c r="A1349">
        <v>1342</v>
      </c>
      <c r="B1349">
        <v>1440</v>
      </c>
      <c r="C1349">
        <v>14</v>
      </c>
      <c r="D1349">
        <v>-16.8</v>
      </c>
      <c r="E1349">
        <v>1.7</v>
      </c>
    </row>
    <row r="1350" spans="1:5" x14ac:dyDescent="0.2">
      <c r="A1350">
        <v>1343</v>
      </c>
      <c r="B1350">
        <v>1443</v>
      </c>
      <c r="C1350">
        <v>13</v>
      </c>
      <c r="D1350">
        <v>-17.100000000000001</v>
      </c>
      <c r="E1350">
        <v>1.6</v>
      </c>
    </row>
    <row r="1351" spans="1:5" x14ac:dyDescent="0.2">
      <c r="A1351">
        <v>1344</v>
      </c>
      <c r="B1351">
        <v>1447</v>
      </c>
      <c r="C1351">
        <v>13</v>
      </c>
      <c r="D1351">
        <v>-17.399999999999999</v>
      </c>
      <c r="E1351">
        <v>1.6</v>
      </c>
    </row>
    <row r="1352" spans="1:5" x14ac:dyDescent="0.2">
      <c r="A1352">
        <v>1345</v>
      </c>
      <c r="B1352">
        <v>1451</v>
      </c>
      <c r="C1352">
        <v>13</v>
      </c>
      <c r="D1352">
        <v>-17.7</v>
      </c>
      <c r="E1352">
        <v>1.6</v>
      </c>
    </row>
    <row r="1353" spans="1:5" x14ac:dyDescent="0.2">
      <c r="A1353">
        <v>1346</v>
      </c>
      <c r="B1353">
        <v>1455</v>
      </c>
      <c r="C1353">
        <v>13</v>
      </c>
      <c r="D1353">
        <v>-18.100000000000001</v>
      </c>
      <c r="E1353">
        <v>1.6</v>
      </c>
    </row>
    <row r="1354" spans="1:5" x14ac:dyDescent="0.2">
      <c r="A1354">
        <v>1347</v>
      </c>
      <c r="B1354">
        <v>1459</v>
      </c>
      <c r="C1354">
        <v>13</v>
      </c>
      <c r="D1354">
        <v>-18.5</v>
      </c>
      <c r="E1354">
        <v>1.6</v>
      </c>
    </row>
    <row r="1355" spans="1:5" x14ac:dyDescent="0.2">
      <c r="A1355">
        <v>1348</v>
      </c>
      <c r="B1355">
        <v>1463</v>
      </c>
      <c r="C1355">
        <v>14</v>
      </c>
      <c r="D1355">
        <v>-18.899999999999999</v>
      </c>
      <c r="E1355">
        <v>1.7</v>
      </c>
    </row>
    <row r="1356" spans="1:5" x14ac:dyDescent="0.2">
      <c r="A1356">
        <v>1349</v>
      </c>
      <c r="B1356">
        <v>1467</v>
      </c>
      <c r="C1356">
        <v>14</v>
      </c>
      <c r="D1356">
        <v>-19.2</v>
      </c>
      <c r="E1356">
        <v>1.7</v>
      </c>
    </row>
    <row r="1357" spans="1:5" x14ac:dyDescent="0.2">
      <c r="A1357">
        <v>1350</v>
      </c>
      <c r="B1357">
        <v>1470</v>
      </c>
      <c r="C1357">
        <v>14</v>
      </c>
      <c r="D1357">
        <v>-19.5</v>
      </c>
      <c r="E1357">
        <v>1.7</v>
      </c>
    </row>
    <row r="1358" spans="1:5" x14ac:dyDescent="0.2">
      <c r="A1358">
        <v>1351</v>
      </c>
      <c r="B1358">
        <v>1474</v>
      </c>
      <c r="C1358">
        <v>14</v>
      </c>
      <c r="D1358">
        <v>-19.8</v>
      </c>
      <c r="E1358">
        <v>1.7</v>
      </c>
    </row>
    <row r="1359" spans="1:5" x14ac:dyDescent="0.2">
      <c r="A1359">
        <v>1352</v>
      </c>
      <c r="B1359">
        <v>1477</v>
      </c>
      <c r="C1359">
        <v>14</v>
      </c>
      <c r="D1359">
        <v>-20.100000000000001</v>
      </c>
      <c r="E1359">
        <v>1.7</v>
      </c>
    </row>
    <row r="1360" spans="1:5" x14ac:dyDescent="0.2">
      <c r="A1360">
        <v>1353</v>
      </c>
      <c r="B1360">
        <v>1479</v>
      </c>
      <c r="C1360">
        <v>13</v>
      </c>
      <c r="D1360">
        <v>-20.3</v>
      </c>
      <c r="E1360">
        <v>1.6</v>
      </c>
    </row>
    <row r="1361" spans="1:5" x14ac:dyDescent="0.2">
      <c r="A1361">
        <v>1354</v>
      </c>
      <c r="B1361">
        <v>1481</v>
      </c>
      <c r="C1361">
        <v>13</v>
      </c>
      <c r="D1361">
        <v>-20.399999999999999</v>
      </c>
      <c r="E1361">
        <v>1.6</v>
      </c>
    </row>
    <row r="1362" spans="1:5" x14ac:dyDescent="0.2">
      <c r="A1362">
        <v>1355</v>
      </c>
      <c r="B1362">
        <v>1483</v>
      </c>
      <c r="C1362">
        <v>13</v>
      </c>
      <c r="D1362">
        <v>-20.5</v>
      </c>
      <c r="E1362">
        <v>1.6</v>
      </c>
    </row>
    <row r="1363" spans="1:5" x14ac:dyDescent="0.2">
      <c r="A1363">
        <v>1356</v>
      </c>
      <c r="B1363">
        <v>1485</v>
      </c>
      <c r="C1363">
        <v>13</v>
      </c>
      <c r="D1363">
        <v>-20.6</v>
      </c>
      <c r="E1363">
        <v>1.6</v>
      </c>
    </row>
    <row r="1364" spans="1:5" x14ac:dyDescent="0.2">
      <c r="A1364">
        <v>1357</v>
      </c>
      <c r="B1364">
        <v>1487</v>
      </c>
      <c r="C1364">
        <v>14</v>
      </c>
      <c r="D1364">
        <v>-20.7</v>
      </c>
      <c r="E1364">
        <v>1.7</v>
      </c>
    </row>
    <row r="1365" spans="1:5" x14ac:dyDescent="0.2">
      <c r="A1365">
        <v>1358</v>
      </c>
      <c r="B1365">
        <v>1488</v>
      </c>
      <c r="C1365">
        <v>14</v>
      </c>
      <c r="D1365">
        <v>-20.7</v>
      </c>
      <c r="E1365">
        <v>1.7</v>
      </c>
    </row>
    <row r="1366" spans="1:5" x14ac:dyDescent="0.2">
      <c r="A1366">
        <v>1359</v>
      </c>
      <c r="B1366">
        <v>1489</v>
      </c>
      <c r="C1366">
        <v>14</v>
      </c>
      <c r="D1366">
        <v>-20.7</v>
      </c>
      <c r="E1366">
        <v>1.7</v>
      </c>
    </row>
    <row r="1367" spans="1:5" x14ac:dyDescent="0.2">
      <c r="A1367">
        <v>1360</v>
      </c>
      <c r="B1367">
        <v>1490</v>
      </c>
      <c r="C1367">
        <v>14</v>
      </c>
      <c r="D1367">
        <v>-20.7</v>
      </c>
      <c r="E1367">
        <v>1.7</v>
      </c>
    </row>
    <row r="1368" spans="1:5" x14ac:dyDescent="0.2">
      <c r="A1368">
        <v>1361</v>
      </c>
      <c r="B1368">
        <v>1491</v>
      </c>
      <c r="C1368">
        <v>14</v>
      </c>
      <c r="D1368">
        <v>-20.7</v>
      </c>
      <c r="E1368">
        <v>1.7</v>
      </c>
    </row>
    <row r="1369" spans="1:5" x14ac:dyDescent="0.2">
      <c r="A1369">
        <v>1362</v>
      </c>
      <c r="B1369">
        <v>1491</v>
      </c>
      <c r="C1369">
        <v>13</v>
      </c>
      <c r="D1369">
        <v>-20.7</v>
      </c>
      <c r="E1369">
        <v>1.6</v>
      </c>
    </row>
    <row r="1370" spans="1:5" x14ac:dyDescent="0.2">
      <c r="A1370">
        <v>1363</v>
      </c>
      <c r="B1370">
        <v>1492</v>
      </c>
      <c r="C1370">
        <v>13</v>
      </c>
      <c r="D1370">
        <v>-20.6</v>
      </c>
      <c r="E1370">
        <v>1.6</v>
      </c>
    </row>
    <row r="1371" spans="1:5" x14ac:dyDescent="0.2">
      <c r="A1371">
        <v>1364</v>
      </c>
      <c r="B1371">
        <v>1493</v>
      </c>
      <c r="C1371">
        <v>13</v>
      </c>
      <c r="D1371">
        <v>-20.6</v>
      </c>
      <c r="E1371">
        <v>1.6</v>
      </c>
    </row>
    <row r="1372" spans="1:5" x14ac:dyDescent="0.2">
      <c r="A1372">
        <v>1365</v>
      </c>
      <c r="B1372">
        <v>1493</v>
      </c>
      <c r="C1372">
        <v>14</v>
      </c>
      <c r="D1372">
        <v>-20.6</v>
      </c>
      <c r="E1372">
        <v>1.7</v>
      </c>
    </row>
    <row r="1373" spans="1:5" x14ac:dyDescent="0.2">
      <c r="A1373">
        <v>1366</v>
      </c>
      <c r="B1373">
        <v>1494</v>
      </c>
      <c r="C1373">
        <v>14</v>
      </c>
      <c r="D1373">
        <v>-20.5</v>
      </c>
      <c r="E1373">
        <v>1.7</v>
      </c>
    </row>
    <row r="1374" spans="1:5" x14ac:dyDescent="0.2">
      <c r="A1374">
        <v>1367</v>
      </c>
      <c r="B1374">
        <v>1494</v>
      </c>
      <c r="C1374">
        <v>14</v>
      </c>
      <c r="D1374">
        <v>-20.5</v>
      </c>
      <c r="E1374">
        <v>1.7</v>
      </c>
    </row>
    <row r="1375" spans="1:5" x14ac:dyDescent="0.2">
      <c r="A1375">
        <v>1368</v>
      </c>
      <c r="B1375">
        <v>1495</v>
      </c>
      <c r="C1375">
        <v>14</v>
      </c>
      <c r="D1375">
        <v>-20.399999999999999</v>
      </c>
      <c r="E1375">
        <v>1.7</v>
      </c>
    </row>
    <row r="1376" spans="1:5" x14ac:dyDescent="0.2">
      <c r="A1376">
        <v>1369</v>
      </c>
      <c r="B1376">
        <v>1496</v>
      </c>
      <c r="C1376">
        <v>14</v>
      </c>
      <c r="D1376">
        <v>-20.399999999999999</v>
      </c>
      <c r="E1376">
        <v>1.7</v>
      </c>
    </row>
    <row r="1377" spans="1:5" x14ac:dyDescent="0.2">
      <c r="A1377">
        <v>1370</v>
      </c>
      <c r="B1377">
        <v>1496</v>
      </c>
      <c r="C1377">
        <v>13</v>
      </c>
      <c r="D1377">
        <v>-20.3</v>
      </c>
      <c r="E1377">
        <v>1.6</v>
      </c>
    </row>
    <row r="1378" spans="1:5" x14ac:dyDescent="0.2">
      <c r="A1378">
        <v>1371</v>
      </c>
      <c r="B1378">
        <v>1497</v>
      </c>
      <c r="C1378">
        <v>13</v>
      </c>
      <c r="D1378">
        <v>-20.3</v>
      </c>
      <c r="E1378">
        <v>1.6</v>
      </c>
    </row>
    <row r="1379" spans="1:5" x14ac:dyDescent="0.2">
      <c r="A1379">
        <v>1372</v>
      </c>
      <c r="B1379">
        <v>1498</v>
      </c>
      <c r="C1379">
        <v>14</v>
      </c>
      <c r="D1379">
        <v>-20.3</v>
      </c>
      <c r="E1379">
        <v>1.7</v>
      </c>
    </row>
    <row r="1380" spans="1:5" x14ac:dyDescent="0.2">
      <c r="A1380">
        <v>1373</v>
      </c>
      <c r="B1380">
        <v>1499</v>
      </c>
      <c r="C1380">
        <v>14</v>
      </c>
      <c r="D1380">
        <v>-20.3</v>
      </c>
      <c r="E1380">
        <v>1.7</v>
      </c>
    </row>
    <row r="1381" spans="1:5" x14ac:dyDescent="0.2">
      <c r="A1381">
        <v>1374</v>
      </c>
      <c r="B1381">
        <v>1500</v>
      </c>
      <c r="C1381">
        <v>14</v>
      </c>
      <c r="D1381">
        <v>-20.3</v>
      </c>
      <c r="E1381">
        <v>1.7</v>
      </c>
    </row>
    <row r="1382" spans="1:5" x14ac:dyDescent="0.2">
      <c r="A1382">
        <v>1375</v>
      </c>
      <c r="B1382">
        <v>1501</v>
      </c>
      <c r="C1382">
        <v>14</v>
      </c>
      <c r="D1382">
        <v>-20.399999999999999</v>
      </c>
      <c r="E1382">
        <v>1.7</v>
      </c>
    </row>
    <row r="1383" spans="1:5" x14ac:dyDescent="0.2">
      <c r="A1383">
        <v>1376</v>
      </c>
      <c r="B1383">
        <v>1503</v>
      </c>
      <c r="C1383">
        <v>14</v>
      </c>
      <c r="D1383">
        <v>-20.399999999999999</v>
      </c>
      <c r="E1383">
        <v>1.7</v>
      </c>
    </row>
    <row r="1384" spans="1:5" x14ac:dyDescent="0.2">
      <c r="A1384">
        <v>1377</v>
      </c>
      <c r="B1384">
        <v>1504</v>
      </c>
      <c r="C1384">
        <v>13</v>
      </c>
      <c r="D1384">
        <v>-20.5</v>
      </c>
      <c r="E1384">
        <v>1.6</v>
      </c>
    </row>
    <row r="1385" spans="1:5" x14ac:dyDescent="0.2">
      <c r="A1385">
        <v>1378</v>
      </c>
      <c r="B1385">
        <v>1506</v>
      </c>
      <c r="C1385">
        <v>13</v>
      </c>
      <c r="D1385">
        <v>-20.6</v>
      </c>
      <c r="E1385">
        <v>1.6</v>
      </c>
    </row>
    <row r="1386" spans="1:5" x14ac:dyDescent="0.2">
      <c r="A1386">
        <v>1379</v>
      </c>
      <c r="B1386">
        <v>1508</v>
      </c>
      <c r="C1386">
        <v>13</v>
      </c>
      <c r="D1386">
        <v>-20.7</v>
      </c>
      <c r="E1386">
        <v>1.6</v>
      </c>
    </row>
    <row r="1387" spans="1:5" x14ac:dyDescent="0.2">
      <c r="A1387">
        <v>1380</v>
      </c>
      <c r="B1387">
        <v>1509</v>
      </c>
      <c r="C1387">
        <v>14</v>
      </c>
      <c r="D1387">
        <v>-20.8</v>
      </c>
      <c r="E1387">
        <v>1.6</v>
      </c>
    </row>
    <row r="1388" spans="1:5" x14ac:dyDescent="0.2">
      <c r="A1388">
        <v>1381</v>
      </c>
      <c r="B1388">
        <v>1511</v>
      </c>
      <c r="C1388">
        <v>14</v>
      </c>
      <c r="D1388">
        <v>-20.9</v>
      </c>
      <c r="E1388">
        <v>1.7</v>
      </c>
    </row>
    <row r="1389" spans="1:5" x14ac:dyDescent="0.2">
      <c r="A1389">
        <v>1382</v>
      </c>
      <c r="B1389">
        <v>1513</v>
      </c>
      <c r="C1389">
        <v>14</v>
      </c>
      <c r="D1389">
        <v>-21</v>
      </c>
      <c r="E1389">
        <v>1.7</v>
      </c>
    </row>
    <row r="1390" spans="1:5" x14ac:dyDescent="0.2">
      <c r="A1390">
        <v>1383</v>
      </c>
      <c r="B1390">
        <v>1515</v>
      </c>
      <c r="C1390">
        <v>14</v>
      </c>
      <c r="D1390">
        <v>-21.1</v>
      </c>
      <c r="E1390">
        <v>1.7</v>
      </c>
    </row>
    <row r="1391" spans="1:5" x14ac:dyDescent="0.2">
      <c r="A1391">
        <v>1384</v>
      </c>
      <c r="B1391">
        <v>1517</v>
      </c>
      <c r="C1391">
        <v>14</v>
      </c>
      <c r="D1391">
        <v>-21.2</v>
      </c>
      <c r="E1391">
        <v>1.6</v>
      </c>
    </row>
    <row r="1392" spans="1:5" x14ac:dyDescent="0.2">
      <c r="A1392">
        <v>1385</v>
      </c>
      <c r="B1392">
        <v>1519</v>
      </c>
      <c r="C1392">
        <v>13</v>
      </c>
      <c r="D1392">
        <v>-21.4</v>
      </c>
      <c r="E1392">
        <v>1.6</v>
      </c>
    </row>
    <row r="1393" spans="1:5" x14ac:dyDescent="0.2">
      <c r="A1393">
        <v>1386</v>
      </c>
      <c r="B1393">
        <v>1521</v>
      </c>
      <c r="C1393">
        <v>13</v>
      </c>
      <c r="D1393">
        <v>-21.5</v>
      </c>
      <c r="E1393">
        <v>1.6</v>
      </c>
    </row>
    <row r="1394" spans="1:5" x14ac:dyDescent="0.2">
      <c r="A1394">
        <v>1387</v>
      </c>
      <c r="B1394">
        <v>1523</v>
      </c>
      <c r="C1394">
        <v>13</v>
      </c>
      <c r="D1394">
        <v>-21.6</v>
      </c>
      <c r="E1394">
        <v>1.6</v>
      </c>
    </row>
    <row r="1395" spans="1:5" x14ac:dyDescent="0.2">
      <c r="A1395">
        <v>1388</v>
      </c>
      <c r="B1395">
        <v>1525</v>
      </c>
      <c r="C1395">
        <v>13</v>
      </c>
      <c r="D1395">
        <v>-21.7</v>
      </c>
      <c r="E1395">
        <v>1.6</v>
      </c>
    </row>
    <row r="1396" spans="1:5" x14ac:dyDescent="0.2">
      <c r="A1396">
        <v>1389</v>
      </c>
      <c r="B1396">
        <v>1526</v>
      </c>
      <c r="C1396">
        <v>13</v>
      </c>
      <c r="D1396">
        <v>-21.7</v>
      </c>
      <c r="E1396">
        <v>1.6</v>
      </c>
    </row>
    <row r="1397" spans="1:5" x14ac:dyDescent="0.2">
      <c r="A1397">
        <v>1390</v>
      </c>
      <c r="B1397">
        <v>1528</v>
      </c>
      <c r="C1397">
        <v>14</v>
      </c>
      <c r="D1397">
        <v>-21.8</v>
      </c>
      <c r="E1397">
        <v>1.7</v>
      </c>
    </row>
    <row r="1398" spans="1:5" x14ac:dyDescent="0.2">
      <c r="A1398">
        <v>1391</v>
      </c>
      <c r="B1398">
        <v>1529</v>
      </c>
      <c r="C1398">
        <v>14</v>
      </c>
      <c r="D1398">
        <v>-21.8</v>
      </c>
      <c r="E1398">
        <v>1.7</v>
      </c>
    </row>
    <row r="1399" spans="1:5" x14ac:dyDescent="0.2">
      <c r="A1399">
        <v>1392</v>
      </c>
      <c r="B1399">
        <v>1529</v>
      </c>
      <c r="C1399">
        <v>14</v>
      </c>
      <c r="D1399">
        <v>-21.8</v>
      </c>
      <c r="E1399">
        <v>1.7</v>
      </c>
    </row>
    <row r="1400" spans="1:5" x14ac:dyDescent="0.2">
      <c r="A1400">
        <v>1393</v>
      </c>
      <c r="B1400">
        <v>1530</v>
      </c>
      <c r="C1400">
        <v>13</v>
      </c>
      <c r="D1400">
        <v>-21.8</v>
      </c>
      <c r="E1400">
        <v>1.6</v>
      </c>
    </row>
    <row r="1401" spans="1:5" x14ac:dyDescent="0.2">
      <c r="A1401">
        <v>1394</v>
      </c>
      <c r="B1401">
        <v>1531</v>
      </c>
      <c r="C1401">
        <v>13</v>
      </c>
      <c r="D1401">
        <v>-21.7</v>
      </c>
      <c r="E1401">
        <v>1.6</v>
      </c>
    </row>
    <row r="1402" spans="1:5" x14ac:dyDescent="0.2">
      <c r="A1402">
        <v>1395</v>
      </c>
      <c r="B1402">
        <v>1531</v>
      </c>
      <c r="C1402">
        <v>13</v>
      </c>
      <c r="D1402">
        <v>-21.7</v>
      </c>
      <c r="E1402">
        <v>1.6</v>
      </c>
    </row>
    <row r="1403" spans="1:5" x14ac:dyDescent="0.2">
      <c r="A1403">
        <v>1396</v>
      </c>
      <c r="B1403">
        <v>1532</v>
      </c>
      <c r="C1403">
        <v>13</v>
      </c>
      <c r="D1403">
        <v>-21.6</v>
      </c>
      <c r="E1403">
        <v>1.6</v>
      </c>
    </row>
    <row r="1404" spans="1:5" x14ac:dyDescent="0.2">
      <c r="A1404">
        <v>1397</v>
      </c>
      <c r="B1404">
        <v>1533</v>
      </c>
      <c r="C1404">
        <v>13</v>
      </c>
      <c r="D1404">
        <v>-21.6</v>
      </c>
      <c r="E1404">
        <v>1.6</v>
      </c>
    </row>
    <row r="1405" spans="1:5" x14ac:dyDescent="0.2">
      <c r="A1405">
        <v>1398</v>
      </c>
      <c r="B1405">
        <v>1534</v>
      </c>
      <c r="C1405">
        <v>13</v>
      </c>
      <c r="D1405">
        <v>-21.6</v>
      </c>
      <c r="E1405">
        <v>1.6</v>
      </c>
    </row>
    <row r="1406" spans="1:5" x14ac:dyDescent="0.2">
      <c r="A1406">
        <v>1399</v>
      </c>
      <c r="B1406">
        <v>1535</v>
      </c>
      <c r="C1406">
        <v>13</v>
      </c>
      <c r="D1406">
        <v>-21.6</v>
      </c>
      <c r="E1406">
        <v>1.6</v>
      </c>
    </row>
    <row r="1407" spans="1:5" x14ac:dyDescent="0.2">
      <c r="A1407">
        <v>1400</v>
      </c>
      <c r="B1407">
        <v>1537</v>
      </c>
      <c r="C1407">
        <v>13</v>
      </c>
      <c r="D1407">
        <v>-21.7</v>
      </c>
      <c r="E1407">
        <v>1.6</v>
      </c>
    </row>
    <row r="1408" spans="1:5" x14ac:dyDescent="0.2">
      <c r="A1408">
        <v>1401</v>
      </c>
      <c r="B1408">
        <v>1539</v>
      </c>
      <c r="C1408">
        <v>13</v>
      </c>
      <c r="D1408">
        <v>-21.8</v>
      </c>
      <c r="E1408">
        <v>1.6</v>
      </c>
    </row>
    <row r="1409" spans="1:5" x14ac:dyDescent="0.2">
      <c r="A1409">
        <v>1402</v>
      </c>
      <c r="B1409">
        <v>1541</v>
      </c>
      <c r="C1409">
        <v>13</v>
      </c>
      <c r="D1409">
        <v>-22</v>
      </c>
      <c r="E1409">
        <v>1.6</v>
      </c>
    </row>
    <row r="1410" spans="1:5" x14ac:dyDescent="0.2">
      <c r="A1410">
        <v>1403</v>
      </c>
      <c r="B1410">
        <v>1544</v>
      </c>
      <c r="C1410">
        <v>13</v>
      </c>
      <c r="D1410">
        <v>-22.2</v>
      </c>
      <c r="E1410">
        <v>1.5</v>
      </c>
    </row>
    <row r="1411" spans="1:5" x14ac:dyDescent="0.2">
      <c r="A1411">
        <v>1404</v>
      </c>
      <c r="B1411">
        <v>1547</v>
      </c>
      <c r="C1411">
        <v>13</v>
      </c>
      <c r="D1411">
        <v>-22.4</v>
      </c>
      <c r="E1411">
        <v>1.5</v>
      </c>
    </row>
    <row r="1412" spans="1:5" x14ac:dyDescent="0.2">
      <c r="A1412">
        <v>1405</v>
      </c>
      <c r="B1412">
        <v>1550</v>
      </c>
      <c r="C1412">
        <v>13</v>
      </c>
      <c r="D1412">
        <v>-22.7</v>
      </c>
      <c r="E1412">
        <v>1.5</v>
      </c>
    </row>
    <row r="1413" spans="1:5" x14ac:dyDescent="0.2">
      <c r="A1413">
        <v>1406</v>
      </c>
      <c r="B1413">
        <v>1553</v>
      </c>
      <c r="C1413">
        <v>13</v>
      </c>
      <c r="D1413">
        <v>-23</v>
      </c>
      <c r="E1413">
        <v>1.5</v>
      </c>
    </row>
    <row r="1414" spans="1:5" x14ac:dyDescent="0.2">
      <c r="A1414">
        <v>1407</v>
      </c>
      <c r="B1414">
        <v>1556</v>
      </c>
      <c r="C1414">
        <v>13</v>
      </c>
      <c r="D1414">
        <v>-23.2</v>
      </c>
      <c r="E1414">
        <v>1.5</v>
      </c>
    </row>
    <row r="1415" spans="1:5" x14ac:dyDescent="0.2">
      <c r="A1415">
        <v>1408</v>
      </c>
      <c r="B1415">
        <v>1559</v>
      </c>
      <c r="C1415">
        <v>12</v>
      </c>
      <c r="D1415">
        <v>-23.5</v>
      </c>
      <c r="E1415">
        <v>1.5</v>
      </c>
    </row>
    <row r="1416" spans="1:5" x14ac:dyDescent="0.2">
      <c r="A1416">
        <v>1409</v>
      </c>
      <c r="B1416">
        <v>1562</v>
      </c>
      <c r="C1416">
        <v>12</v>
      </c>
      <c r="D1416">
        <v>-23.8</v>
      </c>
      <c r="E1416">
        <v>1.5</v>
      </c>
    </row>
    <row r="1417" spans="1:5" x14ac:dyDescent="0.2">
      <c r="A1417">
        <v>1410</v>
      </c>
      <c r="B1417">
        <v>1566</v>
      </c>
      <c r="C1417">
        <v>13</v>
      </c>
      <c r="D1417">
        <v>-24</v>
      </c>
      <c r="E1417">
        <v>1.5</v>
      </c>
    </row>
    <row r="1418" spans="1:5" x14ac:dyDescent="0.2">
      <c r="A1418">
        <v>1411</v>
      </c>
      <c r="B1418">
        <v>1569</v>
      </c>
      <c r="C1418">
        <v>13</v>
      </c>
      <c r="D1418">
        <v>-24.3</v>
      </c>
      <c r="E1418">
        <v>1.6</v>
      </c>
    </row>
    <row r="1419" spans="1:5" x14ac:dyDescent="0.2">
      <c r="A1419">
        <v>1412</v>
      </c>
      <c r="B1419">
        <v>1572</v>
      </c>
      <c r="C1419">
        <v>13</v>
      </c>
      <c r="D1419">
        <v>-24.6</v>
      </c>
      <c r="E1419">
        <v>1.6</v>
      </c>
    </row>
    <row r="1420" spans="1:5" x14ac:dyDescent="0.2">
      <c r="A1420">
        <v>1413</v>
      </c>
      <c r="B1420">
        <v>1575</v>
      </c>
      <c r="C1420">
        <v>13</v>
      </c>
      <c r="D1420">
        <v>-24.9</v>
      </c>
      <c r="E1420">
        <v>1.6</v>
      </c>
    </row>
    <row r="1421" spans="1:5" x14ac:dyDescent="0.2">
      <c r="A1421">
        <v>1414</v>
      </c>
      <c r="B1421">
        <v>1579</v>
      </c>
      <c r="C1421">
        <v>13</v>
      </c>
      <c r="D1421">
        <v>-25.1</v>
      </c>
      <c r="E1421">
        <v>1.5</v>
      </c>
    </row>
    <row r="1422" spans="1:5" x14ac:dyDescent="0.2">
      <c r="A1422">
        <v>1415</v>
      </c>
      <c r="B1422">
        <v>1582</v>
      </c>
      <c r="C1422">
        <v>12</v>
      </c>
      <c r="D1422">
        <v>-25.4</v>
      </c>
      <c r="E1422">
        <v>1.5</v>
      </c>
    </row>
    <row r="1423" spans="1:5" x14ac:dyDescent="0.2">
      <c r="A1423">
        <v>1416</v>
      </c>
      <c r="B1423">
        <v>1585</v>
      </c>
      <c r="C1423">
        <v>12</v>
      </c>
      <c r="D1423">
        <v>-25.7</v>
      </c>
      <c r="E1423">
        <v>1.5</v>
      </c>
    </row>
    <row r="1424" spans="1:5" x14ac:dyDescent="0.2">
      <c r="A1424">
        <v>1417</v>
      </c>
      <c r="B1424">
        <v>1588</v>
      </c>
      <c r="C1424">
        <v>13</v>
      </c>
      <c r="D1424">
        <v>-25.9</v>
      </c>
      <c r="E1424">
        <v>1.5</v>
      </c>
    </row>
    <row r="1425" spans="1:5" x14ac:dyDescent="0.2">
      <c r="A1425">
        <v>1418</v>
      </c>
      <c r="B1425">
        <v>1591</v>
      </c>
      <c r="C1425">
        <v>13</v>
      </c>
      <c r="D1425">
        <v>-26.1</v>
      </c>
      <c r="E1425">
        <v>1.6</v>
      </c>
    </row>
    <row r="1426" spans="1:5" x14ac:dyDescent="0.2">
      <c r="A1426">
        <v>1419</v>
      </c>
      <c r="B1426">
        <v>1593</v>
      </c>
      <c r="C1426">
        <v>13</v>
      </c>
      <c r="D1426">
        <v>-26.3</v>
      </c>
      <c r="E1426">
        <v>1.6</v>
      </c>
    </row>
    <row r="1427" spans="1:5" x14ac:dyDescent="0.2">
      <c r="A1427">
        <v>1420</v>
      </c>
      <c r="B1427">
        <v>1595</v>
      </c>
      <c r="C1427">
        <v>13</v>
      </c>
      <c r="D1427">
        <v>-26.5</v>
      </c>
      <c r="E1427">
        <v>1.6</v>
      </c>
    </row>
    <row r="1428" spans="1:5" x14ac:dyDescent="0.2">
      <c r="A1428">
        <v>1421</v>
      </c>
      <c r="B1428">
        <v>1597</v>
      </c>
      <c r="C1428">
        <v>13</v>
      </c>
      <c r="D1428">
        <v>-26.6</v>
      </c>
      <c r="E1428">
        <v>1.5</v>
      </c>
    </row>
    <row r="1429" spans="1:5" x14ac:dyDescent="0.2">
      <c r="A1429">
        <v>1422</v>
      </c>
      <c r="B1429">
        <v>1599</v>
      </c>
      <c r="C1429">
        <v>13</v>
      </c>
      <c r="D1429">
        <v>-26.7</v>
      </c>
      <c r="E1429">
        <v>1.5</v>
      </c>
    </row>
    <row r="1430" spans="1:5" x14ac:dyDescent="0.2">
      <c r="A1430">
        <v>1423</v>
      </c>
      <c r="B1430">
        <v>1600</v>
      </c>
      <c r="C1430">
        <v>12</v>
      </c>
      <c r="D1430">
        <v>-26.7</v>
      </c>
      <c r="E1430">
        <v>1.5</v>
      </c>
    </row>
    <row r="1431" spans="1:5" x14ac:dyDescent="0.2">
      <c r="A1431">
        <v>1424</v>
      </c>
      <c r="B1431">
        <v>1601</v>
      </c>
      <c r="C1431">
        <v>13</v>
      </c>
      <c r="D1431">
        <v>-26.7</v>
      </c>
      <c r="E1431">
        <v>1.5</v>
      </c>
    </row>
    <row r="1432" spans="1:5" x14ac:dyDescent="0.2">
      <c r="A1432">
        <v>1425</v>
      </c>
      <c r="B1432">
        <v>1602</v>
      </c>
      <c r="C1432">
        <v>13</v>
      </c>
      <c r="D1432">
        <v>-26.7</v>
      </c>
      <c r="E1432">
        <v>1.5</v>
      </c>
    </row>
    <row r="1433" spans="1:5" x14ac:dyDescent="0.2">
      <c r="A1433">
        <v>1426</v>
      </c>
      <c r="B1433">
        <v>1603</v>
      </c>
      <c r="C1433">
        <v>13</v>
      </c>
      <c r="D1433">
        <v>-26.7</v>
      </c>
      <c r="E1433">
        <v>1.5</v>
      </c>
    </row>
    <row r="1434" spans="1:5" x14ac:dyDescent="0.2">
      <c r="A1434">
        <v>1427</v>
      </c>
      <c r="B1434">
        <v>1603</v>
      </c>
      <c r="C1434">
        <v>12</v>
      </c>
      <c r="D1434">
        <v>-26.6</v>
      </c>
      <c r="E1434">
        <v>1.5</v>
      </c>
    </row>
    <row r="1435" spans="1:5" x14ac:dyDescent="0.2">
      <c r="A1435">
        <v>1428</v>
      </c>
      <c r="B1435">
        <v>1603</v>
      </c>
      <c r="C1435">
        <v>12</v>
      </c>
      <c r="D1435">
        <v>-26.5</v>
      </c>
      <c r="E1435">
        <v>1.5</v>
      </c>
    </row>
    <row r="1436" spans="1:5" x14ac:dyDescent="0.2">
      <c r="A1436">
        <v>1429</v>
      </c>
      <c r="B1436">
        <v>1602</v>
      </c>
      <c r="C1436">
        <v>13</v>
      </c>
      <c r="D1436">
        <v>-26.3</v>
      </c>
      <c r="E1436">
        <v>1.5</v>
      </c>
    </row>
    <row r="1437" spans="1:5" x14ac:dyDescent="0.2">
      <c r="A1437">
        <v>1430</v>
      </c>
      <c r="B1437">
        <v>1602</v>
      </c>
      <c r="C1437">
        <v>13</v>
      </c>
      <c r="D1437">
        <v>-26</v>
      </c>
      <c r="E1437">
        <v>1.6</v>
      </c>
    </row>
    <row r="1438" spans="1:5" x14ac:dyDescent="0.2">
      <c r="A1438">
        <v>1431</v>
      </c>
      <c r="B1438">
        <v>1600</v>
      </c>
      <c r="C1438">
        <v>13</v>
      </c>
      <c r="D1438">
        <v>-25.8</v>
      </c>
      <c r="E1438">
        <v>1.6</v>
      </c>
    </row>
    <row r="1439" spans="1:5" x14ac:dyDescent="0.2">
      <c r="A1439">
        <v>1432</v>
      </c>
      <c r="B1439">
        <v>1599</v>
      </c>
      <c r="C1439">
        <v>13</v>
      </c>
      <c r="D1439">
        <v>-25.4</v>
      </c>
      <c r="E1439">
        <v>1.6</v>
      </c>
    </row>
    <row r="1440" spans="1:5" x14ac:dyDescent="0.2">
      <c r="A1440">
        <v>1433</v>
      </c>
      <c r="B1440">
        <v>1597</v>
      </c>
      <c r="C1440">
        <v>13</v>
      </c>
      <c r="D1440">
        <v>-25.1</v>
      </c>
      <c r="E1440">
        <v>1.5</v>
      </c>
    </row>
    <row r="1441" spans="1:5" x14ac:dyDescent="0.2">
      <c r="A1441">
        <v>1434</v>
      </c>
      <c r="B1441">
        <v>1595</v>
      </c>
      <c r="C1441">
        <v>13</v>
      </c>
      <c r="D1441">
        <v>-24.7</v>
      </c>
      <c r="E1441">
        <v>1.5</v>
      </c>
    </row>
    <row r="1442" spans="1:5" x14ac:dyDescent="0.2">
      <c r="A1442">
        <v>1435</v>
      </c>
      <c r="B1442">
        <v>1593</v>
      </c>
      <c r="C1442">
        <v>13</v>
      </c>
      <c r="D1442">
        <v>-24.4</v>
      </c>
      <c r="E1442">
        <v>1.5</v>
      </c>
    </row>
    <row r="1443" spans="1:5" x14ac:dyDescent="0.2">
      <c r="A1443">
        <v>1436</v>
      </c>
      <c r="B1443">
        <v>1592</v>
      </c>
      <c r="C1443">
        <v>13</v>
      </c>
      <c r="D1443">
        <v>-24.1</v>
      </c>
      <c r="E1443">
        <v>1.6</v>
      </c>
    </row>
    <row r="1444" spans="1:5" x14ac:dyDescent="0.2">
      <c r="A1444">
        <v>1437</v>
      </c>
      <c r="B1444">
        <v>1591</v>
      </c>
      <c r="C1444">
        <v>13</v>
      </c>
      <c r="D1444">
        <v>-23.9</v>
      </c>
      <c r="E1444">
        <v>1.6</v>
      </c>
    </row>
    <row r="1445" spans="1:5" x14ac:dyDescent="0.2">
      <c r="A1445">
        <v>1438</v>
      </c>
      <c r="B1445">
        <v>1591</v>
      </c>
      <c r="C1445">
        <v>13</v>
      </c>
      <c r="D1445">
        <v>-23.8</v>
      </c>
      <c r="E1445">
        <v>1.5</v>
      </c>
    </row>
    <row r="1446" spans="1:5" x14ac:dyDescent="0.2">
      <c r="A1446">
        <v>1439</v>
      </c>
      <c r="B1446">
        <v>1592</v>
      </c>
      <c r="C1446">
        <v>13</v>
      </c>
      <c r="D1446">
        <v>-23.8</v>
      </c>
      <c r="E1446">
        <v>1.5</v>
      </c>
    </row>
    <row r="1447" spans="1:5" x14ac:dyDescent="0.2">
      <c r="A1447">
        <v>1440</v>
      </c>
      <c r="B1447">
        <v>1592</v>
      </c>
      <c r="C1447">
        <v>12</v>
      </c>
      <c r="D1447">
        <v>-23.8</v>
      </c>
      <c r="E1447">
        <v>1.5</v>
      </c>
    </row>
    <row r="1448" spans="1:5" x14ac:dyDescent="0.2">
      <c r="A1448">
        <v>1441</v>
      </c>
      <c r="B1448">
        <v>1594</v>
      </c>
      <c r="C1448">
        <v>12</v>
      </c>
      <c r="D1448">
        <v>-23.8</v>
      </c>
      <c r="E1448">
        <v>1.5</v>
      </c>
    </row>
    <row r="1449" spans="1:5" x14ac:dyDescent="0.2">
      <c r="A1449">
        <v>1442</v>
      </c>
      <c r="B1449">
        <v>1595</v>
      </c>
      <c r="C1449">
        <v>13</v>
      </c>
      <c r="D1449">
        <v>-23.8</v>
      </c>
      <c r="E1449">
        <v>1.5</v>
      </c>
    </row>
    <row r="1450" spans="1:5" x14ac:dyDescent="0.2">
      <c r="A1450">
        <v>1443</v>
      </c>
      <c r="B1450">
        <v>1596</v>
      </c>
      <c r="C1450">
        <v>13</v>
      </c>
      <c r="D1450">
        <v>-23.9</v>
      </c>
      <c r="E1450">
        <v>1.5</v>
      </c>
    </row>
    <row r="1451" spans="1:5" x14ac:dyDescent="0.2">
      <c r="A1451">
        <v>1444</v>
      </c>
      <c r="B1451">
        <v>1597</v>
      </c>
      <c r="C1451">
        <v>13</v>
      </c>
      <c r="D1451">
        <v>-23.9</v>
      </c>
      <c r="E1451">
        <v>1.5</v>
      </c>
    </row>
    <row r="1452" spans="1:5" x14ac:dyDescent="0.2">
      <c r="A1452">
        <v>1445</v>
      </c>
      <c r="B1452">
        <v>1598</v>
      </c>
      <c r="C1452">
        <v>13</v>
      </c>
      <c r="D1452">
        <v>-23.9</v>
      </c>
      <c r="E1452">
        <v>1.5</v>
      </c>
    </row>
    <row r="1453" spans="1:5" x14ac:dyDescent="0.2">
      <c r="A1453">
        <v>1446</v>
      </c>
      <c r="B1453">
        <v>1598</v>
      </c>
      <c r="C1453">
        <v>12</v>
      </c>
      <c r="D1453">
        <v>-23.8</v>
      </c>
      <c r="E1453">
        <v>1.5</v>
      </c>
    </row>
    <row r="1454" spans="1:5" x14ac:dyDescent="0.2">
      <c r="A1454">
        <v>1447</v>
      </c>
      <c r="B1454">
        <v>1598</v>
      </c>
      <c r="C1454">
        <v>12</v>
      </c>
      <c r="D1454">
        <v>-23.6</v>
      </c>
      <c r="E1454">
        <v>1.5</v>
      </c>
    </row>
    <row r="1455" spans="1:5" x14ac:dyDescent="0.2">
      <c r="A1455">
        <v>1448</v>
      </c>
      <c r="B1455">
        <v>1598</v>
      </c>
      <c r="C1455">
        <v>12</v>
      </c>
      <c r="D1455">
        <v>-23.5</v>
      </c>
      <c r="E1455">
        <v>1.5</v>
      </c>
    </row>
    <row r="1456" spans="1:5" x14ac:dyDescent="0.2">
      <c r="A1456">
        <v>1449</v>
      </c>
      <c r="B1456">
        <v>1597</v>
      </c>
      <c r="C1456">
        <v>13</v>
      </c>
      <c r="D1456">
        <v>-23.2</v>
      </c>
      <c r="E1456">
        <v>1.5</v>
      </c>
    </row>
    <row r="1457" spans="1:5" x14ac:dyDescent="0.2">
      <c r="A1457">
        <v>1450</v>
      </c>
      <c r="B1457">
        <v>1595</v>
      </c>
      <c r="C1457">
        <v>13</v>
      </c>
      <c r="D1457">
        <v>-22.9</v>
      </c>
      <c r="E1457">
        <v>1.6</v>
      </c>
    </row>
    <row r="1458" spans="1:5" x14ac:dyDescent="0.2">
      <c r="A1458">
        <v>1451</v>
      </c>
      <c r="B1458">
        <v>1593</v>
      </c>
      <c r="C1458">
        <v>13</v>
      </c>
      <c r="D1458">
        <v>-22.5</v>
      </c>
      <c r="E1458">
        <v>1.5</v>
      </c>
    </row>
    <row r="1459" spans="1:5" x14ac:dyDescent="0.2">
      <c r="A1459">
        <v>1452</v>
      </c>
      <c r="B1459">
        <v>1590</v>
      </c>
      <c r="C1459">
        <v>12</v>
      </c>
      <c r="D1459">
        <v>-22.1</v>
      </c>
      <c r="E1459">
        <v>1.5</v>
      </c>
    </row>
    <row r="1460" spans="1:5" x14ac:dyDescent="0.2">
      <c r="A1460">
        <v>1453</v>
      </c>
      <c r="B1460">
        <v>1588</v>
      </c>
      <c r="C1460">
        <v>12</v>
      </c>
      <c r="D1460">
        <v>-21.7</v>
      </c>
      <c r="E1460">
        <v>1.5</v>
      </c>
    </row>
    <row r="1461" spans="1:5" x14ac:dyDescent="0.2">
      <c r="A1461">
        <v>1454</v>
      </c>
      <c r="B1461">
        <v>1585</v>
      </c>
      <c r="C1461">
        <v>12</v>
      </c>
      <c r="D1461">
        <v>-21.2</v>
      </c>
      <c r="E1461">
        <v>1.5</v>
      </c>
    </row>
    <row r="1462" spans="1:5" x14ac:dyDescent="0.2">
      <c r="A1462">
        <v>1455</v>
      </c>
      <c r="B1462">
        <v>1582</v>
      </c>
      <c r="C1462">
        <v>13</v>
      </c>
      <c r="D1462">
        <v>-20.8</v>
      </c>
      <c r="E1462">
        <v>1.5</v>
      </c>
    </row>
    <row r="1463" spans="1:5" x14ac:dyDescent="0.2">
      <c r="A1463">
        <v>1456</v>
      </c>
      <c r="B1463">
        <v>1580</v>
      </c>
      <c r="C1463">
        <v>13</v>
      </c>
      <c r="D1463">
        <v>-20.399999999999999</v>
      </c>
      <c r="E1463">
        <v>1.5</v>
      </c>
    </row>
    <row r="1464" spans="1:5" x14ac:dyDescent="0.2">
      <c r="A1464">
        <v>1457</v>
      </c>
      <c r="B1464">
        <v>1578</v>
      </c>
      <c r="C1464">
        <v>12</v>
      </c>
      <c r="D1464">
        <v>-20</v>
      </c>
      <c r="E1464">
        <v>1.5</v>
      </c>
    </row>
    <row r="1465" spans="1:5" x14ac:dyDescent="0.2">
      <c r="A1465">
        <v>1458</v>
      </c>
      <c r="B1465">
        <v>1577</v>
      </c>
      <c r="C1465">
        <v>12</v>
      </c>
      <c r="D1465">
        <v>-19.7</v>
      </c>
      <c r="E1465">
        <v>1.5</v>
      </c>
    </row>
    <row r="1466" spans="1:5" x14ac:dyDescent="0.2">
      <c r="A1466">
        <v>1459</v>
      </c>
      <c r="B1466">
        <v>1575</v>
      </c>
      <c r="C1466">
        <v>12</v>
      </c>
      <c r="D1466">
        <v>-19.399999999999999</v>
      </c>
      <c r="E1466">
        <v>1.5</v>
      </c>
    </row>
    <row r="1467" spans="1:5" x14ac:dyDescent="0.2">
      <c r="A1467">
        <v>1460</v>
      </c>
      <c r="B1467">
        <v>1575</v>
      </c>
      <c r="C1467">
        <v>12</v>
      </c>
      <c r="D1467">
        <v>-19.2</v>
      </c>
      <c r="E1467">
        <v>1.5</v>
      </c>
    </row>
    <row r="1468" spans="1:5" x14ac:dyDescent="0.2">
      <c r="A1468">
        <v>1461</v>
      </c>
      <c r="B1468">
        <v>1574</v>
      </c>
      <c r="C1468">
        <v>12</v>
      </c>
      <c r="D1468">
        <v>-19</v>
      </c>
      <c r="E1468">
        <v>1.5</v>
      </c>
    </row>
    <row r="1469" spans="1:5" x14ac:dyDescent="0.2">
      <c r="A1469">
        <v>1462</v>
      </c>
      <c r="B1469">
        <v>1574</v>
      </c>
      <c r="C1469">
        <v>12</v>
      </c>
      <c r="D1469">
        <v>-18.899999999999999</v>
      </c>
      <c r="E1469">
        <v>1.5</v>
      </c>
    </row>
    <row r="1470" spans="1:5" x14ac:dyDescent="0.2">
      <c r="A1470">
        <v>1463</v>
      </c>
      <c r="B1470">
        <v>1573</v>
      </c>
      <c r="C1470">
        <v>12</v>
      </c>
      <c r="D1470">
        <v>-18.7</v>
      </c>
      <c r="E1470">
        <v>1.4</v>
      </c>
    </row>
    <row r="1471" spans="1:5" x14ac:dyDescent="0.2">
      <c r="A1471">
        <v>1464</v>
      </c>
      <c r="B1471">
        <v>1573</v>
      </c>
      <c r="C1471">
        <v>11</v>
      </c>
      <c r="D1471">
        <v>-18.600000000000001</v>
      </c>
      <c r="E1471">
        <v>1.4</v>
      </c>
    </row>
    <row r="1472" spans="1:5" x14ac:dyDescent="0.2">
      <c r="A1472">
        <v>1465</v>
      </c>
      <c r="B1472">
        <v>1573</v>
      </c>
      <c r="C1472">
        <v>11</v>
      </c>
      <c r="D1472">
        <v>-18.5</v>
      </c>
      <c r="E1472">
        <v>1.4</v>
      </c>
    </row>
    <row r="1473" spans="1:5" x14ac:dyDescent="0.2">
      <c r="A1473">
        <v>1466</v>
      </c>
      <c r="B1473">
        <v>1573</v>
      </c>
      <c r="C1473">
        <v>11</v>
      </c>
      <c r="D1473">
        <v>-18.399999999999999</v>
      </c>
      <c r="E1473">
        <v>1.4</v>
      </c>
    </row>
    <row r="1474" spans="1:5" x14ac:dyDescent="0.2">
      <c r="A1474">
        <v>1467</v>
      </c>
      <c r="B1474">
        <v>1574</v>
      </c>
      <c r="C1474">
        <v>11</v>
      </c>
      <c r="D1474">
        <v>-18.3</v>
      </c>
      <c r="E1474">
        <v>1.3</v>
      </c>
    </row>
    <row r="1475" spans="1:5" x14ac:dyDescent="0.2">
      <c r="A1475">
        <v>1468</v>
      </c>
      <c r="B1475">
        <v>1574</v>
      </c>
      <c r="C1475">
        <v>11</v>
      </c>
      <c r="D1475">
        <v>-18.2</v>
      </c>
      <c r="E1475">
        <v>1.3</v>
      </c>
    </row>
    <row r="1476" spans="1:5" x14ac:dyDescent="0.2">
      <c r="A1476">
        <v>1469</v>
      </c>
      <c r="B1476">
        <v>1576</v>
      </c>
      <c r="C1476">
        <v>11</v>
      </c>
      <c r="D1476">
        <v>-18.3</v>
      </c>
      <c r="E1476">
        <v>1.3</v>
      </c>
    </row>
    <row r="1477" spans="1:5" x14ac:dyDescent="0.2">
      <c r="A1477">
        <v>1470</v>
      </c>
      <c r="B1477">
        <v>1578</v>
      </c>
      <c r="C1477">
        <v>11</v>
      </c>
      <c r="D1477">
        <v>-18.399999999999999</v>
      </c>
      <c r="E1477">
        <v>1.3</v>
      </c>
    </row>
    <row r="1478" spans="1:5" x14ac:dyDescent="0.2">
      <c r="A1478">
        <v>1471</v>
      </c>
      <c r="B1478">
        <v>1580</v>
      </c>
      <c r="C1478">
        <v>11</v>
      </c>
      <c r="D1478">
        <v>-18.600000000000001</v>
      </c>
      <c r="E1478">
        <v>1.3</v>
      </c>
    </row>
    <row r="1479" spans="1:5" x14ac:dyDescent="0.2">
      <c r="A1479">
        <v>1472</v>
      </c>
      <c r="B1479">
        <v>1584</v>
      </c>
      <c r="C1479">
        <v>11</v>
      </c>
      <c r="D1479">
        <v>-18.899999999999999</v>
      </c>
      <c r="E1479">
        <v>1.3</v>
      </c>
    </row>
    <row r="1480" spans="1:5" x14ac:dyDescent="0.2">
      <c r="A1480">
        <v>1473</v>
      </c>
      <c r="B1480">
        <v>1587</v>
      </c>
      <c r="C1480">
        <v>11</v>
      </c>
      <c r="D1480">
        <v>-19.2</v>
      </c>
      <c r="E1480">
        <v>1.3</v>
      </c>
    </row>
    <row r="1481" spans="1:5" x14ac:dyDescent="0.2">
      <c r="A1481">
        <v>1474</v>
      </c>
      <c r="B1481">
        <v>1591</v>
      </c>
      <c r="C1481">
        <v>11</v>
      </c>
      <c r="D1481">
        <v>-19.600000000000001</v>
      </c>
      <c r="E1481">
        <v>1.4</v>
      </c>
    </row>
    <row r="1482" spans="1:5" x14ac:dyDescent="0.2">
      <c r="A1482">
        <v>1475</v>
      </c>
      <c r="B1482">
        <v>1595</v>
      </c>
      <c r="C1482">
        <v>11</v>
      </c>
      <c r="D1482">
        <v>-19.899999999999999</v>
      </c>
      <c r="E1482">
        <v>1.4</v>
      </c>
    </row>
    <row r="1483" spans="1:5" x14ac:dyDescent="0.2">
      <c r="A1483">
        <v>1476</v>
      </c>
      <c r="B1483">
        <v>1598</v>
      </c>
      <c r="C1483">
        <v>11</v>
      </c>
      <c r="D1483">
        <v>-20.2</v>
      </c>
      <c r="E1483">
        <v>1.3</v>
      </c>
    </row>
    <row r="1484" spans="1:5" x14ac:dyDescent="0.2">
      <c r="A1484">
        <v>1477</v>
      </c>
      <c r="B1484">
        <v>1601</v>
      </c>
      <c r="C1484">
        <v>11</v>
      </c>
      <c r="D1484">
        <v>-20.399999999999999</v>
      </c>
      <c r="E1484">
        <v>1.3</v>
      </c>
    </row>
    <row r="1485" spans="1:5" x14ac:dyDescent="0.2">
      <c r="A1485">
        <v>1478</v>
      </c>
      <c r="B1485">
        <v>1603</v>
      </c>
      <c r="C1485">
        <v>11</v>
      </c>
      <c r="D1485">
        <v>-20.5</v>
      </c>
      <c r="E1485">
        <v>1.3</v>
      </c>
    </row>
    <row r="1486" spans="1:5" x14ac:dyDescent="0.2">
      <c r="A1486">
        <v>1479</v>
      </c>
      <c r="B1486">
        <v>1604</v>
      </c>
      <c r="C1486">
        <v>11</v>
      </c>
      <c r="D1486">
        <v>-20.5</v>
      </c>
      <c r="E1486">
        <v>1.3</v>
      </c>
    </row>
    <row r="1487" spans="1:5" x14ac:dyDescent="0.2">
      <c r="A1487">
        <v>1480</v>
      </c>
      <c r="B1487">
        <v>1603</v>
      </c>
      <c r="C1487">
        <v>11</v>
      </c>
      <c r="D1487">
        <v>-20.399999999999999</v>
      </c>
      <c r="E1487">
        <v>1.3</v>
      </c>
    </row>
    <row r="1488" spans="1:5" x14ac:dyDescent="0.2">
      <c r="A1488">
        <v>1481</v>
      </c>
      <c r="B1488">
        <v>1603</v>
      </c>
      <c r="C1488">
        <v>11</v>
      </c>
      <c r="D1488">
        <v>-20.100000000000001</v>
      </c>
      <c r="E1488">
        <v>1.3</v>
      </c>
    </row>
    <row r="1489" spans="1:5" x14ac:dyDescent="0.2">
      <c r="A1489">
        <v>1482</v>
      </c>
      <c r="B1489">
        <v>1601</v>
      </c>
      <c r="C1489">
        <v>11</v>
      </c>
      <c r="D1489">
        <v>-19.899999999999999</v>
      </c>
      <c r="E1489">
        <v>1.3</v>
      </c>
    </row>
    <row r="1490" spans="1:5" x14ac:dyDescent="0.2">
      <c r="A1490">
        <v>1483</v>
      </c>
      <c r="B1490">
        <v>1600</v>
      </c>
      <c r="C1490">
        <v>11</v>
      </c>
      <c r="D1490">
        <v>-19.600000000000001</v>
      </c>
      <c r="E1490">
        <v>1.4</v>
      </c>
    </row>
    <row r="1491" spans="1:5" x14ac:dyDescent="0.2">
      <c r="A1491">
        <v>1484</v>
      </c>
      <c r="B1491">
        <v>1598</v>
      </c>
      <c r="C1491">
        <v>11</v>
      </c>
      <c r="D1491">
        <v>-19.2</v>
      </c>
      <c r="E1491">
        <v>1.3</v>
      </c>
    </row>
    <row r="1492" spans="1:5" x14ac:dyDescent="0.2">
      <c r="A1492">
        <v>1485</v>
      </c>
      <c r="B1492">
        <v>1596</v>
      </c>
      <c r="C1492">
        <v>11</v>
      </c>
      <c r="D1492">
        <v>-18.899999999999999</v>
      </c>
      <c r="E1492">
        <v>1.4</v>
      </c>
    </row>
    <row r="1493" spans="1:5" x14ac:dyDescent="0.2">
      <c r="A1493">
        <v>1486</v>
      </c>
      <c r="B1493">
        <v>1594</v>
      </c>
      <c r="C1493">
        <v>11</v>
      </c>
      <c r="D1493">
        <v>-18.5</v>
      </c>
      <c r="E1493">
        <v>1.3</v>
      </c>
    </row>
    <row r="1494" spans="1:5" x14ac:dyDescent="0.2">
      <c r="A1494">
        <v>1487</v>
      </c>
      <c r="B1494">
        <v>1592</v>
      </c>
      <c r="C1494">
        <v>11</v>
      </c>
      <c r="D1494">
        <v>-18.100000000000001</v>
      </c>
      <c r="E1494">
        <v>1.3</v>
      </c>
    </row>
    <row r="1495" spans="1:5" x14ac:dyDescent="0.2">
      <c r="A1495">
        <v>1488</v>
      </c>
      <c r="B1495">
        <v>1589</v>
      </c>
      <c r="C1495">
        <v>11</v>
      </c>
      <c r="D1495">
        <v>-17.7</v>
      </c>
      <c r="E1495">
        <v>1.3</v>
      </c>
    </row>
    <row r="1496" spans="1:5" x14ac:dyDescent="0.2">
      <c r="A1496">
        <v>1489</v>
      </c>
      <c r="B1496">
        <v>1587</v>
      </c>
      <c r="C1496">
        <v>11</v>
      </c>
      <c r="D1496">
        <v>-17.3</v>
      </c>
      <c r="E1496">
        <v>1.3</v>
      </c>
    </row>
    <row r="1497" spans="1:5" x14ac:dyDescent="0.2">
      <c r="A1497">
        <v>1490</v>
      </c>
      <c r="B1497">
        <v>1585</v>
      </c>
      <c r="C1497">
        <v>11</v>
      </c>
      <c r="D1497">
        <v>-16.899999999999999</v>
      </c>
      <c r="E1497">
        <v>1.3</v>
      </c>
    </row>
    <row r="1498" spans="1:5" x14ac:dyDescent="0.2">
      <c r="A1498">
        <v>1491</v>
      </c>
      <c r="B1498">
        <v>1583</v>
      </c>
      <c r="C1498">
        <v>11</v>
      </c>
      <c r="D1498">
        <v>-16.600000000000001</v>
      </c>
      <c r="E1498">
        <v>1.3</v>
      </c>
    </row>
    <row r="1499" spans="1:5" x14ac:dyDescent="0.2">
      <c r="A1499">
        <v>1492</v>
      </c>
      <c r="B1499">
        <v>1582</v>
      </c>
      <c r="C1499">
        <v>11</v>
      </c>
      <c r="D1499">
        <v>-16.399999999999999</v>
      </c>
      <c r="E1499">
        <v>1.3</v>
      </c>
    </row>
    <row r="1500" spans="1:5" x14ac:dyDescent="0.2">
      <c r="A1500">
        <v>1493</v>
      </c>
      <c r="B1500">
        <v>1582</v>
      </c>
      <c r="C1500">
        <v>11</v>
      </c>
      <c r="D1500">
        <v>-16.3</v>
      </c>
      <c r="E1500">
        <v>1.3</v>
      </c>
    </row>
    <row r="1501" spans="1:5" x14ac:dyDescent="0.2">
      <c r="A1501">
        <v>1494</v>
      </c>
      <c r="B1501">
        <v>1583</v>
      </c>
      <c r="C1501">
        <v>11</v>
      </c>
      <c r="D1501">
        <v>-16.2</v>
      </c>
      <c r="E1501">
        <v>1.3</v>
      </c>
    </row>
    <row r="1502" spans="1:5" x14ac:dyDescent="0.2">
      <c r="A1502">
        <v>1495</v>
      </c>
      <c r="B1502">
        <v>1584</v>
      </c>
      <c r="C1502">
        <v>11</v>
      </c>
      <c r="D1502">
        <v>-16.2</v>
      </c>
      <c r="E1502">
        <v>1.3</v>
      </c>
    </row>
    <row r="1503" spans="1:5" x14ac:dyDescent="0.2">
      <c r="A1503">
        <v>1496</v>
      </c>
      <c r="B1503">
        <v>1585</v>
      </c>
      <c r="C1503">
        <v>11</v>
      </c>
      <c r="D1503">
        <v>-16.2</v>
      </c>
      <c r="E1503">
        <v>1.3</v>
      </c>
    </row>
    <row r="1504" spans="1:5" x14ac:dyDescent="0.2">
      <c r="A1504">
        <v>1497</v>
      </c>
      <c r="B1504">
        <v>1586</v>
      </c>
      <c r="C1504">
        <v>11</v>
      </c>
      <c r="D1504">
        <v>-16.2</v>
      </c>
      <c r="E1504">
        <v>1.3</v>
      </c>
    </row>
    <row r="1505" spans="1:5" x14ac:dyDescent="0.2">
      <c r="A1505">
        <v>1498</v>
      </c>
      <c r="B1505">
        <v>1586</v>
      </c>
      <c r="C1505">
        <v>11</v>
      </c>
      <c r="D1505">
        <v>-16.100000000000001</v>
      </c>
      <c r="E1505">
        <v>1.3</v>
      </c>
    </row>
    <row r="1506" spans="1:5" x14ac:dyDescent="0.2">
      <c r="A1506">
        <v>1499</v>
      </c>
      <c r="B1506">
        <v>1585</v>
      </c>
      <c r="C1506">
        <v>11</v>
      </c>
      <c r="D1506">
        <v>-15.8</v>
      </c>
      <c r="E1506">
        <v>1.3</v>
      </c>
    </row>
    <row r="1507" spans="1:5" x14ac:dyDescent="0.2">
      <c r="A1507">
        <v>1500</v>
      </c>
      <c r="B1507">
        <v>1583</v>
      </c>
      <c r="C1507">
        <v>11</v>
      </c>
      <c r="D1507">
        <v>-15.5</v>
      </c>
      <c r="E1507">
        <v>1.3</v>
      </c>
    </row>
    <row r="1508" spans="1:5" x14ac:dyDescent="0.2">
      <c r="A1508">
        <v>1501</v>
      </c>
      <c r="B1508">
        <v>1581</v>
      </c>
      <c r="C1508">
        <v>11</v>
      </c>
      <c r="D1508">
        <v>-15.2</v>
      </c>
      <c r="E1508">
        <v>1.3</v>
      </c>
    </row>
    <row r="1509" spans="1:5" x14ac:dyDescent="0.2">
      <c r="A1509">
        <v>1502</v>
      </c>
      <c r="B1509">
        <v>1579</v>
      </c>
      <c r="C1509">
        <v>11</v>
      </c>
      <c r="D1509">
        <v>-14.8</v>
      </c>
      <c r="E1509">
        <v>1.3</v>
      </c>
    </row>
    <row r="1510" spans="1:5" x14ac:dyDescent="0.2">
      <c r="A1510">
        <v>1503</v>
      </c>
      <c r="B1510">
        <v>1577</v>
      </c>
      <c r="C1510">
        <v>11</v>
      </c>
      <c r="D1510">
        <v>-14.4</v>
      </c>
      <c r="E1510">
        <v>1.3</v>
      </c>
    </row>
    <row r="1511" spans="1:5" x14ac:dyDescent="0.2">
      <c r="A1511">
        <v>1504</v>
      </c>
      <c r="B1511">
        <v>1576</v>
      </c>
      <c r="C1511">
        <v>11</v>
      </c>
      <c r="D1511">
        <v>-14.2</v>
      </c>
      <c r="E1511">
        <v>1.3</v>
      </c>
    </row>
    <row r="1512" spans="1:5" x14ac:dyDescent="0.2">
      <c r="A1512">
        <v>1505</v>
      </c>
      <c r="B1512">
        <v>1576</v>
      </c>
      <c r="C1512">
        <v>11</v>
      </c>
      <c r="D1512">
        <v>-14</v>
      </c>
      <c r="E1512">
        <v>1.3</v>
      </c>
    </row>
    <row r="1513" spans="1:5" x14ac:dyDescent="0.2">
      <c r="A1513">
        <v>1506</v>
      </c>
      <c r="B1513">
        <v>1577</v>
      </c>
      <c r="C1513">
        <v>11</v>
      </c>
      <c r="D1513">
        <v>-14</v>
      </c>
      <c r="E1513">
        <v>1.3</v>
      </c>
    </row>
    <row r="1514" spans="1:5" x14ac:dyDescent="0.2">
      <c r="A1514">
        <v>1507</v>
      </c>
      <c r="B1514">
        <v>1578</v>
      </c>
      <c r="C1514">
        <v>11</v>
      </c>
      <c r="D1514">
        <v>-14.1</v>
      </c>
      <c r="E1514">
        <v>1.3</v>
      </c>
    </row>
    <row r="1515" spans="1:5" x14ac:dyDescent="0.2">
      <c r="A1515">
        <v>1508</v>
      </c>
      <c r="B1515">
        <v>1580</v>
      </c>
      <c r="C1515">
        <v>11</v>
      </c>
      <c r="D1515">
        <v>-14.2</v>
      </c>
      <c r="E1515">
        <v>1.3</v>
      </c>
    </row>
    <row r="1516" spans="1:5" x14ac:dyDescent="0.2">
      <c r="A1516">
        <v>1509</v>
      </c>
      <c r="B1516">
        <v>1582</v>
      </c>
      <c r="C1516">
        <v>11</v>
      </c>
      <c r="D1516">
        <v>-14.3</v>
      </c>
      <c r="E1516">
        <v>1.3</v>
      </c>
    </row>
    <row r="1517" spans="1:5" x14ac:dyDescent="0.2">
      <c r="A1517">
        <v>1510</v>
      </c>
      <c r="B1517">
        <v>1584</v>
      </c>
      <c r="C1517">
        <v>11</v>
      </c>
      <c r="D1517">
        <v>-14.4</v>
      </c>
      <c r="E1517">
        <v>1.3</v>
      </c>
    </row>
    <row r="1518" spans="1:5" x14ac:dyDescent="0.2">
      <c r="A1518">
        <v>1511</v>
      </c>
      <c r="B1518">
        <v>1585</v>
      </c>
      <c r="C1518">
        <v>11</v>
      </c>
      <c r="D1518">
        <v>-14.5</v>
      </c>
      <c r="E1518">
        <v>1.3</v>
      </c>
    </row>
    <row r="1519" spans="1:5" x14ac:dyDescent="0.2">
      <c r="A1519">
        <v>1512</v>
      </c>
      <c r="B1519">
        <v>1587</v>
      </c>
      <c r="C1519">
        <v>11</v>
      </c>
      <c r="D1519">
        <v>-14.6</v>
      </c>
      <c r="E1519">
        <v>1.3</v>
      </c>
    </row>
    <row r="1520" spans="1:5" x14ac:dyDescent="0.2">
      <c r="A1520">
        <v>1513</v>
      </c>
      <c r="B1520">
        <v>1590</v>
      </c>
      <c r="C1520">
        <v>11</v>
      </c>
      <c r="D1520">
        <v>-14.8</v>
      </c>
      <c r="E1520">
        <v>1.3</v>
      </c>
    </row>
    <row r="1521" spans="1:5" x14ac:dyDescent="0.2">
      <c r="A1521">
        <v>1514</v>
      </c>
      <c r="B1521">
        <v>1593</v>
      </c>
      <c r="C1521">
        <v>11</v>
      </c>
      <c r="D1521">
        <v>-15</v>
      </c>
      <c r="E1521">
        <v>1.3</v>
      </c>
    </row>
    <row r="1522" spans="1:5" x14ac:dyDescent="0.2">
      <c r="A1522">
        <v>1515</v>
      </c>
      <c r="B1522">
        <v>1596</v>
      </c>
      <c r="C1522">
        <v>11</v>
      </c>
      <c r="D1522">
        <v>-15.3</v>
      </c>
      <c r="E1522">
        <v>1.3</v>
      </c>
    </row>
    <row r="1523" spans="1:5" x14ac:dyDescent="0.2">
      <c r="A1523">
        <v>1516</v>
      </c>
      <c r="B1523">
        <v>1599</v>
      </c>
      <c r="C1523">
        <v>11</v>
      </c>
      <c r="D1523">
        <v>-15.6</v>
      </c>
      <c r="E1523">
        <v>1.3</v>
      </c>
    </row>
    <row r="1524" spans="1:5" x14ac:dyDescent="0.2">
      <c r="A1524">
        <v>1517</v>
      </c>
      <c r="B1524">
        <v>1603</v>
      </c>
      <c r="C1524">
        <v>11</v>
      </c>
      <c r="D1524">
        <v>-15.9</v>
      </c>
      <c r="E1524">
        <v>1.3</v>
      </c>
    </row>
    <row r="1525" spans="1:5" x14ac:dyDescent="0.2">
      <c r="A1525">
        <v>1518</v>
      </c>
      <c r="B1525">
        <v>1605</v>
      </c>
      <c r="C1525">
        <v>11</v>
      </c>
      <c r="D1525">
        <v>-16.100000000000001</v>
      </c>
      <c r="E1525">
        <v>1.3</v>
      </c>
    </row>
    <row r="1526" spans="1:5" x14ac:dyDescent="0.2">
      <c r="A1526">
        <v>1519</v>
      </c>
      <c r="B1526">
        <v>1608</v>
      </c>
      <c r="C1526">
        <v>11</v>
      </c>
      <c r="D1526">
        <v>-16.2</v>
      </c>
      <c r="E1526">
        <v>1.3</v>
      </c>
    </row>
    <row r="1527" spans="1:5" x14ac:dyDescent="0.2">
      <c r="A1527">
        <v>1520</v>
      </c>
      <c r="B1527">
        <v>1609</v>
      </c>
      <c r="C1527">
        <v>11</v>
      </c>
      <c r="D1527">
        <v>-16.399999999999999</v>
      </c>
      <c r="E1527">
        <v>1.3</v>
      </c>
    </row>
    <row r="1528" spans="1:5" x14ac:dyDescent="0.2">
      <c r="A1528">
        <v>1521</v>
      </c>
      <c r="B1528">
        <v>1611</v>
      </c>
      <c r="C1528">
        <v>11</v>
      </c>
      <c r="D1528">
        <v>-16.5</v>
      </c>
      <c r="E1528">
        <v>1.3</v>
      </c>
    </row>
    <row r="1529" spans="1:5" x14ac:dyDescent="0.2">
      <c r="A1529">
        <v>1522</v>
      </c>
      <c r="B1529">
        <v>1613</v>
      </c>
      <c r="C1529">
        <v>11</v>
      </c>
      <c r="D1529">
        <v>-16.5</v>
      </c>
      <c r="E1529">
        <v>1.3</v>
      </c>
    </row>
    <row r="1530" spans="1:5" x14ac:dyDescent="0.2">
      <c r="A1530">
        <v>1523</v>
      </c>
      <c r="B1530">
        <v>1615</v>
      </c>
      <c r="C1530">
        <v>11</v>
      </c>
      <c r="D1530">
        <v>-16.600000000000001</v>
      </c>
      <c r="E1530">
        <v>1.3</v>
      </c>
    </row>
    <row r="1531" spans="1:5" x14ac:dyDescent="0.2">
      <c r="A1531">
        <v>1524</v>
      </c>
      <c r="B1531">
        <v>1616</v>
      </c>
      <c r="C1531">
        <v>11</v>
      </c>
      <c r="D1531">
        <v>-16.7</v>
      </c>
      <c r="E1531">
        <v>1.3</v>
      </c>
    </row>
    <row r="1532" spans="1:5" x14ac:dyDescent="0.2">
      <c r="A1532">
        <v>1525</v>
      </c>
      <c r="B1532">
        <v>1618</v>
      </c>
      <c r="C1532">
        <v>11</v>
      </c>
      <c r="D1532">
        <v>-16.8</v>
      </c>
      <c r="E1532">
        <v>1.3</v>
      </c>
    </row>
    <row r="1533" spans="1:5" x14ac:dyDescent="0.2">
      <c r="A1533">
        <v>1526</v>
      </c>
      <c r="B1533">
        <v>1620</v>
      </c>
      <c r="C1533">
        <v>11</v>
      </c>
      <c r="D1533">
        <v>-16.899999999999999</v>
      </c>
      <c r="E1533">
        <v>1.3</v>
      </c>
    </row>
    <row r="1534" spans="1:5" x14ac:dyDescent="0.2">
      <c r="A1534">
        <v>1527</v>
      </c>
      <c r="B1534">
        <v>1622</v>
      </c>
      <c r="C1534">
        <v>11</v>
      </c>
      <c r="D1534">
        <v>-17</v>
      </c>
      <c r="E1534">
        <v>1.3</v>
      </c>
    </row>
    <row r="1535" spans="1:5" x14ac:dyDescent="0.2">
      <c r="A1535">
        <v>1528</v>
      </c>
      <c r="B1535">
        <v>1624</v>
      </c>
      <c r="C1535">
        <v>11</v>
      </c>
      <c r="D1535">
        <v>-17.100000000000001</v>
      </c>
      <c r="E1535">
        <v>1.3</v>
      </c>
    </row>
    <row r="1536" spans="1:5" x14ac:dyDescent="0.2">
      <c r="A1536">
        <v>1529</v>
      </c>
      <c r="B1536">
        <v>1626</v>
      </c>
      <c r="C1536">
        <v>11</v>
      </c>
      <c r="D1536">
        <v>-17.3</v>
      </c>
      <c r="E1536">
        <v>1.3</v>
      </c>
    </row>
    <row r="1537" spans="1:5" x14ac:dyDescent="0.2">
      <c r="A1537">
        <v>1530</v>
      </c>
      <c r="B1537">
        <v>1629</v>
      </c>
      <c r="C1537">
        <v>11</v>
      </c>
      <c r="D1537">
        <v>-17.5</v>
      </c>
      <c r="E1537">
        <v>1.3</v>
      </c>
    </row>
    <row r="1538" spans="1:5" x14ac:dyDescent="0.2">
      <c r="A1538">
        <v>1531</v>
      </c>
      <c r="B1538">
        <v>1632</v>
      </c>
      <c r="C1538">
        <v>11</v>
      </c>
      <c r="D1538">
        <v>-17.8</v>
      </c>
      <c r="E1538">
        <v>1.3</v>
      </c>
    </row>
    <row r="1539" spans="1:5" x14ac:dyDescent="0.2">
      <c r="A1539">
        <v>1532</v>
      </c>
      <c r="B1539">
        <v>1637</v>
      </c>
      <c r="C1539">
        <v>11</v>
      </c>
      <c r="D1539">
        <v>-18.3</v>
      </c>
      <c r="E1539">
        <v>1.3</v>
      </c>
    </row>
    <row r="1540" spans="1:5" x14ac:dyDescent="0.2">
      <c r="A1540">
        <v>1533</v>
      </c>
      <c r="B1540">
        <v>1642</v>
      </c>
      <c r="C1540">
        <v>11</v>
      </c>
      <c r="D1540">
        <v>-18.8</v>
      </c>
      <c r="E1540">
        <v>1.3</v>
      </c>
    </row>
    <row r="1541" spans="1:5" x14ac:dyDescent="0.2">
      <c r="A1541">
        <v>1534</v>
      </c>
      <c r="B1541">
        <v>1648</v>
      </c>
      <c r="C1541">
        <v>11</v>
      </c>
      <c r="D1541">
        <v>-19.399999999999999</v>
      </c>
      <c r="E1541">
        <v>1.3</v>
      </c>
    </row>
    <row r="1542" spans="1:5" x14ac:dyDescent="0.2">
      <c r="A1542">
        <v>1535</v>
      </c>
      <c r="B1542">
        <v>1653</v>
      </c>
      <c r="C1542">
        <v>11</v>
      </c>
      <c r="D1542">
        <v>-19.899999999999999</v>
      </c>
      <c r="E1542">
        <v>1.3</v>
      </c>
    </row>
    <row r="1543" spans="1:5" x14ac:dyDescent="0.2">
      <c r="A1543">
        <v>1536</v>
      </c>
      <c r="B1543">
        <v>1658</v>
      </c>
      <c r="C1543">
        <v>11</v>
      </c>
      <c r="D1543">
        <v>-20.399999999999999</v>
      </c>
      <c r="E1543">
        <v>1.3</v>
      </c>
    </row>
    <row r="1544" spans="1:5" x14ac:dyDescent="0.2">
      <c r="A1544">
        <v>1537</v>
      </c>
      <c r="B1544">
        <v>1662</v>
      </c>
      <c r="C1544">
        <v>11</v>
      </c>
      <c r="D1544">
        <v>-20.8</v>
      </c>
      <c r="E1544">
        <v>1.3</v>
      </c>
    </row>
    <row r="1545" spans="1:5" x14ac:dyDescent="0.2">
      <c r="A1545">
        <v>1538</v>
      </c>
      <c r="B1545">
        <v>1665</v>
      </c>
      <c r="C1545">
        <v>11</v>
      </c>
      <c r="D1545">
        <v>-21</v>
      </c>
      <c r="E1545">
        <v>1.3</v>
      </c>
    </row>
    <row r="1546" spans="1:5" x14ac:dyDescent="0.2">
      <c r="A1546">
        <v>1539</v>
      </c>
      <c r="B1546">
        <v>1667</v>
      </c>
      <c r="C1546">
        <v>11</v>
      </c>
      <c r="D1546">
        <v>-21.1</v>
      </c>
      <c r="E1546">
        <v>1.3</v>
      </c>
    </row>
    <row r="1547" spans="1:5" x14ac:dyDescent="0.2">
      <c r="A1547">
        <v>1540</v>
      </c>
      <c r="B1547">
        <v>1668</v>
      </c>
      <c r="C1547">
        <v>11</v>
      </c>
      <c r="D1547">
        <v>-21.2</v>
      </c>
      <c r="E1547">
        <v>1.3</v>
      </c>
    </row>
    <row r="1548" spans="1:5" x14ac:dyDescent="0.2">
      <c r="A1548">
        <v>1541</v>
      </c>
      <c r="B1548">
        <v>1670</v>
      </c>
      <c r="C1548">
        <v>11</v>
      </c>
      <c r="D1548">
        <v>-21.2</v>
      </c>
      <c r="E1548">
        <v>1.3</v>
      </c>
    </row>
    <row r="1549" spans="1:5" x14ac:dyDescent="0.2">
      <c r="A1549">
        <v>1542</v>
      </c>
      <c r="B1549">
        <v>1672</v>
      </c>
      <c r="C1549">
        <v>11</v>
      </c>
      <c r="D1549">
        <v>-21.4</v>
      </c>
      <c r="E1549">
        <v>1.3</v>
      </c>
    </row>
    <row r="1550" spans="1:5" x14ac:dyDescent="0.2">
      <c r="A1550">
        <v>1543</v>
      </c>
      <c r="B1550">
        <v>1675</v>
      </c>
      <c r="C1550">
        <v>11</v>
      </c>
      <c r="D1550">
        <v>-21.6</v>
      </c>
      <c r="E1550">
        <v>1.3</v>
      </c>
    </row>
    <row r="1551" spans="1:5" x14ac:dyDescent="0.2">
      <c r="A1551">
        <v>1544</v>
      </c>
      <c r="B1551">
        <v>1678</v>
      </c>
      <c r="C1551">
        <v>11</v>
      </c>
      <c r="D1551">
        <v>-21.9</v>
      </c>
      <c r="E1551">
        <v>1.3</v>
      </c>
    </row>
    <row r="1552" spans="1:5" x14ac:dyDescent="0.2">
      <c r="A1552">
        <v>1545</v>
      </c>
      <c r="B1552">
        <v>1682</v>
      </c>
      <c r="C1552">
        <v>11</v>
      </c>
      <c r="D1552">
        <v>-22.3</v>
      </c>
      <c r="E1552">
        <v>1.3</v>
      </c>
    </row>
    <row r="1553" spans="1:5" x14ac:dyDescent="0.2">
      <c r="A1553">
        <v>1546</v>
      </c>
      <c r="B1553">
        <v>1687</v>
      </c>
      <c r="C1553">
        <v>11</v>
      </c>
      <c r="D1553">
        <v>-22.7</v>
      </c>
      <c r="E1553">
        <v>1.3</v>
      </c>
    </row>
    <row r="1554" spans="1:5" x14ac:dyDescent="0.2">
      <c r="A1554">
        <v>1547</v>
      </c>
      <c r="B1554">
        <v>1691</v>
      </c>
      <c r="C1554">
        <v>11</v>
      </c>
      <c r="D1554">
        <v>-23.1</v>
      </c>
      <c r="E1554">
        <v>1.3</v>
      </c>
    </row>
    <row r="1555" spans="1:5" x14ac:dyDescent="0.2">
      <c r="A1555">
        <v>1548</v>
      </c>
      <c r="B1555">
        <v>1694</v>
      </c>
      <c r="C1555">
        <v>11</v>
      </c>
      <c r="D1555">
        <v>-23.4</v>
      </c>
      <c r="E1555">
        <v>1.3</v>
      </c>
    </row>
    <row r="1556" spans="1:5" x14ac:dyDescent="0.2">
      <c r="A1556">
        <v>1549</v>
      </c>
      <c r="B1556">
        <v>1696</v>
      </c>
      <c r="C1556">
        <v>11</v>
      </c>
      <c r="D1556">
        <v>-23.5</v>
      </c>
      <c r="E1556">
        <v>1.3</v>
      </c>
    </row>
    <row r="1557" spans="1:5" x14ac:dyDescent="0.2">
      <c r="A1557">
        <v>1550</v>
      </c>
      <c r="B1557">
        <v>1697</v>
      </c>
      <c r="C1557">
        <v>11</v>
      </c>
      <c r="D1557">
        <v>-23.5</v>
      </c>
      <c r="E1557">
        <v>1.3</v>
      </c>
    </row>
    <row r="1558" spans="1:5" x14ac:dyDescent="0.2">
      <c r="A1558">
        <v>1551</v>
      </c>
      <c r="B1558">
        <v>1697</v>
      </c>
      <c r="C1558">
        <v>11</v>
      </c>
      <c r="D1558">
        <v>-23.4</v>
      </c>
      <c r="E1558">
        <v>1.3</v>
      </c>
    </row>
    <row r="1559" spans="1:5" x14ac:dyDescent="0.2">
      <c r="A1559">
        <v>1552</v>
      </c>
      <c r="B1559">
        <v>1697</v>
      </c>
      <c r="C1559">
        <v>11</v>
      </c>
      <c r="D1559">
        <v>-23.2</v>
      </c>
      <c r="E1559">
        <v>1.3</v>
      </c>
    </row>
    <row r="1560" spans="1:5" x14ac:dyDescent="0.2">
      <c r="A1560">
        <v>1553</v>
      </c>
      <c r="B1560">
        <v>1695</v>
      </c>
      <c r="C1560">
        <v>11</v>
      </c>
      <c r="D1560">
        <v>-22.9</v>
      </c>
      <c r="E1560">
        <v>1.3</v>
      </c>
    </row>
    <row r="1561" spans="1:5" x14ac:dyDescent="0.2">
      <c r="A1561">
        <v>1554</v>
      </c>
      <c r="B1561">
        <v>1694</v>
      </c>
      <c r="C1561">
        <v>11</v>
      </c>
      <c r="D1561">
        <v>-22.7</v>
      </c>
      <c r="E1561">
        <v>1.3</v>
      </c>
    </row>
    <row r="1562" spans="1:5" x14ac:dyDescent="0.2">
      <c r="A1562">
        <v>1555</v>
      </c>
      <c r="B1562">
        <v>1693</v>
      </c>
      <c r="C1562">
        <v>11</v>
      </c>
      <c r="D1562">
        <v>-22.5</v>
      </c>
      <c r="E1562">
        <v>1.3</v>
      </c>
    </row>
    <row r="1563" spans="1:5" x14ac:dyDescent="0.2">
      <c r="A1563">
        <v>1556</v>
      </c>
      <c r="B1563">
        <v>1693</v>
      </c>
      <c r="C1563">
        <v>11</v>
      </c>
      <c r="D1563">
        <v>-22.3</v>
      </c>
      <c r="E1563">
        <v>1.3</v>
      </c>
    </row>
    <row r="1564" spans="1:5" x14ac:dyDescent="0.2">
      <c r="A1564">
        <v>1557</v>
      </c>
      <c r="B1564">
        <v>1693</v>
      </c>
      <c r="C1564">
        <v>11</v>
      </c>
      <c r="D1564">
        <v>-22.2</v>
      </c>
      <c r="E1564">
        <v>1.3</v>
      </c>
    </row>
    <row r="1565" spans="1:5" x14ac:dyDescent="0.2">
      <c r="A1565">
        <v>1558</v>
      </c>
      <c r="B1565">
        <v>1694</v>
      </c>
      <c r="C1565">
        <v>11</v>
      </c>
      <c r="D1565">
        <v>-22.2</v>
      </c>
      <c r="E1565">
        <v>1.3</v>
      </c>
    </row>
    <row r="1566" spans="1:5" x14ac:dyDescent="0.2">
      <c r="A1566">
        <v>1559</v>
      </c>
      <c r="B1566">
        <v>1695</v>
      </c>
      <c r="C1566">
        <v>11</v>
      </c>
      <c r="D1566">
        <v>-22.1</v>
      </c>
      <c r="E1566">
        <v>1.3</v>
      </c>
    </row>
    <row r="1567" spans="1:5" x14ac:dyDescent="0.2">
      <c r="A1567">
        <v>1560</v>
      </c>
      <c r="B1567">
        <v>1695</v>
      </c>
      <c r="C1567">
        <v>11</v>
      </c>
      <c r="D1567">
        <v>-22.1</v>
      </c>
      <c r="E1567">
        <v>1.3</v>
      </c>
    </row>
    <row r="1568" spans="1:5" x14ac:dyDescent="0.2">
      <c r="A1568">
        <v>1561</v>
      </c>
      <c r="B1568">
        <v>1695</v>
      </c>
      <c r="C1568">
        <v>11</v>
      </c>
      <c r="D1568">
        <v>-21.9</v>
      </c>
      <c r="E1568">
        <v>1.3</v>
      </c>
    </row>
    <row r="1569" spans="1:5" x14ac:dyDescent="0.2">
      <c r="A1569">
        <v>1562</v>
      </c>
      <c r="B1569">
        <v>1695</v>
      </c>
      <c r="C1569">
        <v>11</v>
      </c>
      <c r="D1569">
        <v>-21.8</v>
      </c>
      <c r="E1569">
        <v>1.3</v>
      </c>
    </row>
    <row r="1570" spans="1:5" x14ac:dyDescent="0.2">
      <c r="A1570">
        <v>1563</v>
      </c>
      <c r="B1570">
        <v>1694</v>
      </c>
      <c r="C1570">
        <v>11</v>
      </c>
      <c r="D1570">
        <v>-21.6</v>
      </c>
      <c r="E1570">
        <v>1.3</v>
      </c>
    </row>
    <row r="1571" spans="1:5" x14ac:dyDescent="0.2">
      <c r="A1571">
        <v>1564</v>
      </c>
      <c r="B1571">
        <v>1693</v>
      </c>
      <c r="C1571">
        <v>11</v>
      </c>
      <c r="D1571">
        <v>-21.4</v>
      </c>
      <c r="E1571">
        <v>1.3</v>
      </c>
    </row>
    <row r="1572" spans="1:5" x14ac:dyDescent="0.2">
      <c r="A1572">
        <v>1565</v>
      </c>
      <c r="B1572">
        <v>1693</v>
      </c>
      <c r="C1572">
        <v>11</v>
      </c>
      <c r="D1572">
        <v>-21.2</v>
      </c>
      <c r="E1572">
        <v>1.3</v>
      </c>
    </row>
    <row r="1573" spans="1:5" x14ac:dyDescent="0.2">
      <c r="A1573">
        <v>1566</v>
      </c>
      <c r="B1573">
        <v>1693</v>
      </c>
      <c r="C1573">
        <v>11</v>
      </c>
      <c r="D1573">
        <v>-21.1</v>
      </c>
      <c r="E1573">
        <v>1.3</v>
      </c>
    </row>
    <row r="1574" spans="1:5" x14ac:dyDescent="0.2">
      <c r="A1574">
        <v>1567</v>
      </c>
      <c r="B1574">
        <v>1693</v>
      </c>
      <c r="C1574">
        <v>11</v>
      </c>
      <c r="D1574">
        <v>-21</v>
      </c>
      <c r="E1574">
        <v>1.3</v>
      </c>
    </row>
    <row r="1575" spans="1:5" x14ac:dyDescent="0.2">
      <c r="A1575">
        <v>1568</v>
      </c>
      <c r="B1575">
        <v>1695</v>
      </c>
      <c r="C1575">
        <v>11</v>
      </c>
      <c r="D1575">
        <v>-21.1</v>
      </c>
      <c r="E1575">
        <v>1.3</v>
      </c>
    </row>
    <row r="1576" spans="1:5" x14ac:dyDescent="0.2">
      <c r="A1576">
        <v>1569</v>
      </c>
      <c r="B1576">
        <v>1697</v>
      </c>
      <c r="C1576">
        <v>11</v>
      </c>
      <c r="D1576">
        <v>-21.2</v>
      </c>
      <c r="E1576">
        <v>1.4</v>
      </c>
    </row>
    <row r="1577" spans="1:5" x14ac:dyDescent="0.2">
      <c r="A1577">
        <v>1570</v>
      </c>
      <c r="B1577">
        <v>1699</v>
      </c>
      <c r="C1577">
        <v>11</v>
      </c>
      <c r="D1577">
        <v>-21.4</v>
      </c>
      <c r="E1577">
        <v>1.4</v>
      </c>
    </row>
    <row r="1578" spans="1:5" x14ac:dyDescent="0.2">
      <c r="A1578">
        <v>1571</v>
      </c>
      <c r="B1578">
        <v>1701</v>
      </c>
      <c r="C1578">
        <v>11</v>
      </c>
      <c r="D1578">
        <v>-21.5</v>
      </c>
      <c r="E1578">
        <v>1.4</v>
      </c>
    </row>
    <row r="1579" spans="1:5" x14ac:dyDescent="0.2">
      <c r="A1579">
        <v>1572</v>
      </c>
      <c r="B1579">
        <v>1703</v>
      </c>
      <c r="C1579">
        <v>11</v>
      </c>
      <c r="D1579">
        <v>-21.6</v>
      </c>
      <c r="E1579">
        <v>1.4</v>
      </c>
    </row>
    <row r="1580" spans="1:5" x14ac:dyDescent="0.2">
      <c r="A1580">
        <v>1573</v>
      </c>
      <c r="B1580">
        <v>1705</v>
      </c>
      <c r="C1580">
        <v>11</v>
      </c>
      <c r="D1580">
        <v>-21.7</v>
      </c>
      <c r="E1580">
        <v>1.4</v>
      </c>
    </row>
    <row r="1581" spans="1:5" x14ac:dyDescent="0.2">
      <c r="A1581">
        <v>1574</v>
      </c>
      <c r="B1581">
        <v>1705</v>
      </c>
      <c r="C1581">
        <v>11</v>
      </c>
      <c r="D1581">
        <v>-21.6</v>
      </c>
      <c r="E1581">
        <v>1.4</v>
      </c>
    </row>
    <row r="1582" spans="1:5" x14ac:dyDescent="0.2">
      <c r="A1582">
        <v>1575</v>
      </c>
      <c r="B1582">
        <v>1706</v>
      </c>
      <c r="C1582">
        <v>11</v>
      </c>
      <c r="D1582">
        <v>-21.6</v>
      </c>
      <c r="E1582">
        <v>1.4</v>
      </c>
    </row>
    <row r="1583" spans="1:5" x14ac:dyDescent="0.2">
      <c r="A1583">
        <v>1576</v>
      </c>
      <c r="B1583">
        <v>1706</v>
      </c>
      <c r="C1583">
        <v>11</v>
      </c>
      <c r="D1583">
        <v>-21.5</v>
      </c>
      <c r="E1583">
        <v>1.4</v>
      </c>
    </row>
    <row r="1584" spans="1:5" x14ac:dyDescent="0.2">
      <c r="A1584">
        <v>1577</v>
      </c>
      <c r="B1584">
        <v>1706</v>
      </c>
      <c r="C1584">
        <v>11</v>
      </c>
      <c r="D1584">
        <v>-21.4</v>
      </c>
      <c r="E1584">
        <v>1.4</v>
      </c>
    </row>
    <row r="1585" spans="1:5" x14ac:dyDescent="0.2">
      <c r="A1585">
        <v>1578</v>
      </c>
      <c r="B1585">
        <v>1706</v>
      </c>
      <c r="C1585">
        <v>11</v>
      </c>
      <c r="D1585">
        <v>-21.3</v>
      </c>
      <c r="E1585">
        <v>1.4</v>
      </c>
    </row>
    <row r="1586" spans="1:5" x14ac:dyDescent="0.2">
      <c r="A1586">
        <v>1579</v>
      </c>
      <c r="B1586">
        <v>1706</v>
      </c>
      <c r="C1586">
        <v>11</v>
      </c>
      <c r="D1586">
        <v>-21.2</v>
      </c>
      <c r="E1586">
        <v>1.4</v>
      </c>
    </row>
    <row r="1587" spans="1:5" x14ac:dyDescent="0.2">
      <c r="A1587">
        <v>1580</v>
      </c>
      <c r="B1587">
        <v>1706</v>
      </c>
      <c r="C1587">
        <v>11</v>
      </c>
      <c r="D1587">
        <v>-21</v>
      </c>
      <c r="E1587">
        <v>1.4</v>
      </c>
    </row>
    <row r="1588" spans="1:5" x14ac:dyDescent="0.2">
      <c r="A1588">
        <v>1581</v>
      </c>
      <c r="B1588">
        <v>1705</v>
      </c>
      <c r="C1588">
        <v>11</v>
      </c>
      <c r="D1588">
        <v>-20.8</v>
      </c>
      <c r="E1588">
        <v>1.4</v>
      </c>
    </row>
    <row r="1589" spans="1:5" x14ac:dyDescent="0.2">
      <c r="A1589">
        <v>1582</v>
      </c>
      <c r="B1589">
        <v>1704</v>
      </c>
      <c r="C1589">
        <v>11</v>
      </c>
      <c r="D1589">
        <v>-20.6</v>
      </c>
      <c r="E1589">
        <v>1.4</v>
      </c>
    </row>
    <row r="1590" spans="1:5" x14ac:dyDescent="0.2">
      <c r="A1590">
        <v>1583</v>
      </c>
      <c r="B1590">
        <v>1704</v>
      </c>
      <c r="C1590">
        <v>11</v>
      </c>
      <c r="D1590">
        <v>-20.399999999999999</v>
      </c>
      <c r="E1590">
        <v>1.4</v>
      </c>
    </row>
    <row r="1591" spans="1:5" x14ac:dyDescent="0.2">
      <c r="A1591">
        <v>1584</v>
      </c>
      <c r="B1591">
        <v>1704</v>
      </c>
      <c r="C1591">
        <v>11</v>
      </c>
      <c r="D1591">
        <v>-20.3</v>
      </c>
      <c r="E1591">
        <v>1.4</v>
      </c>
    </row>
    <row r="1592" spans="1:5" x14ac:dyDescent="0.2">
      <c r="A1592">
        <v>1585</v>
      </c>
      <c r="B1592">
        <v>1705</v>
      </c>
      <c r="C1592">
        <v>11</v>
      </c>
      <c r="D1592">
        <v>-20.3</v>
      </c>
      <c r="E1592">
        <v>1.4</v>
      </c>
    </row>
    <row r="1593" spans="1:5" x14ac:dyDescent="0.2">
      <c r="A1593">
        <v>1586</v>
      </c>
      <c r="B1593">
        <v>1706</v>
      </c>
      <c r="C1593">
        <v>11</v>
      </c>
      <c r="D1593">
        <v>-20.3</v>
      </c>
      <c r="E1593">
        <v>1.4</v>
      </c>
    </row>
    <row r="1594" spans="1:5" x14ac:dyDescent="0.2">
      <c r="A1594">
        <v>1587</v>
      </c>
      <c r="B1594">
        <v>1708</v>
      </c>
      <c r="C1594">
        <v>12</v>
      </c>
      <c r="D1594">
        <v>-20.399999999999999</v>
      </c>
      <c r="E1594">
        <v>1.4</v>
      </c>
    </row>
    <row r="1595" spans="1:5" x14ac:dyDescent="0.2">
      <c r="A1595">
        <v>1588</v>
      </c>
      <c r="B1595">
        <v>1710</v>
      </c>
      <c r="C1595">
        <v>12</v>
      </c>
      <c r="D1595">
        <v>-20.5</v>
      </c>
      <c r="E1595">
        <v>1.4</v>
      </c>
    </row>
    <row r="1596" spans="1:5" x14ac:dyDescent="0.2">
      <c r="A1596">
        <v>1589</v>
      </c>
      <c r="B1596">
        <v>1712</v>
      </c>
      <c r="C1596">
        <v>12</v>
      </c>
      <c r="D1596">
        <v>-20.7</v>
      </c>
      <c r="E1596">
        <v>1.4</v>
      </c>
    </row>
    <row r="1597" spans="1:5" x14ac:dyDescent="0.2">
      <c r="A1597">
        <v>1590</v>
      </c>
      <c r="B1597">
        <v>1713</v>
      </c>
      <c r="C1597">
        <v>12</v>
      </c>
      <c r="D1597">
        <v>-20.7</v>
      </c>
      <c r="E1597">
        <v>1.4</v>
      </c>
    </row>
    <row r="1598" spans="1:5" x14ac:dyDescent="0.2">
      <c r="A1598">
        <v>1591</v>
      </c>
      <c r="B1598">
        <v>1714</v>
      </c>
      <c r="C1598">
        <v>11</v>
      </c>
      <c r="D1598">
        <v>-20.7</v>
      </c>
      <c r="E1598">
        <v>1.4</v>
      </c>
    </row>
    <row r="1599" spans="1:5" x14ac:dyDescent="0.2">
      <c r="A1599">
        <v>1592</v>
      </c>
      <c r="B1599">
        <v>1714</v>
      </c>
      <c r="C1599">
        <v>12</v>
      </c>
      <c r="D1599">
        <v>-20.6</v>
      </c>
      <c r="E1599">
        <v>1.4</v>
      </c>
    </row>
    <row r="1600" spans="1:5" x14ac:dyDescent="0.2">
      <c r="A1600">
        <v>1593</v>
      </c>
      <c r="B1600">
        <v>1713</v>
      </c>
      <c r="C1600">
        <v>11</v>
      </c>
      <c r="D1600">
        <v>-20.399999999999999</v>
      </c>
      <c r="E1600">
        <v>1.4</v>
      </c>
    </row>
    <row r="1601" spans="1:5" x14ac:dyDescent="0.2">
      <c r="A1601">
        <v>1594</v>
      </c>
      <c r="B1601">
        <v>1712</v>
      </c>
      <c r="C1601">
        <v>11</v>
      </c>
      <c r="D1601">
        <v>-20.100000000000001</v>
      </c>
      <c r="E1601">
        <v>1.4</v>
      </c>
    </row>
    <row r="1602" spans="1:5" x14ac:dyDescent="0.2">
      <c r="A1602">
        <v>1595</v>
      </c>
      <c r="B1602">
        <v>1711</v>
      </c>
      <c r="C1602">
        <v>11</v>
      </c>
      <c r="D1602">
        <v>-19.899999999999999</v>
      </c>
      <c r="E1602">
        <v>1.4</v>
      </c>
    </row>
    <row r="1603" spans="1:5" x14ac:dyDescent="0.2">
      <c r="A1603">
        <v>1596</v>
      </c>
      <c r="B1603">
        <v>1711</v>
      </c>
      <c r="C1603">
        <v>11</v>
      </c>
      <c r="D1603">
        <v>-19.7</v>
      </c>
      <c r="E1603">
        <v>1.4</v>
      </c>
    </row>
    <row r="1604" spans="1:5" x14ac:dyDescent="0.2">
      <c r="A1604">
        <v>1597</v>
      </c>
      <c r="B1604">
        <v>1710</v>
      </c>
      <c r="C1604">
        <v>11</v>
      </c>
      <c r="D1604">
        <v>-19.5</v>
      </c>
      <c r="E1604">
        <v>1.4</v>
      </c>
    </row>
    <row r="1605" spans="1:5" x14ac:dyDescent="0.2">
      <c r="A1605">
        <v>1598</v>
      </c>
      <c r="B1605">
        <v>1711</v>
      </c>
      <c r="C1605">
        <v>11</v>
      </c>
      <c r="D1605">
        <v>-19.5</v>
      </c>
      <c r="E1605">
        <v>1.4</v>
      </c>
    </row>
    <row r="1606" spans="1:5" x14ac:dyDescent="0.2">
      <c r="A1606">
        <v>1599</v>
      </c>
      <c r="B1606">
        <v>1712</v>
      </c>
      <c r="C1606">
        <v>12</v>
      </c>
      <c r="D1606">
        <v>-19.600000000000001</v>
      </c>
      <c r="E1606">
        <v>1.4</v>
      </c>
    </row>
    <row r="1607" spans="1:5" x14ac:dyDescent="0.2">
      <c r="A1607">
        <v>1600</v>
      </c>
      <c r="B1607">
        <v>1714</v>
      </c>
      <c r="C1607">
        <v>12</v>
      </c>
      <c r="D1607">
        <v>-19.7</v>
      </c>
      <c r="E1607">
        <v>1.4</v>
      </c>
    </row>
    <row r="1608" spans="1:5" x14ac:dyDescent="0.2">
      <c r="A1608">
        <v>1601</v>
      </c>
      <c r="B1608">
        <v>1717</v>
      </c>
      <c r="C1608">
        <v>12</v>
      </c>
      <c r="D1608">
        <v>-19.899999999999999</v>
      </c>
      <c r="E1608">
        <v>1.4</v>
      </c>
    </row>
    <row r="1609" spans="1:5" x14ac:dyDescent="0.2">
      <c r="A1609">
        <v>1602</v>
      </c>
      <c r="B1609">
        <v>1720</v>
      </c>
      <c r="C1609">
        <v>12</v>
      </c>
      <c r="D1609">
        <v>-20.100000000000001</v>
      </c>
      <c r="E1609">
        <v>1.4</v>
      </c>
    </row>
    <row r="1610" spans="1:5" x14ac:dyDescent="0.2">
      <c r="A1610">
        <v>1603</v>
      </c>
      <c r="B1610">
        <v>1722</v>
      </c>
      <c r="C1610">
        <v>12</v>
      </c>
      <c r="D1610">
        <v>-20.3</v>
      </c>
      <c r="E1610">
        <v>1.4</v>
      </c>
    </row>
    <row r="1611" spans="1:5" x14ac:dyDescent="0.2">
      <c r="A1611">
        <v>1604</v>
      </c>
      <c r="B1611">
        <v>1725</v>
      </c>
      <c r="C1611">
        <v>12</v>
      </c>
      <c r="D1611">
        <v>-20.399999999999999</v>
      </c>
      <c r="E1611">
        <v>1.4</v>
      </c>
    </row>
    <row r="1612" spans="1:5" x14ac:dyDescent="0.2">
      <c r="A1612">
        <v>1605</v>
      </c>
      <c r="B1612">
        <v>1726</v>
      </c>
      <c r="C1612">
        <v>12</v>
      </c>
      <c r="D1612">
        <v>-20.5</v>
      </c>
      <c r="E1612">
        <v>1.4</v>
      </c>
    </row>
    <row r="1613" spans="1:5" x14ac:dyDescent="0.2">
      <c r="A1613">
        <v>1606</v>
      </c>
      <c r="B1613">
        <v>1727</v>
      </c>
      <c r="C1613">
        <v>11</v>
      </c>
      <c r="D1613">
        <v>-20.5</v>
      </c>
      <c r="E1613">
        <v>1.4</v>
      </c>
    </row>
    <row r="1614" spans="1:5" x14ac:dyDescent="0.2">
      <c r="A1614">
        <v>1607</v>
      </c>
      <c r="B1614">
        <v>1727</v>
      </c>
      <c r="C1614">
        <v>11</v>
      </c>
      <c r="D1614">
        <v>-20.399999999999999</v>
      </c>
      <c r="E1614">
        <v>1.4</v>
      </c>
    </row>
    <row r="1615" spans="1:5" x14ac:dyDescent="0.2">
      <c r="A1615">
        <v>1608</v>
      </c>
      <c r="B1615">
        <v>1728</v>
      </c>
      <c r="C1615">
        <v>11</v>
      </c>
      <c r="D1615">
        <v>-20.3</v>
      </c>
      <c r="E1615">
        <v>1.4</v>
      </c>
    </row>
    <row r="1616" spans="1:5" x14ac:dyDescent="0.2">
      <c r="A1616">
        <v>1609</v>
      </c>
      <c r="B1616">
        <v>1728</v>
      </c>
      <c r="C1616">
        <v>11</v>
      </c>
      <c r="D1616">
        <v>-20.3</v>
      </c>
      <c r="E1616">
        <v>1.4</v>
      </c>
    </row>
    <row r="1617" spans="1:5" x14ac:dyDescent="0.2">
      <c r="A1617">
        <v>1610</v>
      </c>
      <c r="B1617">
        <v>1729</v>
      </c>
      <c r="C1617">
        <v>11</v>
      </c>
      <c r="D1617">
        <v>-20.3</v>
      </c>
      <c r="E1617">
        <v>1.4</v>
      </c>
    </row>
    <row r="1618" spans="1:5" x14ac:dyDescent="0.2">
      <c r="A1618">
        <v>1611</v>
      </c>
      <c r="B1618">
        <v>1731</v>
      </c>
      <c r="C1618">
        <v>11</v>
      </c>
      <c r="D1618">
        <v>-20.399999999999999</v>
      </c>
      <c r="E1618">
        <v>1.4</v>
      </c>
    </row>
    <row r="1619" spans="1:5" x14ac:dyDescent="0.2">
      <c r="A1619">
        <v>1612</v>
      </c>
      <c r="B1619">
        <v>1734</v>
      </c>
      <c r="C1619">
        <v>11</v>
      </c>
      <c r="D1619">
        <v>-20.6</v>
      </c>
      <c r="E1619">
        <v>1.4</v>
      </c>
    </row>
    <row r="1620" spans="1:5" x14ac:dyDescent="0.2">
      <c r="A1620">
        <v>1613</v>
      </c>
      <c r="B1620">
        <v>1736</v>
      </c>
      <c r="C1620">
        <v>12</v>
      </c>
      <c r="D1620">
        <v>-20.8</v>
      </c>
      <c r="E1620">
        <v>1.4</v>
      </c>
    </row>
    <row r="1621" spans="1:5" x14ac:dyDescent="0.2">
      <c r="A1621">
        <v>1614</v>
      </c>
      <c r="B1621">
        <v>1738</v>
      </c>
      <c r="C1621">
        <v>12</v>
      </c>
      <c r="D1621">
        <v>-20.9</v>
      </c>
      <c r="E1621">
        <v>1.4</v>
      </c>
    </row>
    <row r="1622" spans="1:5" x14ac:dyDescent="0.2">
      <c r="A1622">
        <v>1615</v>
      </c>
      <c r="B1622">
        <v>1740</v>
      </c>
      <c r="C1622">
        <v>12</v>
      </c>
      <c r="D1622">
        <v>-21</v>
      </c>
      <c r="E1622">
        <v>1.4</v>
      </c>
    </row>
    <row r="1623" spans="1:5" x14ac:dyDescent="0.2">
      <c r="A1623">
        <v>1616</v>
      </c>
      <c r="B1623">
        <v>1741</v>
      </c>
      <c r="C1623">
        <v>12</v>
      </c>
      <c r="D1623">
        <v>-21</v>
      </c>
      <c r="E1623">
        <v>1.4</v>
      </c>
    </row>
    <row r="1624" spans="1:5" x14ac:dyDescent="0.2">
      <c r="A1624">
        <v>1617</v>
      </c>
      <c r="B1624">
        <v>1741</v>
      </c>
      <c r="C1624">
        <v>12</v>
      </c>
      <c r="D1624">
        <v>-20.9</v>
      </c>
      <c r="E1624">
        <v>1.4</v>
      </c>
    </row>
    <row r="1625" spans="1:5" x14ac:dyDescent="0.2">
      <c r="A1625">
        <v>1618</v>
      </c>
      <c r="B1625">
        <v>1742</v>
      </c>
      <c r="C1625">
        <v>12</v>
      </c>
      <c r="D1625">
        <v>-20.9</v>
      </c>
      <c r="E1625">
        <v>1.4</v>
      </c>
    </row>
    <row r="1626" spans="1:5" x14ac:dyDescent="0.2">
      <c r="A1626">
        <v>1619</v>
      </c>
      <c r="B1626">
        <v>1742</v>
      </c>
      <c r="C1626">
        <v>12</v>
      </c>
      <c r="D1626">
        <v>-20.8</v>
      </c>
      <c r="E1626">
        <v>1.4</v>
      </c>
    </row>
    <row r="1627" spans="1:5" x14ac:dyDescent="0.2">
      <c r="A1627">
        <v>1620</v>
      </c>
      <c r="B1627">
        <v>1743</v>
      </c>
      <c r="C1627">
        <v>12</v>
      </c>
      <c r="D1627">
        <v>-20.8</v>
      </c>
      <c r="E1627">
        <v>1.5</v>
      </c>
    </row>
    <row r="1628" spans="1:5" x14ac:dyDescent="0.2">
      <c r="A1628">
        <v>1621</v>
      </c>
      <c r="B1628">
        <v>1745</v>
      </c>
      <c r="C1628">
        <v>12</v>
      </c>
      <c r="D1628">
        <v>-21</v>
      </c>
      <c r="E1628">
        <v>1.4</v>
      </c>
    </row>
    <row r="1629" spans="1:5" x14ac:dyDescent="0.2">
      <c r="A1629">
        <v>1622</v>
      </c>
      <c r="B1629">
        <v>1748</v>
      </c>
      <c r="C1629">
        <v>12</v>
      </c>
      <c r="D1629">
        <v>-21.2</v>
      </c>
      <c r="E1629">
        <v>1.4</v>
      </c>
    </row>
    <row r="1630" spans="1:5" x14ac:dyDescent="0.2">
      <c r="A1630">
        <v>1623</v>
      </c>
      <c r="B1630">
        <v>1752</v>
      </c>
      <c r="C1630">
        <v>12</v>
      </c>
      <c r="D1630">
        <v>-21.5</v>
      </c>
      <c r="E1630">
        <v>1.4</v>
      </c>
    </row>
    <row r="1631" spans="1:5" x14ac:dyDescent="0.2">
      <c r="A1631">
        <v>1624</v>
      </c>
      <c r="B1631">
        <v>1755</v>
      </c>
      <c r="C1631">
        <v>12</v>
      </c>
      <c r="D1631">
        <v>-21.8</v>
      </c>
      <c r="E1631">
        <v>1.4</v>
      </c>
    </row>
    <row r="1632" spans="1:5" x14ac:dyDescent="0.2">
      <c r="A1632">
        <v>1625</v>
      </c>
      <c r="B1632">
        <v>1759</v>
      </c>
      <c r="C1632">
        <v>11</v>
      </c>
      <c r="D1632">
        <v>-22.2</v>
      </c>
      <c r="E1632">
        <v>1.4</v>
      </c>
    </row>
    <row r="1633" spans="1:5" x14ac:dyDescent="0.2">
      <c r="A1633">
        <v>1626</v>
      </c>
      <c r="B1633">
        <v>1762</v>
      </c>
      <c r="C1633">
        <v>11</v>
      </c>
      <c r="D1633">
        <v>-22.4</v>
      </c>
      <c r="E1633">
        <v>1.4</v>
      </c>
    </row>
    <row r="1634" spans="1:5" x14ac:dyDescent="0.2">
      <c r="A1634">
        <v>1627</v>
      </c>
      <c r="B1634">
        <v>1764</v>
      </c>
      <c r="C1634">
        <v>11</v>
      </c>
      <c r="D1634">
        <v>-22.6</v>
      </c>
      <c r="E1634">
        <v>1.4</v>
      </c>
    </row>
    <row r="1635" spans="1:5" x14ac:dyDescent="0.2">
      <c r="A1635">
        <v>1628</v>
      </c>
      <c r="B1635">
        <v>1766</v>
      </c>
      <c r="C1635">
        <v>11</v>
      </c>
      <c r="D1635">
        <v>-22.6</v>
      </c>
      <c r="E1635">
        <v>1.4</v>
      </c>
    </row>
    <row r="1636" spans="1:5" x14ac:dyDescent="0.2">
      <c r="A1636">
        <v>1629</v>
      </c>
      <c r="B1636">
        <v>1766</v>
      </c>
      <c r="C1636">
        <v>11</v>
      </c>
      <c r="D1636">
        <v>-22.6</v>
      </c>
      <c r="E1636">
        <v>1.4</v>
      </c>
    </row>
    <row r="1637" spans="1:5" x14ac:dyDescent="0.2">
      <c r="A1637">
        <v>1630</v>
      </c>
      <c r="B1637">
        <v>1767</v>
      </c>
      <c r="C1637">
        <v>11</v>
      </c>
      <c r="D1637">
        <v>-22.5</v>
      </c>
      <c r="E1637">
        <v>1.4</v>
      </c>
    </row>
    <row r="1638" spans="1:5" x14ac:dyDescent="0.2">
      <c r="A1638">
        <v>1631</v>
      </c>
      <c r="B1638">
        <v>1767</v>
      </c>
      <c r="C1638">
        <v>11</v>
      </c>
      <c r="D1638">
        <v>-22.4</v>
      </c>
      <c r="E1638">
        <v>1.4</v>
      </c>
    </row>
    <row r="1639" spans="1:5" x14ac:dyDescent="0.2">
      <c r="A1639">
        <v>1632</v>
      </c>
      <c r="B1639">
        <v>1768</v>
      </c>
      <c r="C1639">
        <v>11</v>
      </c>
      <c r="D1639">
        <v>-22.5</v>
      </c>
      <c r="E1639">
        <v>1.4</v>
      </c>
    </row>
    <row r="1640" spans="1:5" x14ac:dyDescent="0.2">
      <c r="A1640">
        <v>1633</v>
      </c>
      <c r="B1640">
        <v>1770</v>
      </c>
      <c r="C1640">
        <v>11</v>
      </c>
      <c r="D1640">
        <v>-22.5</v>
      </c>
      <c r="E1640">
        <v>1.4</v>
      </c>
    </row>
    <row r="1641" spans="1:5" x14ac:dyDescent="0.2">
      <c r="A1641">
        <v>1634</v>
      </c>
      <c r="B1641">
        <v>1771</v>
      </c>
      <c r="C1641">
        <v>11</v>
      </c>
      <c r="D1641">
        <v>-22.6</v>
      </c>
      <c r="E1641">
        <v>1.4</v>
      </c>
    </row>
    <row r="1642" spans="1:5" x14ac:dyDescent="0.2">
      <c r="A1642">
        <v>1635</v>
      </c>
      <c r="B1642">
        <v>1772</v>
      </c>
      <c r="C1642">
        <v>11</v>
      </c>
      <c r="D1642">
        <v>-22.6</v>
      </c>
      <c r="E1642">
        <v>1.4</v>
      </c>
    </row>
    <row r="1643" spans="1:5" x14ac:dyDescent="0.2">
      <c r="A1643">
        <v>1636</v>
      </c>
      <c r="B1643">
        <v>1773</v>
      </c>
      <c r="C1643">
        <v>11</v>
      </c>
      <c r="D1643">
        <v>-22.6</v>
      </c>
      <c r="E1643">
        <v>1.4</v>
      </c>
    </row>
    <row r="1644" spans="1:5" x14ac:dyDescent="0.2">
      <c r="A1644">
        <v>1637</v>
      </c>
      <c r="B1644">
        <v>1774</v>
      </c>
      <c r="C1644">
        <v>11</v>
      </c>
      <c r="D1644">
        <v>-22.6</v>
      </c>
      <c r="E1644">
        <v>1.4</v>
      </c>
    </row>
    <row r="1645" spans="1:5" x14ac:dyDescent="0.2">
      <c r="A1645">
        <v>1638</v>
      </c>
      <c r="B1645">
        <v>1774</v>
      </c>
      <c r="C1645">
        <v>12</v>
      </c>
      <c r="D1645">
        <v>-22.5</v>
      </c>
      <c r="E1645">
        <v>1.4</v>
      </c>
    </row>
    <row r="1646" spans="1:5" x14ac:dyDescent="0.2">
      <c r="A1646">
        <v>1639</v>
      </c>
      <c r="B1646">
        <v>1775</v>
      </c>
      <c r="C1646">
        <v>12</v>
      </c>
      <c r="D1646">
        <v>-22.4</v>
      </c>
      <c r="E1646">
        <v>1.4</v>
      </c>
    </row>
    <row r="1647" spans="1:5" x14ac:dyDescent="0.2">
      <c r="A1647">
        <v>1640</v>
      </c>
      <c r="B1647">
        <v>1775</v>
      </c>
      <c r="C1647">
        <v>12</v>
      </c>
      <c r="D1647">
        <v>-22.3</v>
      </c>
      <c r="E1647">
        <v>1.4</v>
      </c>
    </row>
    <row r="1648" spans="1:5" x14ac:dyDescent="0.2">
      <c r="A1648">
        <v>1641</v>
      </c>
      <c r="B1648">
        <v>1775</v>
      </c>
      <c r="C1648">
        <v>12</v>
      </c>
      <c r="D1648">
        <v>-22.2</v>
      </c>
      <c r="E1648">
        <v>1.5</v>
      </c>
    </row>
    <row r="1649" spans="1:5" x14ac:dyDescent="0.2">
      <c r="A1649">
        <v>1642</v>
      </c>
      <c r="B1649">
        <v>1776</v>
      </c>
      <c r="C1649">
        <v>12</v>
      </c>
      <c r="D1649">
        <v>-22.3</v>
      </c>
      <c r="E1649">
        <v>1.4</v>
      </c>
    </row>
    <row r="1650" spans="1:5" x14ac:dyDescent="0.2">
      <c r="A1650">
        <v>1643</v>
      </c>
      <c r="B1650">
        <v>1778</v>
      </c>
      <c r="C1650">
        <v>12</v>
      </c>
      <c r="D1650">
        <v>-22.3</v>
      </c>
      <c r="E1650">
        <v>1.4</v>
      </c>
    </row>
    <row r="1651" spans="1:5" x14ac:dyDescent="0.2">
      <c r="A1651">
        <v>1644</v>
      </c>
      <c r="B1651">
        <v>1780</v>
      </c>
      <c r="C1651">
        <v>12</v>
      </c>
      <c r="D1651">
        <v>-22.4</v>
      </c>
      <c r="E1651">
        <v>1.4</v>
      </c>
    </row>
    <row r="1652" spans="1:5" x14ac:dyDescent="0.2">
      <c r="A1652">
        <v>1645</v>
      </c>
      <c r="B1652">
        <v>1782</v>
      </c>
      <c r="C1652">
        <v>12</v>
      </c>
      <c r="D1652">
        <v>-22.5</v>
      </c>
      <c r="E1652">
        <v>1.4</v>
      </c>
    </row>
    <row r="1653" spans="1:5" x14ac:dyDescent="0.2">
      <c r="A1653">
        <v>1646</v>
      </c>
      <c r="B1653">
        <v>1783</v>
      </c>
      <c r="C1653">
        <v>12</v>
      </c>
      <c r="D1653">
        <v>-22.6</v>
      </c>
      <c r="E1653">
        <v>1.4</v>
      </c>
    </row>
    <row r="1654" spans="1:5" x14ac:dyDescent="0.2">
      <c r="A1654">
        <v>1647</v>
      </c>
      <c r="B1654">
        <v>1785</v>
      </c>
      <c r="C1654">
        <v>12</v>
      </c>
      <c r="D1654">
        <v>-22.7</v>
      </c>
      <c r="E1654">
        <v>1.4</v>
      </c>
    </row>
    <row r="1655" spans="1:5" x14ac:dyDescent="0.2">
      <c r="A1655">
        <v>1648</v>
      </c>
      <c r="B1655">
        <v>1785</v>
      </c>
      <c r="C1655">
        <v>12</v>
      </c>
      <c r="D1655">
        <v>-22.6</v>
      </c>
      <c r="E1655">
        <v>1.4</v>
      </c>
    </row>
    <row r="1656" spans="1:5" x14ac:dyDescent="0.2">
      <c r="A1656">
        <v>1649</v>
      </c>
      <c r="B1656">
        <v>1785</v>
      </c>
      <c r="C1656">
        <v>12</v>
      </c>
      <c r="D1656">
        <v>-22.4</v>
      </c>
      <c r="E1656">
        <v>1.4</v>
      </c>
    </row>
    <row r="1657" spans="1:5" x14ac:dyDescent="0.2">
      <c r="A1657">
        <v>1650</v>
      </c>
      <c r="B1657">
        <v>1784</v>
      </c>
      <c r="C1657">
        <v>12</v>
      </c>
      <c r="D1657">
        <v>-22.2</v>
      </c>
      <c r="E1657">
        <v>1.4</v>
      </c>
    </row>
    <row r="1658" spans="1:5" x14ac:dyDescent="0.2">
      <c r="A1658">
        <v>1651</v>
      </c>
      <c r="B1658">
        <v>1782</v>
      </c>
      <c r="C1658">
        <v>12</v>
      </c>
      <c r="D1658">
        <v>-21.9</v>
      </c>
      <c r="E1658">
        <v>1.4</v>
      </c>
    </row>
    <row r="1659" spans="1:5" x14ac:dyDescent="0.2">
      <c r="A1659">
        <v>1652</v>
      </c>
      <c r="B1659">
        <v>1780</v>
      </c>
      <c r="C1659">
        <v>12</v>
      </c>
      <c r="D1659">
        <v>-21.5</v>
      </c>
      <c r="E1659">
        <v>1.4</v>
      </c>
    </row>
    <row r="1660" spans="1:5" x14ac:dyDescent="0.2">
      <c r="A1660">
        <v>1653</v>
      </c>
      <c r="B1660">
        <v>1778</v>
      </c>
      <c r="C1660">
        <v>12</v>
      </c>
      <c r="D1660">
        <v>-21.2</v>
      </c>
      <c r="E1660">
        <v>1.4</v>
      </c>
    </row>
    <row r="1661" spans="1:5" x14ac:dyDescent="0.2">
      <c r="A1661">
        <v>1654</v>
      </c>
      <c r="B1661">
        <v>1776</v>
      </c>
      <c r="C1661">
        <v>12</v>
      </c>
      <c r="D1661">
        <v>-20.9</v>
      </c>
      <c r="E1661">
        <v>1.4</v>
      </c>
    </row>
    <row r="1662" spans="1:5" x14ac:dyDescent="0.2">
      <c r="A1662">
        <v>1655</v>
      </c>
      <c r="B1662">
        <v>1775</v>
      </c>
      <c r="C1662">
        <v>12</v>
      </c>
      <c r="D1662">
        <v>-20.5</v>
      </c>
      <c r="E1662">
        <v>1.4</v>
      </c>
    </row>
    <row r="1663" spans="1:5" x14ac:dyDescent="0.2">
      <c r="A1663">
        <v>1656</v>
      </c>
      <c r="B1663">
        <v>1773</v>
      </c>
      <c r="C1663">
        <v>12</v>
      </c>
      <c r="D1663">
        <v>-20.2</v>
      </c>
      <c r="E1663">
        <v>1.4</v>
      </c>
    </row>
    <row r="1664" spans="1:5" x14ac:dyDescent="0.2">
      <c r="A1664">
        <v>1657</v>
      </c>
      <c r="B1664">
        <v>1772</v>
      </c>
      <c r="C1664">
        <v>12</v>
      </c>
      <c r="D1664">
        <v>-19.899999999999999</v>
      </c>
      <c r="E1664">
        <v>1.4</v>
      </c>
    </row>
    <row r="1665" spans="1:5" x14ac:dyDescent="0.2">
      <c r="A1665">
        <v>1658</v>
      </c>
      <c r="B1665">
        <v>1770</v>
      </c>
      <c r="C1665">
        <v>12</v>
      </c>
      <c r="D1665">
        <v>-19.600000000000001</v>
      </c>
      <c r="E1665">
        <v>1.5</v>
      </c>
    </row>
    <row r="1666" spans="1:5" x14ac:dyDescent="0.2">
      <c r="A1666">
        <v>1659</v>
      </c>
      <c r="B1666">
        <v>1769</v>
      </c>
      <c r="C1666">
        <v>12</v>
      </c>
      <c r="D1666">
        <v>-19.3</v>
      </c>
      <c r="E1666">
        <v>1.5</v>
      </c>
    </row>
    <row r="1667" spans="1:5" x14ac:dyDescent="0.2">
      <c r="A1667">
        <v>1660</v>
      </c>
      <c r="B1667">
        <v>1767</v>
      </c>
      <c r="C1667">
        <v>13</v>
      </c>
      <c r="D1667">
        <v>-19</v>
      </c>
      <c r="E1667">
        <v>1.5</v>
      </c>
    </row>
    <row r="1668" spans="1:5" x14ac:dyDescent="0.2">
      <c r="A1668">
        <v>1661</v>
      </c>
      <c r="B1668">
        <v>1766</v>
      </c>
      <c r="C1668">
        <v>13</v>
      </c>
      <c r="D1668">
        <v>-18.7</v>
      </c>
      <c r="E1668">
        <v>1.6</v>
      </c>
    </row>
    <row r="1669" spans="1:5" x14ac:dyDescent="0.2">
      <c r="A1669">
        <v>1662</v>
      </c>
      <c r="B1669">
        <v>1764</v>
      </c>
      <c r="C1669">
        <v>13</v>
      </c>
      <c r="D1669">
        <v>-18.399999999999999</v>
      </c>
      <c r="E1669">
        <v>1.6</v>
      </c>
    </row>
    <row r="1670" spans="1:5" x14ac:dyDescent="0.2">
      <c r="A1670">
        <v>1663</v>
      </c>
      <c r="B1670">
        <v>1762</v>
      </c>
      <c r="C1670">
        <v>13</v>
      </c>
      <c r="D1670">
        <v>-18.100000000000001</v>
      </c>
      <c r="E1670">
        <v>1.6</v>
      </c>
    </row>
    <row r="1671" spans="1:5" x14ac:dyDescent="0.2">
      <c r="A1671">
        <v>1664</v>
      </c>
      <c r="B1671">
        <v>1760</v>
      </c>
      <c r="C1671">
        <v>13</v>
      </c>
      <c r="D1671">
        <v>-17.7</v>
      </c>
      <c r="E1671">
        <v>1.6</v>
      </c>
    </row>
    <row r="1672" spans="1:5" x14ac:dyDescent="0.2">
      <c r="A1672">
        <v>1665</v>
      </c>
      <c r="B1672">
        <v>1758</v>
      </c>
      <c r="C1672">
        <v>13</v>
      </c>
      <c r="D1672">
        <v>-17.3</v>
      </c>
      <c r="E1672">
        <v>1.6</v>
      </c>
    </row>
    <row r="1673" spans="1:5" x14ac:dyDescent="0.2">
      <c r="A1673">
        <v>1666</v>
      </c>
      <c r="B1673">
        <v>1756</v>
      </c>
      <c r="C1673">
        <v>13</v>
      </c>
      <c r="D1673">
        <v>-16.899999999999999</v>
      </c>
      <c r="E1673">
        <v>1.6</v>
      </c>
    </row>
    <row r="1674" spans="1:5" x14ac:dyDescent="0.2">
      <c r="A1674">
        <v>1667</v>
      </c>
      <c r="B1674">
        <v>1753</v>
      </c>
      <c r="C1674">
        <v>13</v>
      </c>
      <c r="D1674">
        <v>-16.399999999999999</v>
      </c>
      <c r="E1674">
        <v>1.6</v>
      </c>
    </row>
    <row r="1675" spans="1:5" x14ac:dyDescent="0.2">
      <c r="A1675">
        <v>1668</v>
      </c>
      <c r="B1675">
        <v>1750</v>
      </c>
      <c r="C1675">
        <v>14</v>
      </c>
      <c r="D1675">
        <v>-16</v>
      </c>
      <c r="E1675">
        <v>1.7</v>
      </c>
    </row>
    <row r="1676" spans="1:5" x14ac:dyDescent="0.2">
      <c r="A1676">
        <v>1669</v>
      </c>
      <c r="B1676">
        <v>1747</v>
      </c>
      <c r="C1676">
        <v>14</v>
      </c>
      <c r="D1676">
        <v>-15.4</v>
      </c>
      <c r="E1676">
        <v>1.7</v>
      </c>
    </row>
    <row r="1677" spans="1:5" x14ac:dyDescent="0.2">
      <c r="A1677">
        <v>1670</v>
      </c>
      <c r="B1677">
        <v>1743</v>
      </c>
      <c r="C1677">
        <v>14</v>
      </c>
      <c r="D1677">
        <v>-14.9</v>
      </c>
      <c r="E1677">
        <v>1.7</v>
      </c>
    </row>
    <row r="1678" spans="1:5" x14ac:dyDescent="0.2">
      <c r="A1678">
        <v>1671</v>
      </c>
      <c r="B1678">
        <v>1739</v>
      </c>
      <c r="C1678">
        <v>14</v>
      </c>
      <c r="D1678">
        <v>-14.3</v>
      </c>
      <c r="E1678">
        <v>1.7</v>
      </c>
    </row>
    <row r="1679" spans="1:5" x14ac:dyDescent="0.2">
      <c r="A1679">
        <v>1672</v>
      </c>
      <c r="B1679">
        <v>1735</v>
      </c>
      <c r="C1679">
        <v>14</v>
      </c>
      <c r="D1679">
        <v>-13.6</v>
      </c>
      <c r="E1679">
        <v>1.7</v>
      </c>
    </row>
    <row r="1680" spans="1:5" x14ac:dyDescent="0.2">
      <c r="A1680">
        <v>1673</v>
      </c>
      <c r="B1680">
        <v>1731</v>
      </c>
      <c r="C1680">
        <v>14</v>
      </c>
      <c r="D1680">
        <v>-13</v>
      </c>
      <c r="E1680">
        <v>1.7</v>
      </c>
    </row>
    <row r="1681" spans="1:5" x14ac:dyDescent="0.2">
      <c r="A1681">
        <v>1674</v>
      </c>
      <c r="B1681">
        <v>1727</v>
      </c>
      <c r="C1681">
        <v>13</v>
      </c>
      <c r="D1681">
        <v>-12.4</v>
      </c>
      <c r="E1681">
        <v>1.6</v>
      </c>
    </row>
    <row r="1682" spans="1:5" x14ac:dyDescent="0.2">
      <c r="A1682">
        <v>1675</v>
      </c>
      <c r="B1682">
        <v>1722</v>
      </c>
      <c r="C1682">
        <v>13</v>
      </c>
      <c r="D1682">
        <v>-11.7</v>
      </c>
      <c r="E1682">
        <v>1.6</v>
      </c>
    </row>
    <row r="1683" spans="1:5" x14ac:dyDescent="0.2">
      <c r="A1683">
        <v>1676</v>
      </c>
      <c r="B1683">
        <v>1719</v>
      </c>
      <c r="C1683">
        <v>13</v>
      </c>
      <c r="D1683">
        <v>-11.2</v>
      </c>
      <c r="E1683">
        <v>1.6</v>
      </c>
    </row>
    <row r="1684" spans="1:5" x14ac:dyDescent="0.2">
      <c r="A1684">
        <v>1677</v>
      </c>
      <c r="B1684">
        <v>1715</v>
      </c>
      <c r="C1684">
        <v>13</v>
      </c>
      <c r="D1684">
        <v>-10.6</v>
      </c>
      <c r="E1684">
        <v>1.6</v>
      </c>
    </row>
    <row r="1685" spans="1:5" x14ac:dyDescent="0.2">
      <c r="A1685">
        <v>1678</v>
      </c>
      <c r="B1685">
        <v>1712</v>
      </c>
      <c r="C1685">
        <v>13</v>
      </c>
      <c r="D1685">
        <v>-10.1</v>
      </c>
      <c r="E1685">
        <v>1.6</v>
      </c>
    </row>
    <row r="1686" spans="1:5" x14ac:dyDescent="0.2">
      <c r="A1686">
        <v>1679</v>
      </c>
      <c r="B1686">
        <v>1710</v>
      </c>
      <c r="C1686">
        <v>13</v>
      </c>
      <c r="D1686">
        <v>-9.6999999999999993</v>
      </c>
      <c r="E1686">
        <v>1.6</v>
      </c>
    </row>
    <row r="1687" spans="1:5" x14ac:dyDescent="0.2">
      <c r="A1687">
        <v>1680</v>
      </c>
      <c r="B1687">
        <v>1708</v>
      </c>
      <c r="C1687">
        <v>13</v>
      </c>
      <c r="D1687">
        <v>-9.4</v>
      </c>
      <c r="E1687">
        <v>1.6</v>
      </c>
    </row>
    <row r="1688" spans="1:5" x14ac:dyDescent="0.2">
      <c r="A1688">
        <v>1681</v>
      </c>
      <c r="B1688">
        <v>1707</v>
      </c>
      <c r="C1688">
        <v>13</v>
      </c>
      <c r="D1688">
        <v>-9.1999999999999993</v>
      </c>
      <c r="E1688">
        <v>1.7</v>
      </c>
    </row>
    <row r="1689" spans="1:5" x14ac:dyDescent="0.2">
      <c r="A1689">
        <v>1682</v>
      </c>
      <c r="B1689">
        <v>1707</v>
      </c>
      <c r="C1689">
        <v>13</v>
      </c>
      <c r="D1689">
        <v>-9</v>
      </c>
      <c r="E1689">
        <v>1.7</v>
      </c>
    </row>
    <row r="1690" spans="1:5" x14ac:dyDescent="0.2">
      <c r="A1690">
        <v>1683</v>
      </c>
      <c r="B1690">
        <v>1708</v>
      </c>
      <c r="C1690">
        <v>13</v>
      </c>
      <c r="D1690">
        <v>-9.1</v>
      </c>
      <c r="E1690">
        <v>1.7</v>
      </c>
    </row>
    <row r="1691" spans="1:5" x14ac:dyDescent="0.2">
      <c r="A1691">
        <v>1684</v>
      </c>
      <c r="B1691">
        <v>1710</v>
      </c>
      <c r="C1691">
        <v>13</v>
      </c>
      <c r="D1691">
        <v>-9.1999999999999993</v>
      </c>
      <c r="E1691">
        <v>1.6</v>
      </c>
    </row>
    <row r="1692" spans="1:5" x14ac:dyDescent="0.2">
      <c r="A1692">
        <v>1685</v>
      </c>
      <c r="B1692">
        <v>1713</v>
      </c>
      <c r="C1692">
        <v>13</v>
      </c>
      <c r="D1692">
        <v>-9.4</v>
      </c>
      <c r="E1692">
        <v>1.6</v>
      </c>
    </row>
    <row r="1693" spans="1:5" x14ac:dyDescent="0.2">
      <c r="A1693">
        <v>1686</v>
      </c>
      <c r="B1693">
        <v>1716</v>
      </c>
      <c r="C1693">
        <v>13</v>
      </c>
      <c r="D1693">
        <v>-9.6999999999999993</v>
      </c>
      <c r="E1693">
        <v>1.6</v>
      </c>
    </row>
    <row r="1694" spans="1:5" x14ac:dyDescent="0.2">
      <c r="A1694">
        <v>1687</v>
      </c>
      <c r="B1694">
        <v>1721</v>
      </c>
      <c r="C1694">
        <v>13</v>
      </c>
      <c r="D1694">
        <v>-10.1</v>
      </c>
      <c r="E1694">
        <v>1.5</v>
      </c>
    </row>
    <row r="1695" spans="1:5" x14ac:dyDescent="0.2">
      <c r="A1695">
        <v>1688</v>
      </c>
      <c r="B1695">
        <v>1725</v>
      </c>
      <c r="C1695">
        <v>12</v>
      </c>
      <c r="D1695">
        <v>-10.5</v>
      </c>
      <c r="E1695">
        <v>1.5</v>
      </c>
    </row>
    <row r="1696" spans="1:5" x14ac:dyDescent="0.2">
      <c r="A1696">
        <v>1689</v>
      </c>
      <c r="B1696">
        <v>1730</v>
      </c>
      <c r="C1696">
        <v>12</v>
      </c>
      <c r="D1696">
        <v>-11</v>
      </c>
      <c r="E1696">
        <v>1.5</v>
      </c>
    </row>
    <row r="1697" spans="1:5" x14ac:dyDescent="0.2">
      <c r="A1697">
        <v>1690</v>
      </c>
      <c r="B1697">
        <v>1735</v>
      </c>
      <c r="C1697">
        <v>12</v>
      </c>
      <c r="D1697">
        <v>-11.5</v>
      </c>
      <c r="E1697">
        <v>1.5</v>
      </c>
    </row>
    <row r="1698" spans="1:5" x14ac:dyDescent="0.2">
      <c r="A1698">
        <v>1691</v>
      </c>
      <c r="B1698">
        <v>1740</v>
      </c>
      <c r="C1698">
        <v>13</v>
      </c>
      <c r="D1698">
        <v>-12</v>
      </c>
      <c r="E1698">
        <v>1.5</v>
      </c>
    </row>
    <row r="1699" spans="1:5" x14ac:dyDescent="0.2">
      <c r="A1699">
        <v>1692</v>
      </c>
      <c r="B1699">
        <v>1745</v>
      </c>
      <c r="C1699">
        <v>13</v>
      </c>
      <c r="D1699">
        <v>-12.4</v>
      </c>
      <c r="E1699">
        <v>1.6</v>
      </c>
    </row>
    <row r="1700" spans="1:5" x14ac:dyDescent="0.2">
      <c r="A1700">
        <v>1693</v>
      </c>
      <c r="B1700">
        <v>1750</v>
      </c>
      <c r="C1700">
        <v>13</v>
      </c>
      <c r="D1700">
        <v>-12.9</v>
      </c>
      <c r="E1700">
        <v>1.6</v>
      </c>
    </row>
    <row r="1701" spans="1:5" x14ac:dyDescent="0.2">
      <c r="A1701">
        <v>1694</v>
      </c>
      <c r="B1701">
        <v>1754</v>
      </c>
      <c r="C1701">
        <v>13</v>
      </c>
      <c r="D1701">
        <v>-13.4</v>
      </c>
      <c r="E1701">
        <v>1.6</v>
      </c>
    </row>
    <row r="1702" spans="1:5" x14ac:dyDescent="0.2">
      <c r="A1702">
        <v>1695</v>
      </c>
      <c r="B1702">
        <v>1759</v>
      </c>
      <c r="C1702">
        <v>13</v>
      </c>
      <c r="D1702">
        <v>-13.8</v>
      </c>
      <c r="E1702">
        <v>1.6</v>
      </c>
    </row>
    <row r="1703" spans="1:5" x14ac:dyDescent="0.2">
      <c r="A1703">
        <v>1696</v>
      </c>
      <c r="B1703">
        <v>1762</v>
      </c>
      <c r="C1703">
        <v>13</v>
      </c>
      <c r="D1703">
        <v>-14.1</v>
      </c>
      <c r="E1703">
        <v>1.6</v>
      </c>
    </row>
    <row r="1704" spans="1:5" x14ac:dyDescent="0.2">
      <c r="A1704">
        <v>1697</v>
      </c>
      <c r="B1704">
        <v>1766</v>
      </c>
      <c r="C1704">
        <v>13</v>
      </c>
      <c r="D1704">
        <v>-14.4</v>
      </c>
      <c r="E1704">
        <v>1.6</v>
      </c>
    </row>
    <row r="1705" spans="1:5" x14ac:dyDescent="0.2">
      <c r="A1705">
        <v>1698</v>
      </c>
      <c r="B1705">
        <v>1769</v>
      </c>
      <c r="C1705">
        <v>12</v>
      </c>
      <c r="D1705">
        <v>-14.7</v>
      </c>
      <c r="E1705">
        <v>1.5</v>
      </c>
    </row>
    <row r="1706" spans="1:5" x14ac:dyDescent="0.2">
      <c r="A1706">
        <v>1699</v>
      </c>
      <c r="B1706">
        <v>1772</v>
      </c>
      <c r="C1706">
        <v>12</v>
      </c>
      <c r="D1706">
        <v>-15</v>
      </c>
      <c r="E1706">
        <v>1.5</v>
      </c>
    </row>
    <row r="1707" spans="1:5" x14ac:dyDescent="0.2">
      <c r="A1707">
        <v>1700</v>
      </c>
      <c r="B1707">
        <v>1775</v>
      </c>
      <c r="C1707">
        <v>12</v>
      </c>
      <c r="D1707">
        <v>-15.2</v>
      </c>
      <c r="E1707">
        <v>1.5</v>
      </c>
    </row>
    <row r="1708" spans="1:5" x14ac:dyDescent="0.2">
      <c r="A1708">
        <v>1701</v>
      </c>
      <c r="B1708">
        <v>1777</v>
      </c>
      <c r="C1708">
        <v>12</v>
      </c>
      <c r="D1708">
        <v>-15.4</v>
      </c>
      <c r="E1708">
        <v>1.5</v>
      </c>
    </row>
    <row r="1709" spans="1:5" x14ac:dyDescent="0.2">
      <c r="A1709">
        <v>1702</v>
      </c>
      <c r="B1709">
        <v>1780</v>
      </c>
      <c r="C1709">
        <v>12</v>
      </c>
      <c r="D1709">
        <v>-15.6</v>
      </c>
      <c r="E1709">
        <v>1.5</v>
      </c>
    </row>
    <row r="1710" spans="1:5" x14ac:dyDescent="0.2">
      <c r="A1710">
        <v>1703</v>
      </c>
      <c r="B1710">
        <v>1783</v>
      </c>
      <c r="C1710">
        <v>12</v>
      </c>
      <c r="D1710">
        <v>-15.8</v>
      </c>
      <c r="E1710">
        <v>1.5</v>
      </c>
    </row>
    <row r="1711" spans="1:5" x14ac:dyDescent="0.2">
      <c r="A1711">
        <v>1704</v>
      </c>
      <c r="B1711">
        <v>1785</v>
      </c>
      <c r="C1711">
        <v>13</v>
      </c>
      <c r="D1711">
        <v>-16</v>
      </c>
      <c r="E1711">
        <v>1.5</v>
      </c>
    </row>
    <row r="1712" spans="1:5" x14ac:dyDescent="0.2">
      <c r="A1712">
        <v>1705</v>
      </c>
      <c r="B1712">
        <v>1788</v>
      </c>
      <c r="C1712">
        <v>13</v>
      </c>
      <c r="D1712">
        <v>-16.2</v>
      </c>
      <c r="E1712">
        <v>1.6</v>
      </c>
    </row>
    <row r="1713" spans="1:5" x14ac:dyDescent="0.2">
      <c r="A1713">
        <v>1706</v>
      </c>
      <c r="B1713">
        <v>1791</v>
      </c>
      <c r="C1713">
        <v>13</v>
      </c>
      <c r="D1713">
        <v>-16.399999999999999</v>
      </c>
      <c r="E1713">
        <v>1.6</v>
      </c>
    </row>
    <row r="1714" spans="1:5" x14ac:dyDescent="0.2">
      <c r="A1714">
        <v>1707</v>
      </c>
      <c r="B1714">
        <v>1794</v>
      </c>
      <c r="C1714">
        <v>13</v>
      </c>
      <c r="D1714">
        <v>-16.7</v>
      </c>
      <c r="E1714">
        <v>1.6</v>
      </c>
    </row>
    <row r="1715" spans="1:5" x14ac:dyDescent="0.2">
      <c r="A1715">
        <v>1708</v>
      </c>
      <c r="B1715">
        <v>1797</v>
      </c>
      <c r="C1715">
        <v>13</v>
      </c>
      <c r="D1715">
        <v>-16.899999999999999</v>
      </c>
      <c r="E1715">
        <v>1.6</v>
      </c>
    </row>
    <row r="1716" spans="1:5" x14ac:dyDescent="0.2">
      <c r="A1716">
        <v>1709</v>
      </c>
      <c r="B1716">
        <v>1800</v>
      </c>
      <c r="C1716">
        <v>13</v>
      </c>
      <c r="D1716">
        <v>-17.2</v>
      </c>
      <c r="E1716">
        <v>1.6</v>
      </c>
    </row>
    <row r="1717" spans="1:5" x14ac:dyDescent="0.2">
      <c r="A1717">
        <v>1710</v>
      </c>
      <c r="B1717">
        <v>1804</v>
      </c>
      <c r="C1717">
        <v>13</v>
      </c>
      <c r="D1717">
        <v>-17.5</v>
      </c>
      <c r="E1717">
        <v>1.6</v>
      </c>
    </row>
    <row r="1718" spans="1:5" x14ac:dyDescent="0.2">
      <c r="A1718">
        <v>1711</v>
      </c>
      <c r="B1718">
        <v>1807</v>
      </c>
      <c r="C1718">
        <v>13</v>
      </c>
      <c r="D1718">
        <v>-17.899999999999999</v>
      </c>
      <c r="E1718">
        <v>1.5</v>
      </c>
    </row>
    <row r="1719" spans="1:5" x14ac:dyDescent="0.2">
      <c r="A1719">
        <v>1712</v>
      </c>
      <c r="B1719">
        <v>1811</v>
      </c>
      <c r="C1719">
        <v>13</v>
      </c>
      <c r="D1719">
        <v>-18.2</v>
      </c>
      <c r="E1719">
        <v>1.5</v>
      </c>
    </row>
    <row r="1720" spans="1:5" x14ac:dyDescent="0.2">
      <c r="A1720">
        <v>1713</v>
      </c>
      <c r="B1720">
        <v>1814</v>
      </c>
      <c r="C1720">
        <v>13</v>
      </c>
      <c r="D1720">
        <v>-18.5</v>
      </c>
      <c r="E1720">
        <v>1.6</v>
      </c>
    </row>
    <row r="1721" spans="1:5" x14ac:dyDescent="0.2">
      <c r="A1721">
        <v>1714</v>
      </c>
      <c r="B1721">
        <v>1818</v>
      </c>
      <c r="C1721">
        <v>13</v>
      </c>
      <c r="D1721">
        <v>-18.8</v>
      </c>
      <c r="E1721">
        <v>1.6</v>
      </c>
    </row>
    <row r="1722" spans="1:5" x14ac:dyDescent="0.2">
      <c r="A1722">
        <v>1715</v>
      </c>
      <c r="B1722">
        <v>1821</v>
      </c>
      <c r="C1722">
        <v>13</v>
      </c>
      <c r="D1722">
        <v>-19.100000000000001</v>
      </c>
      <c r="E1722">
        <v>1.6</v>
      </c>
    </row>
    <row r="1723" spans="1:5" x14ac:dyDescent="0.2">
      <c r="A1723">
        <v>1716</v>
      </c>
      <c r="B1723">
        <v>1824</v>
      </c>
      <c r="C1723">
        <v>13</v>
      </c>
      <c r="D1723">
        <v>-19.3</v>
      </c>
      <c r="E1723">
        <v>1.6</v>
      </c>
    </row>
    <row r="1724" spans="1:5" x14ac:dyDescent="0.2">
      <c r="A1724">
        <v>1717</v>
      </c>
      <c r="B1724">
        <v>1827</v>
      </c>
      <c r="C1724">
        <v>14</v>
      </c>
      <c r="D1724">
        <v>-19.5</v>
      </c>
      <c r="E1724">
        <v>1.7</v>
      </c>
    </row>
    <row r="1725" spans="1:5" x14ac:dyDescent="0.2">
      <c r="A1725">
        <v>1718</v>
      </c>
      <c r="B1725">
        <v>1829</v>
      </c>
      <c r="C1725">
        <v>14</v>
      </c>
      <c r="D1725">
        <v>-19.7</v>
      </c>
      <c r="E1725">
        <v>1.7</v>
      </c>
    </row>
    <row r="1726" spans="1:5" x14ac:dyDescent="0.2">
      <c r="A1726">
        <v>1719</v>
      </c>
      <c r="B1726">
        <v>1831</v>
      </c>
      <c r="C1726">
        <v>14</v>
      </c>
      <c r="D1726">
        <v>-19.8</v>
      </c>
      <c r="E1726">
        <v>1.7</v>
      </c>
    </row>
    <row r="1727" spans="1:5" x14ac:dyDescent="0.2">
      <c r="A1727">
        <v>1720</v>
      </c>
      <c r="B1727">
        <v>1833</v>
      </c>
      <c r="C1727">
        <v>14</v>
      </c>
      <c r="D1727">
        <v>-19.899999999999999</v>
      </c>
      <c r="E1727">
        <v>1.7</v>
      </c>
    </row>
    <row r="1728" spans="1:5" x14ac:dyDescent="0.2">
      <c r="A1728">
        <v>1721</v>
      </c>
      <c r="B1728">
        <v>1834</v>
      </c>
      <c r="C1728">
        <v>14</v>
      </c>
      <c r="D1728">
        <v>-19.899999999999999</v>
      </c>
      <c r="E1728">
        <v>1.7</v>
      </c>
    </row>
    <row r="1729" spans="1:5" x14ac:dyDescent="0.2">
      <c r="A1729">
        <v>1722</v>
      </c>
      <c r="B1729">
        <v>1835</v>
      </c>
      <c r="C1729">
        <v>14</v>
      </c>
      <c r="D1729">
        <v>-19.899999999999999</v>
      </c>
      <c r="E1729">
        <v>1.7</v>
      </c>
    </row>
    <row r="1730" spans="1:5" x14ac:dyDescent="0.2">
      <c r="A1730">
        <v>1723</v>
      </c>
      <c r="B1730">
        <v>1835</v>
      </c>
      <c r="C1730">
        <v>14</v>
      </c>
      <c r="D1730">
        <v>-19.8</v>
      </c>
      <c r="E1730">
        <v>1.7</v>
      </c>
    </row>
    <row r="1731" spans="1:5" x14ac:dyDescent="0.2">
      <c r="A1731">
        <v>1724</v>
      </c>
      <c r="B1731">
        <v>1835</v>
      </c>
      <c r="C1731">
        <v>13</v>
      </c>
      <c r="D1731">
        <v>-19.8</v>
      </c>
      <c r="E1731">
        <v>1.6</v>
      </c>
    </row>
    <row r="1732" spans="1:5" x14ac:dyDescent="0.2">
      <c r="A1732">
        <v>1725</v>
      </c>
      <c r="B1732">
        <v>1836</v>
      </c>
      <c r="C1732">
        <v>14</v>
      </c>
      <c r="D1732">
        <v>-19.600000000000001</v>
      </c>
      <c r="E1732">
        <v>1.6</v>
      </c>
    </row>
    <row r="1733" spans="1:5" x14ac:dyDescent="0.2">
      <c r="A1733">
        <v>1726</v>
      </c>
      <c r="B1733">
        <v>1836</v>
      </c>
      <c r="C1733">
        <v>14</v>
      </c>
      <c r="D1733">
        <v>-19.5</v>
      </c>
      <c r="E1733">
        <v>1.7</v>
      </c>
    </row>
    <row r="1734" spans="1:5" x14ac:dyDescent="0.2">
      <c r="A1734">
        <v>1727</v>
      </c>
      <c r="B1734">
        <v>1836</v>
      </c>
      <c r="C1734">
        <v>14</v>
      </c>
      <c r="D1734">
        <v>-19.399999999999999</v>
      </c>
      <c r="E1734">
        <v>1.7</v>
      </c>
    </row>
    <row r="1735" spans="1:5" x14ac:dyDescent="0.2">
      <c r="A1735">
        <v>1728</v>
      </c>
      <c r="B1735">
        <v>1836</v>
      </c>
      <c r="C1735">
        <v>14</v>
      </c>
      <c r="D1735">
        <v>-19.3</v>
      </c>
      <c r="E1735">
        <v>1.8</v>
      </c>
    </row>
    <row r="1736" spans="1:5" x14ac:dyDescent="0.2">
      <c r="A1736">
        <v>1729</v>
      </c>
      <c r="B1736">
        <v>1836</v>
      </c>
      <c r="C1736">
        <v>15</v>
      </c>
      <c r="D1736">
        <v>-19.3</v>
      </c>
      <c r="E1736">
        <v>1.8</v>
      </c>
    </row>
    <row r="1737" spans="1:5" x14ac:dyDescent="0.2">
      <c r="A1737">
        <v>1730</v>
      </c>
      <c r="B1737">
        <v>1837</v>
      </c>
      <c r="C1737">
        <v>15</v>
      </c>
      <c r="D1737">
        <v>-19.2</v>
      </c>
      <c r="E1737">
        <v>1.8</v>
      </c>
    </row>
    <row r="1738" spans="1:5" x14ac:dyDescent="0.2">
      <c r="A1738">
        <v>1731</v>
      </c>
      <c r="B1738">
        <v>1838</v>
      </c>
      <c r="C1738">
        <v>15</v>
      </c>
      <c r="D1738">
        <v>-19.2</v>
      </c>
      <c r="E1738">
        <v>1.8</v>
      </c>
    </row>
    <row r="1739" spans="1:5" x14ac:dyDescent="0.2">
      <c r="A1739">
        <v>1732</v>
      </c>
      <c r="B1739">
        <v>1839</v>
      </c>
      <c r="C1739">
        <v>15</v>
      </c>
      <c r="D1739">
        <v>-19.2</v>
      </c>
      <c r="E1739">
        <v>1.8</v>
      </c>
    </row>
    <row r="1740" spans="1:5" x14ac:dyDescent="0.2">
      <c r="A1740">
        <v>1733</v>
      </c>
      <c r="B1740">
        <v>1841</v>
      </c>
      <c r="C1740">
        <v>15</v>
      </c>
      <c r="D1740">
        <v>-19.3</v>
      </c>
      <c r="E1740">
        <v>1.8</v>
      </c>
    </row>
    <row r="1741" spans="1:5" x14ac:dyDescent="0.2">
      <c r="A1741">
        <v>1734</v>
      </c>
      <c r="B1741">
        <v>1843</v>
      </c>
      <c r="C1741">
        <v>15</v>
      </c>
      <c r="D1741">
        <v>-19.399999999999999</v>
      </c>
      <c r="E1741">
        <v>1.8</v>
      </c>
    </row>
    <row r="1742" spans="1:5" x14ac:dyDescent="0.2">
      <c r="A1742">
        <v>1735</v>
      </c>
      <c r="B1742">
        <v>1845</v>
      </c>
      <c r="C1742">
        <v>14</v>
      </c>
      <c r="D1742">
        <v>-19.600000000000001</v>
      </c>
      <c r="E1742">
        <v>1.7</v>
      </c>
    </row>
    <row r="1743" spans="1:5" x14ac:dyDescent="0.2">
      <c r="A1743">
        <v>1736</v>
      </c>
      <c r="B1743">
        <v>1847</v>
      </c>
      <c r="C1743">
        <v>14</v>
      </c>
      <c r="D1743">
        <v>-19.8</v>
      </c>
      <c r="E1743">
        <v>1.7</v>
      </c>
    </row>
    <row r="1744" spans="1:5" x14ac:dyDescent="0.2">
      <c r="A1744">
        <v>1737</v>
      </c>
      <c r="B1744">
        <v>1850</v>
      </c>
      <c r="C1744">
        <v>14</v>
      </c>
      <c r="D1744">
        <v>-20</v>
      </c>
      <c r="E1744">
        <v>1.7</v>
      </c>
    </row>
    <row r="1745" spans="1:5" x14ac:dyDescent="0.2">
      <c r="A1745">
        <v>1738</v>
      </c>
      <c r="B1745">
        <v>1853</v>
      </c>
      <c r="C1745">
        <v>14</v>
      </c>
      <c r="D1745">
        <v>-20.2</v>
      </c>
      <c r="E1745">
        <v>1.7</v>
      </c>
    </row>
    <row r="1746" spans="1:5" x14ac:dyDescent="0.2">
      <c r="A1746">
        <v>1739</v>
      </c>
      <c r="B1746">
        <v>1856</v>
      </c>
      <c r="C1746">
        <v>14</v>
      </c>
      <c r="D1746">
        <v>-20.399999999999999</v>
      </c>
      <c r="E1746">
        <v>1.7</v>
      </c>
    </row>
    <row r="1747" spans="1:5" x14ac:dyDescent="0.2">
      <c r="A1747">
        <v>1740</v>
      </c>
      <c r="B1747">
        <v>1859</v>
      </c>
      <c r="C1747">
        <v>14</v>
      </c>
      <c r="D1747">
        <v>-20.7</v>
      </c>
      <c r="E1747">
        <v>1.7</v>
      </c>
    </row>
    <row r="1748" spans="1:5" x14ac:dyDescent="0.2">
      <c r="A1748">
        <v>1741</v>
      </c>
      <c r="B1748">
        <v>1862</v>
      </c>
      <c r="C1748">
        <v>14</v>
      </c>
      <c r="D1748">
        <v>-20.9</v>
      </c>
      <c r="E1748">
        <v>1.7</v>
      </c>
    </row>
    <row r="1749" spans="1:5" x14ac:dyDescent="0.2">
      <c r="A1749">
        <v>1742</v>
      </c>
      <c r="B1749">
        <v>1865</v>
      </c>
      <c r="C1749">
        <v>14</v>
      </c>
      <c r="D1749">
        <v>-21.2</v>
      </c>
      <c r="E1749">
        <v>1.8</v>
      </c>
    </row>
    <row r="1750" spans="1:5" x14ac:dyDescent="0.2">
      <c r="A1750">
        <v>1743</v>
      </c>
      <c r="B1750">
        <v>1868</v>
      </c>
      <c r="C1750">
        <v>15</v>
      </c>
      <c r="D1750">
        <v>-21.4</v>
      </c>
      <c r="E1750">
        <v>1.8</v>
      </c>
    </row>
    <row r="1751" spans="1:5" x14ac:dyDescent="0.2">
      <c r="A1751">
        <v>1744</v>
      </c>
      <c r="B1751">
        <v>1870</v>
      </c>
      <c r="C1751">
        <v>14</v>
      </c>
      <c r="D1751">
        <v>-21.6</v>
      </c>
      <c r="E1751">
        <v>1.8</v>
      </c>
    </row>
    <row r="1752" spans="1:5" x14ac:dyDescent="0.2">
      <c r="A1752">
        <v>1745</v>
      </c>
      <c r="B1752">
        <v>1873</v>
      </c>
      <c r="C1752">
        <v>14</v>
      </c>
      <c r="D1752">
        <v>-21.8</v>
      </c>
      <c r="E1752">
        <v>1.7</v>
      </c>
    </row>
    <row r="1753" spans="1:5" x14ac:dyDescent="0.2">
      <c r="A1753">
        <v>1746</v>
      </c>
      <c r="B1753">
        <v>1875</v>
      </c>
      <c r="C1753">
        <v>14</v>
      </c>
      <c r="D1753">
        <v>-22</v>
      </c>
      <c r="E1753">
        <v>1.7</v>
      </c>
    </row>
    <row r="1754" spans="1:5" x14ac:dyDescent="0.2">
      <c r="A1754">
        <v>1747</v>
      </c>
      <c r="B1754">
        <v>1878</v>
      </c>
      <c r="C1754">
        <v>14</v>
      </c>
      <c r="D1754">
        <v>-22.2</v>
      </c>
      <c r="E1754">
        <v>1.7</v>
      </c>
    </row>
    <row r="1755" spans="1:5" x14ac:dyDescent="0.2">
      <c r="A1755">
        <v>1748</v>
      </c>
      <c r="B1755">
        <v>1880</v>
      </c>
      <c r="C1755">
        <v>14</v>
      </c>
      <c r="D1755">
        <v>-22.3</v>
      </c>
      <c r="E1755">
        <v>1.7</v>
      </c>
    </row>
    <row r="1756" spans="1:5" x14ac:dyDescent="0.2">
      <c r="A1756">
        <v>1749</v>
      </c>
      <c r="B1756">
        <v>1881</v>
      </c>
      <c r="C1756">
        <v>15</v>
      </c>
      <c r="D1756">
        <v>-22.4</v>
      </c>
      <c r="E1756">
        <v>1.8</v>
      </c>
    </row>
    <row r="1757" spans="1:5" x14ac:dyDescent="0.2">
      <c r="A1757">
        <v>1750</v>
      </c>
      <c r="B1757">
        <v>1883</v>
      </c>
      <c r="C1757">
        <v>15</v>
      </c>
      <c r="D1757">
        <v>-22.4</v>
      </c>
      <c r="E1757">
        <v>1.8</v>
      </c>
    </row>
    <row r="1758" spans="1:5" x14ac:dyDescent="0.2">
      <c r="A1758">
        <v>1751</v>
      </c>
      <c r="B1758">
        <v>1884</v>
      </c>
      <c r="C1758">
        <v>15</v>
      </c>
      <c r="D1758">
        <v>-22.4</v>
      </c>
      <c r="E1758">
        <v>1.8</v>
      </c>
    </row>
    <row r="1759" spans="1:5" x14ac:dyDescent="0.2">
      <c r="A1759">
        <v>1752</v>
      </c>
      <c r="B1759">
        <v>1885</v>
      </c>
      <c r="C1759">
        <v>15</v>
      </c>
      <c r="D1759">
        <v>-22.4</v>
      </c>
      <c r="E1759">
        <v>1.9</v>
      </c>
    </row>
    <row r="1760" spans="1:5" x14ac:dyDescent="0.2">
      <c r="A1760">
        <v>1753</v>
      </c>
      <c r="B1760">
        <v>1885</v>
      </c>
      <c r="C1760">
        <v>15</v>
      </c>
      <c r="D1760">
        <v>-22.3</v>
      </c>
      <c r="E1760">
        <v>1.8</v>
      </c>
    </row>
    <row r="1761" spans="1:5" x14ac:dyDescent="0.2">
      <c r="A1761">
        <v>1754</v>
      </c>
      <c r="B1761">
        <v>1885</v>
      </c>
      <c r="C1761">
        <v>15</v>
      </c>
      <c r="D1761">
        <v>-22.2</v>
      </c>
      <c r="E1761">
        <v>1.8</v>
      </c>
    </row>
    <row r="1762" spans="1:5" x14ac:dyDescent="0.2">
      <c r="A1762">
        <v>1755</v>
      </c>
      <c r="B1762">
        <v>1885</v>
      </c>
      <c r="C1762">
        <v>15</v>
      </c>
      <c r="D1762">
        <v>-22.1</v>
      </c>
      <c r="E1762">
        <v>1.8</v>
      </c>
    </row>
    <row r="1763" spans="1:5" x14ac:dyDescent="0.2">
      <c r="A1763">
        <v>1756</v>
      </c>
      <c r="B1763">
        <v>1885</v>
      </c>
      <c r="C1763">
        <v>14</v>
      </c>
      <c r="D1763">
        <v>-21.9</v>
      </c>
      <c r="E1763">
        <v>1.8</v>
      </c>
    </row>
    <row r="1764" spans="1:5" x14ac:dyDescent="0.2">
      <c r="A1764">
        <v>1757</v>
      </c>
      <c r="B1764">
        <v>1884</v>
      </c>
      <c r="C1764">
        <v>14</v>
      </c>
      <c r="D1764">
        <v>-21.8</v>
      </c>
      <c r="E1764">
        <v>1.8</v>
      </c>
    </row>
    <row r="1765" spans="1:5" x14ac:dyDescent="0.2">
      <c r="A1765">
        <v>1758</v>
      </c>
      <c r="B1765">
        <v>1883</v>
      </c>
      <c r="C1765">
        <v>15</v>
      </c>
      <c r="D1765">
        <v>-21.6</v>
      </c>
      <c r="E1765">
        <v>1.8</v>
      </c>
    </row>
    <row r="1766" spans="1:5" x14ac:dyDescent="0.2">
      <c r="A1766">
        <v>1759</v>
      </c>
      <c r="B1766">
        <v>1882</v>
      </c>
      <c r="C1766">
        <v>15</v>
      </c>
      <c r="D1766">
        <v>-21.3</v>
      </c>
      <c r="E1766">
        <v>1.8</v>
      </c>
    </row>
    <row r="1767" spans="1:5" x14ac:dyDescent="0.2">
      <c r="A1767">
        <v>1760</v>
      </c>
      <c r="B1767">
        <v>1882</v>
      </c>
      <c r="C1767">
        <v>14</v>
      </c>
      <c r="D1767">
        <v>-21.1</v>
      </c>
      <c r="E1767">
        <v>1.8</v>
      </c>
    </row>
    <row r="1768" spans="1:5" x14ac:dyDescent="0.2">
      <c r="A1768">
        <v>1761</v>
      </c>
      <c r="B1768">
        <v>1881</v>
      </c>
      <c r="C1768">
        <v>14</v>
      </c>
      <c r="D1768">
        <v>-20.9</v>
      </c>
      <c r="E1768">
        <v>1.7</v>
      </c>
    </row>
    <row r="1769" spans="1:5" x14ac:dyDescent="0.2">
      <c r="A1769">
        <v>1762</v>
      </c>
      <c r="B1769">
        <v>1880</v>
      </c>
      <c r="C1769">
        <v>14</v>
      </c>
      <c r="D1769">
        <v>-20.6</v>
      </c>
      <c r="E1769">
        <v>1.7</v>
      </c>
    </row>
    <row r="1770" spans="1:5" x14ac:dyDescent="0.2">
      <c r="A1770">
        <v>1763</v>
      </c>
      <c r="B1770">
        <v>1879</v>
      </c>
      <c r="C1770">
        <v>14</v>
      </c>
      <c r="D1770">
        <v>-20.399999999999999</v>
      </c>
      <c r="E1770">
        <v>1.7</v>
      </c>
    </row>
    <row r="1771" spans="1:5" x14ac:dyDescent="0.2">
      <c r="A1771">
        <v>1764</v>
      </c>
      <c r="B1771">
        <v>1878</v>
      </c>
      <c r="C1771">
        <v>14</v>
      </c>
      <c r="D1771">
        <v>-20.2</v>
      </c>
      <c r="E1771">
        <v>1.7</v>
      </c>
    </row>
    <row r="1772" spans="1:5" x14ac:dyDescent="0.2">
      <c r="A1772">
        <v>1765</v>
      </c>
      <c r="B1772">
        <v>1877</v>
      </c>
      <c r="C1772">
        <v>14</v>
      </c>
      <c r="D1772">
        <v>-20</v>
      </c>
      <c r="E1772">
        <v>1.7</v>
      </c>
    </row>
    <row r="1773" spans="1:5" x14ac:dyDescent="0.2">
      <c r="A1773">
        <v>1766</v>
      </c>
      <c r="B1773">
        <v>1877</v>
      </c>
      <c r="C1773">
        <v>14</v>
      </c>
      <c r="D1773">
        <v>-19.8</v>
      </c>
      <c r="E1773">
        <v>1.7</v>
      </c>
    </row>
    <row r="1774" spans="1:5" x14ac:dyDescent="0.2">
      <c r="A1774">
        <v>1767</v>
      </c>
      <c r="B1774">
        <v>1876</v>
      </c>
      <c r="C1774">
        <v>14</v>
      </c>
      <c r="D1774">
        <v>-19.600000000000001</v>
      </c>
      <c r="E1774">
        <v>1.7</v>
      </c>
    </row>
    <row r="1775" spans="1:5" x14ac:dyDescent="0.2">
      <c r="A1775">
        <v>1768</v>
      </c>
      <c r="B1775">
        <v>1876</v>
      </c>
      <c r="C1775">
        <v>14</v>
      </c>
      <c r="D1775">
        <v>-19.5</v>
      </c>
      <c r="E1775">
        <v>1.7</v>
      </c>
    </row>
    <row r="1776" spans="1:5" x14ac:dyDescent="0.2">
      <c r="A1776">
        <v>1769</v>
      </c>
      <c r="B1776">
        <v>1876</v>
      </c>
      <c r="C1776">
        <v>14</v>
      </c>
      <c r="D1776">
        <v>-19.3</v>
      </c>
      <c r="E1776">
        <v>1.7</v>
      </c>
    </row>
    <row r="1777" spans="1:5" x14ac:dyDescent="0.2">
      <c r="A1777">
        <v>1770</v>
      </c>
      <c r="B1777">
        <v>1876</v>
      </c>
      <c r="C1777">
        <v>14</v>
      </c>
      <c r="D1777">
        <v>-19.2</v>
      </c>
      <c r="E1777">
        <v>1.7</v>
      </c>
    </row>
    <row r="1778" spans="1:5" x14ac:dyDescent="0.2">
      <c r="A1778">
        <v>1771</v>
      </c>
      <c r="B1778">
        <v>1876</v>
      </c>
      <c r="C1778">
        <v>14</v>
      </c>
      <c r="D1778">
        <v>-19.100000000000001</v>
      </c>
      <c r="E1778">
        <v>1.7</v>
      </c>
    </row>
    <row r="1779" spans="1:5" x14ac:dyDescent="0.2">
      <c r="A1779">
        <v>1772</v>
      </c>
      <c r="B1779">
        <v>1876</v>
      </c>
      <c r="C1779">
        <v>14</v>
      </c>
      <c r="D1779">
        <v>-19</v>
      </c>
      <c r="E1779">
        <v>1.7</v>
      </c>
    </row>
    <row r="1780" spans="1:5" x14ac:dyDescent="0.2">
      <c r="A1780">
        <v>1773</v>
      </c>
      <c r="B1780">
        <v>1876</v>
      </c>
      <c r="C1780">
        <v>14</v>
      </c>
      <c r="D1780">
        <v>-18.899999999999999</v>
      </c>
      <c r="E1780">
        <v>1.7</v>
      </c>
    </row>
    <row r="1781" spans="1:5" x14ac:dyDescent="0.2">
      <c r="A1781">
        <v>1774</v>
      </c>
      <c r="B1781">
        <v>1876</v>
      </c>
      <c r="C1781">
        <v>14</v>
      </c>
      <c r="D1781">
        <v>-18.7</v>
      </c>
      <c r="E1781">
        <v>1.7</v>
      </c>
    </row>
    <row r="1782" spans="1:5" x14ac:dyDescent="0.2">
      <c r="A1782">
        <v>1775</v>
      </c>
      <c r="B1782">
        <v>1876</v>
      </c>
      <c r="C1782">
        <v>14</v>
      </c>
      <c r="D1782">
        <v>-18.600000000000001</v>
      </c>
      <c r="E1782">
        <v>1.7</v>
      </c>
    </row>
    <row r="1783" spans="1:5" x14ac:dyDescent="0.2">
      <c r="A1783">
        <v>1776</v>
      </c>
      <c r="B1783">
        <v>1876</v>
      </c>
      <c r="C1783">
        <v>14</v>
      </c>
      <c r="D1783">
        <v>-18.5</v>
      </c>
      <c r="E1783">
        <v>1.7</v>
      </c>
    </row>
    <row r="1784" spans="1:5" x14ac:dyDescent="0.2">
      <c r="A1784">
        <v>1777</v>
      </c>
      <c r="B1784">
        <v>1876</v>
      </c>
      <c r="C1784">
        <v>14</v>
      </c>
      <c r="D1784">
        <v>-18.399999999999999</v>
      </c>
      <c r="E1784">
        <v>1.7</v>
      </c>
    </row>
    <row r="1785" spans="1:5" x14ac:dyDescent="0.2">
      <c r="A1785">
        <v>1778</v>
      </c>
      <c r="B1785">
        <v>1876</v>
      </c>
      <c r="C1785">
        <v>14</v>
      </c>
      <c r="D1785">
        <v>-18.3</v>
      </c>
      <c r="E1785">
        <v>1.7</v>
      </c>
    </row>
    <row r="1786" spans="1:5" x14ac:dyDescent="0.2">
      <c r="A1786">
        <v>1779</v>
      </c>
      <c r="B1786">
        <v>1876</v>
      </c>
      <c r="C1786">
        <v>14</v>
      </c>
      <c r="D1786">
        <v>-18.2</v>
      </c>
      <c r="E1786">
        <v>1.7</v>
      </c>
    </row>
    <row r="1787" spans="1:5" x14ac:dyDescent="0.2">
      <c r="A1787">
        <v>1780</v>
      </c>
      <c r="B1787">
        <v>1877</v>
      </c>
      <c r="C1787">
        <v>14</v>
      </c>
      <c r="D1787">
        <v>-18.100000000000001</v>
      </c>
      <c r="E1787">
        <v>1.7</v>
      </c>
    </row>
    <row r="1788" spans="1:5" x14ac:dyDescent="0.2">
      <c r="A1788">
        <v>1781</v>
      </c>
      <c r="B1788">
        <v>1877</v>
      </c>
      <c r="C1788">
        <v>14</v>
      </c>
      <c r="D1788">
        <v>-18.100000000000001</v>
      </c>
      <c r="E1788">
        <v>1.7</v>
      </c>
    </row>
    <row r="1789" spans="1:5" x14ac:dyDescent="0.2">
      <c r="A1789">
        <v>1782</v>
      </c>
      <c r="B1789">
        <v>1878</v>
      </c>
      <c r="C1789">
        <v>14</v>
      </c>
      <c r="D1789">
        <v>-18</v>
      </c>
      <c r="E1789">
        <v>1.7</v>
      </c>
    </row>
    <row r="1790" spans="1:5" x14ac:dyDescent="0.2">
      <c r="A1790">
        <v>1783</v>
      </c>
      <c r="B1790">
        <v>1878</v>
      </c>
      <c r="C1790">
        <v>14</v>
      </c>
      <c r="D1790">
        <v>-18</v>
      </c>
      <c r="E1790">
        <v>1.7</v>
      </c>
    </row>
    <row r="1791" spans="1:5" x14ac:dyDescent="0.2">
      <c r="A1791">
        <v>1784</v>
      </c>
      <c r="B1791">
        <v>1879</v>
      </c>
      <c r="C1791">
        <v>14</v>
      </c>
      <c r="D1791">
        <v>-18</v>
      </c>
      <c r="E1791">
        <v>1.7</v>
      </c>
    </row>
    <row r="1792" spans="1:5" x14ac:dyDescent="0.2">
      <c r="A1792">
        <v>1785</v>
      </c>
      <c r="B1792">
        <v>1880</v>
      </c>
      <c r="C1792">
        <v>14</v>
      </c>
      <c r="D1792">
        <v>-17.899999999999999</v>
      </c>
      <c r="E1792">
        <v>1.8</v>
      </c>
    </row>
    <row r="1793" spans="1:5" x14ac:dyDescent="0.2">
      <c r="A1793">
        <v>1786</v>
      </c>
      <c r="B1793">
        <v>1880</v>
      </c>
      <c r="C1793">
        <v>14</v>
      </c>
      <c r="D1793">
        <v>-17.8</v>
      </c>
      <c r="E1793">
        <v>1.8</v>
      </c>
    </row>
    <row r="1794" spans="1:5" x14ac:dyDescent="0.2">
      <c r="A1794">
        <v>1787</v>
      </c>
      <c r="B1794">
        <v>1880</v>
      </c>
      <c r="C1794">
        <v>14</v>
      </c>
      <c r="D1794">
        <v>-17.8</v>
      </c>
      <c r="E1794">
        <v>1.7</v>
      </c>
    </row>
    <row r="1795" spans="1:5" x14ac:dyDescent="0.2">
      <c r="A1795">
        <v>1788</v>
      </c>
      <c r="B1795">
        <v>1881</v>
      </c>
      <c r="C1795">
        <v>14</v>
      </c>
      <c r="D1795">
        <v>-17.7</v>
      </c>
      <c r="E1795">
        <v>1.7</v>
      </c>
    </row>
    <row r="1796" spans="1:5" x14ac:dyDescent="0.2">
      <c r="A1796">
        <v>1789</v>
      </c>
      <c r="B1796">
        <v>1881</v>
      </c>
      <c r="C1796">
        <v>14</v>
      </c>
      <c r="D1796">
        <v>-17.600000000000001</v>
      </c>
      <c r="E1796">
        <v>1.7</v>
      </c>
    </row>
    <row r="1797" spans="1:5" x14ac:dyDescent="0.2">
      <c r="A1797">
        <v>1790</v>
      </c>
      <c r="B1797">
        <v>1881</v>
      </c>
      <c r="C1797">
        <v>14</v>
      </c>
      <c r="D1797">
        <v>-17.5</v>
      </c>
      <c r="E1797">
        <v>1.8</v>
      </c>
    </row>
    <row r="1798" spans="1:5" x14ac:dyDescent="0.2">
      <c r="A1798">
        <v>1791</v>
      </c>
      <c r="B1798">
        <v>1881</v>
      </c>
      <c r="C1798">
        <v>14</v>
      </c>
      <c r="D1798">
        <v>-17.399999999999999</v>
      </c>
      <c r="E1798">
        <v>1.8</v>
      </c>
    </row>
    <row r="1799" spans="1:5" x14ac:dyDescent="0.2">
      <c r="A1799">
        <v>1792</v>
      </c>
      <c r="B1799">
        <v>1882</v>
      </c>
      <c r="C1799">
        <v>14</v>
      </c>
      <c r="D1799">
        <v>-17.399999999999999</v>
      </c>
      <c r="E1799">
        <v>1.7</v>
      </c>
    </row>
    <row r="1800" spans="1:5" x14ac:dyDescent="0.2">
      <c r="A1800">
        <v>1793</v>
      </c>
      <c r="B1800">
        <v>1883</v>
      </c>
      <c r="C1800">
        <v>14</v>
      </c>
      <c r="D1800">
        <v>-17.3</v>
      </c>
      <c r="E1800">
        <v>1.7</v>
      </c>
    </row>
    <row r="1801" spans="1:5" x14ac:dyDescent="0.2">
      <c r="A1801">
        <v>1794</v>
      </c>
      <c r="B1801">
        <v>1884</v>
      </c>
      <c r="C1801">
        <v>14</v>
      </c>
      <c r="D1801">
        <v>-17.3</v>
      </c>
      <c r="E1801">
        <v>1.7</v>
      </c>
    </row>
    <row r="1802" spans="1:5" x14ac:dyDescent="0.2">
      <c r="A1802">
        <v>1795</v>
      </c>
      <c r="B1802">
        <v>1884</v>
      </c>
      <c r="C1802">
        <v>14</v>
      </c>
      <c r="D1802">
        <v>-17.3</v>
      </c>
      <c r="E1802">
        <v>1.7</v>
      </c>
    </row>
    <row r="1803" spans="1:5" x14ac:dyDescent="0.2">
      <c r="A1803">
        <v>1796</v>
      </c>
      <c r="B1803">
        <v>1885</v>
      </c>
      <c r="C1803">
        <v>14</v>
      </c>
      <c r="D1803">
        <v>-17.3</v>
      </c>
      <c r="E1803">
        <v>1.7</v>
      </c>
    </row>
    <row r="1804" spans="1:5" x14ac:dyDescent="0.2">
      <c r="A1804">
        <v>1797</v>
      </c>
      <c r="B1804">
        <v>1886</v>
      </c>
      <c r="C1804">
        <v>14</v>
      </c>
      <c r="D1804">
        <v>-17.3</v>
      </c>
      <c r="E1804">
        <v>1.7</v>
      </c>
    </row>
    <row r="1805" spans="1:5" x14ac:dyDescent="0.2">
      <c r="A1805">
        <v>1798</v>
      </c>
      <c r="B1805">
        <v>1887</v>
      </c>
      <c r="C1805">
        <v>14</v>
      </c>
      <c r="D1805">
        <v>-17.2</v>
      </c>
      <c r="E1805">
        <v>1.7</v>
      </c>
    </row>
    <row r="1806" spans="1:5" x14ac:dyDescent="0.2">
      <c r="A1806">
        <v>1799</v>
      </c>
      <c r="B1806">
        <v>1887</v>
      </c>
      <c r="C1806">
        <v>14</v>
      </c>
      <c r="D1806">
        <v>-17.100000000000001</v>
      </c>
      <c r="E1806">
        <v>1.7</v>
      </c>
    </row>
    <row r="1807" spans="1:5" x14ac:dyDescent="0.2">
      <c r="A1807">
        <v>1800</v>
      </c>
      <c r="B1807">
        <v>1887</v>
      </c>
      <c r="C1807">
        <v>14</v>
      </c>
      <c r="D1807">
        <v>-17.100000000000001</v>
      </c>
      <c r="E1807">
        <v>1.7</v>
      </c>
    </row>
    <row r="1808" spans="1:5" x14ac:dyDescent="0.2">
      <c r="A1808">
        <v>1801</v>
      </c>
      <c r="B1808">
        <v>1887</v>
      </c>
      <c r="C1808">
        <v>14</v>
      </c>
      <c r="D1808">
        <v>-16.899999999999999</v>
      </c>
      <c r="E1808">
        <v>1.7</v>
      </c>
    </row>
    <row r="1809" spans="1:5" x14ac:dyDescent="0.2">
      <c r="A1809">
        <v>1802</v>
      </c>
      <c r="B1809">
        <v>1887</v>
      </c>
      <c r="C1809">
        <v>14</v>
      </c>
      <c r="D1809">
        <v>-16.8</v>
      </c>
      <c r="E1809">
        <v>1.7</v>
      </c>
    </row>
    <row r="1810" spans="1:5" x14ac:dyDescent="0.2">
      <c r="A1810">
        <v>1803</v>
      </c>
      <c r="B1810">
        <v>1887</v>
      </c>
      <c r="C1810">
        <v>14</v>
      </c>
      <c r="D1810">
        <v>-16.7</v>
      </c>
      <c r="E1810">
        <v>1.7</v>
      </c>
    </row>
    <row r="1811" spans="1:5" x14ac:dyDescent="0.2">
      <c r="A1811">
        <v>1804</v>
      </c>
      <c r="B1811">
        <v>1886</v>
      </c>
      <c r="C1811">
        <v>14</v>
      </c>
      <c r="D1811">
        <v>-16.5</v>
      </c>
      <c r="E1811">
        <v>1.7</v>
      </c>
    </row>
    <row r="1812" spans="1:5" x14ac:dyDescent="0.2">
      <c r="A1812">
        <v>1805</v>
      </c>
      <c r="B1812">
        <v>1886</v>
      </c>
      <c r="C1812">
        <v>14</v>
      </c>
      <c r="D1812">
        <v>-16.3</v>
      </c>
      <c r="E1812">
        <v>1.7</v>
      </c>
    </row>
    <row r="1813" spans="1:5" x14ac:dyDescent="0.2">
      <c r="A1813">
        <v>1806</v>
      </c>
      <c r="B1813">
        <v>1885</v>
      </c>
      <c r="C1813">
        <v>14</v>
      </c>
      <c r="D1813">
        <v>-16.100000000000001</v>
      </c>
      <c r="E1813">
        <v>1.7</v>
      </c>
    </row>
    <row r="1814" spans="1:5" x14ac:dyDescent="0.2">
      <c r="A1814">
        <v>1807</v>
      </c>
      <c r="B1814">
        <v>1884</v>
      </c>
      <c r="C1814">
        <v>14</v>
      </c>
      <c r="D1814">
        <v>-15.9</v>
      </c>
      <c r="E1814">
        <v>1.7</v>
      </c>
    </row>
    <row r="1815" spans="1:5" x14ac:dyDescent="0.2">
      <c r="A1815">
        <v>1808</v>
      </c>
      <c r="B1815">
        <v>1883</v>
      </c>
      <c r="C1815">
        <v>14</v>
      </c>
      <c r="D1815">
        <v>-15.6</v>
      </c>
      <c r="E1815">
        <v>1.7</v>
      </c>
    </row>
    <row r="1816" spans="1:5" x14ac:dyDescent="0.2">
      <c r="A1816">
        <v>1809</v>
      </c>
      <c r="B1816">
        <v>1882</v>
      </c>
      <c r="C1816">
        <v>14</v>
      </c>
      <c r="D1816">
        <v>-15.4</v>
      </c>
      <c r="E1816">
        <v>1.7</v>
      </c>
    </row>
    <row r="1817" spans="1:5" x14ac:dyDescent="0.2">
      <c r="A1817">
        <v>1810</v>
      </c>
      <c r="B1817">
        <v>1882</v>
      </c>
      <c r="C1817">
        <v>14</v>
      </c>
      <c r="D1817">
        <v>-15.2</v>
      </c>
      <c r="E1817">
        <v>1.7</v>
      </c>
    </row>
    <row r="1818" spans="1:5" x14ac:dyDescent="0.2">
      <c r="A1818">
        <v>1811</v>
      </c>
      <c r="B1818">
        <v>1881</v>
      </c>
      <c r="C1818">
        <v>14</v>
      </c>
      <c r="D1818">
        <v>-14.9</v>
      </c>
      <c r="E1818">
        <v>1.7</v>
      </c>
    </row>
    <row r="1819" spans="1:5" x14ac:dyDescent="0.2">
      <c r="A1819">
        <v>1812</v>
      </c>
      <c r="B1819">
        <v>1880</v>
      </c>
      <c r="C1819">
        <v>14</v>
      </c>
      <c r="D1819">
        <v>-14.7</v>
      </c>
      <c r="E1819">
        <v>1.7</v>
      </c>
    </row>
    <row r="1820" spans="1:5" x14ac:dyDescent="0.2">
      <c r="A1820">
        <v>1813</v>
      </c>
      <c r="B1820">
        <v>1879</v>
      </c>
      <c r="C1820">
        <v>13</v>
      </c>
      <c r="D1820">
        <v>-14.5</v>
      </c>
      <c r="E1820">
        <v>1.6</v>
      </c>
    </row>
    <row r="1821" spans="1:5" x14ac:dyDescent="0.2">
      <c r="A1821">
        <v>1814</v>
      </c>
      <c r="B1821">
        <v>1878</v>
      </c>
      <c r="C1821">
        <v>13</v>
      </c>
      <c r="D1821">
        <v>-14.3</v>
      </c>
      <c r="E1821">
        <v>1.6</v>
      </c>
    </row>
    <row r="1822" spans="1:5" x14ac:dyDescent="0.2">
      <c r="A1822">
        <v>1815</v>
      </c>
      <c r="B1822">
        <v>1878</v>
      </c>
      <c r="C1822">
        <v>13</v>
      </c>
      <c r="D1822">
        <v>-14.2</v>
      </c>
      <c r="E1822">
        <v>1.6</v>
      </c>
    </row>
    <row r="1823" spans="1:5" x14ac:dyDescent="0.2">
      <c r="A1823">
        <v>1816</v>
      </c>
      <c r="B1823">
        <v>1878</v>
      </c>
      <c r="C1823">
        <v>13</v>
      </c>
      <c r="D1823">
        <v>-14.1</v>
      </c>
      <c r="E1823">
        <v>1.7</v>
      </c>
    </row>
    <row r="1824" spans="1:5" x14ac:dyDescent="0.2">
      <c r="A1824">
        <v>1817</v>
      </c>
      <c r="B1824">
        <v>1879</v>
      </c>
      <c r="C1824">
        <v>13</v>
      </c>
      <c r="D1824">
        <v>-14</v>
      </c>
      <c r="E1824">
        <v>1.6</v>
      </c>
    </row>
    <row r="1825" spans="1:5" x14ac:dyDescent="0.2">
      <c r="A1825">
        <v>1818</v>
      </c>
      <c r="B1825">
        <v>1880</v>
      </c>
      <c r="C1825">
        <v>13</v>
      </c>
      <c r="D1825">
        <v>-14</v>
      </c>
      <c r="E1825">
        <v>1.6</v>
      </c>
    </row>
    <row r="1826" spans="1:5" x14ac:dyDescent="0.2">
      <c r="A1826">
        <v>1819</v>
      </c>
      <c r="B1826">
        <v>1882</v>
      </c>
      <c r="C1826">
        <v>13</v>
      </c>
      <c r="D1826">
        <v>-14.1</v>
      </c>
      <c r="E1826">
        <v>1.6</v>
      </c>
    </row>
    <row r="1827" spans="1:5" x14ac:dyDescent="0.2">
      <c r="A1827">
        <v>1820</v>
      </c>
      <c r="B1827">
        <v>1884</v>
      </c>
      <c r="C1827">
        <v>13</v>
      </c>
      <c r="D1827">
        <v>-14.2</v>
      </c>
      <c r="E1827">
        <v>1.6</v>
      </c>
    </row>
    <row r="1828" spans="1:5" x14ac:dyDescent="0.2">
      <c r="A1828">
        <v>1821</v>
      </c>
      <c r="B1828">
        <v>1886</v>
      </c>
      <c r="C1828">
        <v>13</v>
      </c>
      <c r="D1828">
        <v>-14.4</v>
      </c>
      <c r="E1828">
        <v>1.6</v>
      </c>
    </row>
    <row r="1829" spans="1:5" x14ac:dyDescent="0.2">
      <c r="A1829">
        <v>1822</v>
      </c>
      <c r="B1829">
        <v>1889</v>
      </c>
      <c r="C1829">
        <v>13</v>
      </c>
      <c r="D1829">
        <v>-14.7</v>
      </c>
      <c r="E1829">
        <v>1.6</v>
      </c>
    </row>
    <row r="1830" spans="1:5" x14ac:dyDescent="0.2">
      <c r="A1830">
        <v>1823</v>
      </c>
      <c r="B1830">
        <v>1893</v>
      </c>
      <c r="C1830">
        <v>13</v>
      </c>
      <c r="D1830">
        <v>-15</v>
      </c>
      <c r="E1830">
        <v>1.6</v>
      </c>
    </row>
    <row r="1831" spans="1:5" x14ac:dyDescent="0.2">
      <c r="A1831">
        <v>1824</v>
      </c>
      <c r="B1831">
        <v>1897</v>
      </c>
      <c r="C1831">
        <v>13</v>
      </c>
      <c r="D1831">
        <v>-15.4</v>
      </c>
      <c r="E1831">
        <v>1.6</v>
      </c>
    </row>
    <row r="1832" spans="1:5" x14ac:dyDescent="0.2">
      <c r="A1832">
        <v>1825</v>
      </c>
      <c r="B1832">
        <v>1902</v>
      </c>
      <c r="C1832">
        <v>13</v>
      </c>
      <c r="D1832">
        <v>-15.8</v>
      </c>
      <c r="E1832">
        <v>1.6</v>
      </c>
    </row>
    <row r="1833" spans="1:5" x14ac:dyDescent="0.2">
      <c r="A1833">
        <v>1826</v>
      </c>
      <c r="B1833">
        <v>1906</v>
      </c>
      <c r="C1833">
        <v>13</v>
      </c>
      <c r="D1833">
        <v>-16.3</v>
      </c>
      <c r="E1833">
        <v>1.6</v>
      </c>
    </row>
    <row r="1834" spans="1:5" x14ac:dyDescent="0.2">
      <c r="A1834">
        <v>1827</v>
      </c>
      <c r="B1834">
        <v>1911</v>
      </c>
      <c r="C1834">
        <v>13</v>
      </c>
      <c r="D1834">
        <v>-16.7</v>
      </c>
      <c r="E1834">
        <v>1.7</v>
      </c>
    </row>
    <row r="1835" spans="1:5" x14ac:dyDescent="0.2">
      <c r="A1835">
        <v>1828</v>
      </c>
      <c r="B1835">
        <v>1915</v>
      </c>
      <c r="C1835">
        <v>14</v>
      </c>
      <c r="D1835">
        <v>-17.2</v>
      </c>
      <c r="E1835">
        <v>1.7</v>
      </c>
    </row>
    <row r="1836" spans="1:5" x14ac:dyDescent="0.2">
      <c r="A1836">
        <v>1829</v>
      </c>
      <c r="B1836">
        <v>1920</v>
      </c>
      <c r="C1836">
        <v>14</v>
      </c>
      <c r="D1836">
        <v>-17.600000000000001</v>
      </c>
      <c r="E1836">
        <v>1.7</v>
      </c>
    </row>
    <row r="1837" spans="1:5" x14ac:dyDescent="0.2">
      <c r="A1837">
        <v>1830</v>
      </c>
      <c r="B1837">
        <v>1923</v>
      </c>
      <c r="C1837">
        <v>14</v>
      </c>
      <c r="D1837">
        <v>-17.899999999999999</v>
      </c>
      <c r="E1837">
        <v>1.7</v>
      </c>
    </row>
    <row r="1838" spans="1:5" x14ac:dyDescent="0.2">
      <c r="A1838">
        <v>1831</v>
      </c>
      <c r="B1838">
        <v>1926</v>
      </c>
      <c r="C1838">
        <v>14</v>
      </c>
      <c r="D1838">
        <v>-18.2</v>
      </c>
      <c r="E1838">
        <v>1.7</v>
      </c>
    </row>
    <row r="1839" spans="1:5" x14ac:dyDescent="0.2">
      <c r="A1839">
        <v>1832</v>
      </c>
      <c r="B1839">
        <v>1929</v>
      </c>
      <c r="C1839">
        <v>14</v>
      </c>
      <c r="D1839">
        <v>-18.399999999999999</v>
      </c>
      <c r="E1839">
        <v>1.7</v>
      </c>
    </row>
    <row r="1840" spans="1:5" x14ac:dyDescent="0.2">
      <c r="A1840">
        <v>1833</v>
      </c>
      <c r="B1840">
        <v>1931</v>
      </c>
      <c r="C1840">
        <v>14</v>
      </c>
      <c r="D1840">
        <v>-18.5</v>
      </c>
      <c r="E1840">
        <v>1.7</v>
      </c>
    </row>
    <row r="1841" spans="1:5" x14ac:dyDescent="0.2">
      <c r="A1841">
        <v>1834</v>
      </c>
      <c r="B1841">
        <v>1933</v>
      </c>
      <c r="C1841">
        <v>14</v>
      </c>
      <c r="D1841">
        <v>-18.600000000000001</v>
      </c>
      <c r="E1841">
        <v>1.7</v>
      </c>
    </row>
    <row r="1842" spans="1:5" x14ac:dyDescent="0.2">
      <c r="A1842">
        <v>1835</v>
      </c>
      <c r="B1842">
        <v>1935</v>
      </c>
      <c r="C1842">
        <v>15</v>
      </c>
      <c r="D1842">
        <v>-18.7</v>
      </c>
      <c r="E1842">
        <v>1.8</v>
      </c>
    </row>
    <row r="1843" spans="1:5" x14ac:dyDescent="0.2">
      <c r="A1843">
        <v>1836</v>
      </c>
      <c r="B1843">
        <v>1936</v>
      </c>
      <c r="C1843">
        <v>14</v>
      </c>
      <c r="D1843">
        <v>-18.8</v>
      </c>
      <c r="E1843">
        <v>1.8</v>
      </c>
    </row>
    <row r="1844" spans="1:5" x14ac:dyDescent="0.2">
      <c r="A1844">
        <v>1837</v>
      </c>
      <c r="B1844">
        <v>1938</v>
      </c>
      <c r="C1844">
        <v>14</v>
      </c>
      <c r="D1844">
        <v>-18.8</v>
      </c>
      <c r="E1844">
        <v>1.7</v>
      </c>
    </row>
    <row r="1845" spans="1:5" x14ac:dyDescent="0.2">
      <c r="A1845">
        <v>1838</v>
      </c>
      <c r="B1845">
        <v>1939</v>
      </c>
      <c r="C1845">
        <v>14</v>
      </c>
      <c r="D1845">
        <v>-18.899999999999999</v>
      </c>
      <c r="E1845">
        <v>1.7</v>
      </c>
    </row>
    <row r="1846" spans="1:5" x14ac:dyDescent="0.2">
      <c r="A1846">
        <v>1839</v>
      </c>
      <c r="B1846">
        <v>1940</v>
      </c>
      <c r="C1846">
        <v>14</v>
      </c>
      <c r="D1846">
        <v>-18.899999999999999</v>
      </c>
      <c r="E1846">
        <v>1.7</v>
      </c>
    </row>
    <row r="1847" spans="1:5" x14ac:dyDescent="0.2">
      <c r="A1847">
        <v>1840</v>
      </c>
      <c r="B1847">
        <v>1942</v>
      </c>
      <c r="C1847">
        <v>14</v>
      </c>
      <c r="D1847">
        <v>-18.899999999999999</v>
      </c>
      <c r="E1847">
        <v>1.8</v>
      </c>
    </row>
    <row r="1848" spans="1:5" x14ac:dyDescent="0.2">
      <c r="A1848">
        <v>1841</v>
      </c>
      <c r="B1848">
        <v>1943</v>
      </c>
      <c r="C1848">
        <v>15</v>
      </c>
      <c r="D1848">
        <v>-19</v>
      </c>
      <c r="E1848">
        <v>1.8</v>
      </c>
    </row>
    <row r="1849" spans="1:5" x14ac:dyDescent="0.2">
      <c r="A1849">
        <v>1842</v>
      </c>
      <c r="B1849">
        <v>1945</v>
      </c>
      <c r="C1849">
        <v>14</v>
      </c>
      <c r="D1849">
        <v>-19.100000000000001</v>
      </c>
      <c r="E1849">
        <v>1.8</v>
      </c>
    </row>
    <row r="1850" spans="1:5" x14ac:dyDescent="0.2">
      <c r="A1850">
        <v>1843</v>
      </c>
      <c r="B1850">
        <v>1947</v>
      </c>
      <c r="C1850">
        <v>14</v>
      </c>
      <c r="D1850">
        <v>-19.2</v>
      </c>
      <c r="E1850">
        <v>1.7</v>
      </c>
    </row>
    <row r="1851" spans="1:5" x14ac:dyDescent="0.2">
      <c r="A1851">
        <v>1844</v>
      </c>
      <c r="B1851">
        <v>1948</v>
      </c>
      <c r="C1851">
        <v>14</v>
      </c>
      <c r="D1851">
        <v>-19.3</v>
      </c>
      <c r="E1851">
        <v>1.7</v>
      </c>
    </row>
    <row r="1852" spans="1:5" x14ac:dyDescent="0.2">
      <c r="A1852">
        <v>1845</v>
      </c>
      <c r="B1852">
        <v>1950</v>
      </c>
      <c r="C1852">
        <v>14</v>
      </c>
      <c r="D1852">
        <v>-19.3</v>
      </c>
      <c r="E1852">
        <v>1.7</v>
      </c>
    </row>
    <row r="1853" spans="1:5" x14ac:dyDescent="0.2">
      <c r="A1853">
        <v>1846</v>
      </c>
      <c r="B1853">
        <v>1950</v>
      </c>
      <c r="C1853">
        <v>14</v>
      </c>
      <c r="D1853">
        <v>-19.3</v>
      </c>
      <c r="E1853">
        <v>1.7</v>
      </c>
    </row>
    <row r="1854" spans="1:5" x14ac:dyDescent="0.2">
      <c r="A1854">
        <v>1847</v>
      </c>
      <c r="B1854">
        <v>1951</v>
      </c>
      <c r="C1854">
        <v>14</v>
      </c>
      <c r="D1854">
        <v>-19.2</v>
      </c>
      <c r="E1854">
        <v>1.7</v>
      </c>
    </row>
    <row r="1855" spans="1:5" x14ac:dyDescent="0.2">
      <c r="A1855">
        <v>1848</v>
      </c>
      <c r="B1855">
        <v>1950</v>
      </c>
      <c r="C1855">
        <v>14</v>
      </c>
      <c r="D1855">
        <v>-19</v>
      </c>
      <c r="E1855">
        <v>1.7</v>
      </c>
    </row>
    <row r="1856" spans="1:5" x14ac:dyDescent="0.2">
      <c r="A1856">
        <v>1849</v>
      </c>
      <c r="B1856">
        <v>1949</v>
      </c>
      <c r="C1856">
        <v>14</v>
      </c>
      <c r="D1856">
        <v>-18.8</v>
      </c>
      <c r="E1856">
        <v>1.7</v>
      </c>
    </row>
    <row r="1857" spans="1:5" x14ac:dyDescent="0.2">
      <c r="A1857">
        <v>1850</v>
      </c>
      <c r="B1857">
        <v>1947</v>
      </c>
      <c r="C1857">
        <v>14</v>
      </c>
      <c r="D1857">
        <v>-18.399999999999999</v>
      </c>
      <c r="E1857">
        <v>1.7</v>
      </c>
    </row>
    <row r="1858" spans="1:5" x14ac:dyDescent="0.2">
      <c r="A1858">
        <v>1851</v>
      </c>
      <c r="B1858">
        <v>1945</v>
      </c>
      <c r="C1858">
        <v>14</v>
      </c>
      <c r="D1858">
        <v>-18</v>
      </c>
      <c r="E1858">
        <v>1.7</v>
      </c>
    </row>
    <row r="1859" spans="1:5" x14ac:dyDescent="0.2">
      <c r="A1859">
        <v>1852</v>
      </c>
      <c r="B1859">
        <v>1942</v>
      </c>
      <c r="C1859">
        <v>14</v>
      </c>
      <c r="D1859">
        <v>-17.5</v>
      </c>
      <c r="E1859">
        <v>1.7</v>
      </c>
    </row>
    <row r="1860" spans="1:5" x14ac:dyDescent="0.2">
      <c r="A1860">
        <v>1853</v>
      </c>
      <c r="B1860">
        <v>1939</v>
      </c>
      <c r="C1860">
        <v>14</v>
      </c>
      <c r="D1860">
        <v>-17</v>
      </c>
      <c r="E1860">
        <v>1.7</v>
      </c>
    </row>
    <row r="1861" spans="1:5" x14ac:dyDescent="0.2">
      <c r="A1861">
        <v>1854</v>
      </c>
      <c r="B1861">
        <v>1935</v>
      </c>
      <c r="C1861">
        <v>14</v>
      </c>
      <c r="D1861">
        <v>-16.5</v>
      </c>
      <c r="E1861">
        <v>1.7</v>
      </c>
    </row>
    <row r="1862" spans="1:5" x14ac:dyDescent="0.2">
      <c r="A1862">
        <v>1855</v>
      </c>
      <c r="B1862">
        <v>1932</v>
      </c>
      <c r="C1862">
        <v>14</v>
      </c>
      <c r="D1862">
        <v>-16</v>
      </c>
      <c r="E1862">
        <v>1.7</v>
      </c>
    </row>
    <row r="1863" spans="1:5" x14ac:dyDescent="0.2">
      <c r="A1863">
        <v>1856</v>
      </c>
      <c r="B1863">
        <v>1929</v>
      </c>
      <c r="C1863">
        <v>14</v>
      </c>
      <c r="D1863">
        <v>-15.5</v>
      </c>
      <c r="E1863">
        <v>1.7</v>
      </c>
    </row>
    <row r="1864" spans="1:5" x14ac:dyDescent="0.2">
      <c r="A1864">
        <v>1857</v>
      </c>
      <c r="B1864">
        <v>1926</v>
      </c>
      <c r="C1864">
        <v>14</v>
      </c>
      <c r="D1864">
        <v>-15</v>
      </c>
      <c r="E1864">
        <v>1.7</v>
      </c>
    </row>
    <row r="1865" spans="1:5" x14ac:dyDescent="0.2">
      <c r="A1865">
        <v>1858</v>
      </c>
      <c r="B1865">
        <v>1923</v>
      </c>
      <c r="C1865">
        <v>14</v>
      </c>
      <c r="D1865">
        <v>-14.6</v>
      </c>
      <c r="E1865">
        <v>1.7</v>
      </c>
    </row>
    <row r="1866" spans="1:5" x14ac:dyDescent="0.2">
      <c r="A1866">
        <v>1859</v>
      </c>
      <c r="B1866">
        <v>1921</v>
      </c>
      <c r="C1866">
        <v>14</v>
      </c>
      <c r="D1866">
        <v>-14.2</v>
      </c>
      <c r="E1866">
        <v>1.7</v>
      </c>
    </row>
    <row r="1867" spans="1:5" x14ac:dyDescent="0.2">
      <c r="A1867">
        <v>1860</v>
      </c>
      <c r="B1867">
        <v>1921</v>
      </c>
      <c r="C1867">
        <v>14</v>
      </c>
      <c r="D1867">
        <v>-14</v>
      </c>
      <c r="E1867">
        <v>1.7</v>
      </c>
    </row>
    <row r="1868" spans="1:5" x14ac:dyDescent="0.2">
      <c r="A1868">
        <v>1861</v>
      </c>
      <c r="B1868">
        <v>1921</v>
      </c>
      <c r="C1868">
        <v>14</v>
      </c>
      <c r="D1868">
        <v>-13.9</v>
      </c>
      <c r="E1868">
        <v>1.7</v>
      </c>
    </row>
    <row r="1869" spans="1:5" x14ac:dyDescent="0.2">
      <c r="A1869">
        <v>1862</v>
      </c>
      <c r="B1869">
        <v>1922</v>
      </c>
      <c r="C1869">
        <v>14</v>
      </c>
      <c r="D1869">
        <v>-13.9</v>
      </c>
      <c r="E1869">
        <v>1.7</v>
      </c>
    </row>
    <row r="1870" spans="1:5" x14ac:dyDescent="0.2">
      <c r="A1870">
        <v>1863</v>
      </c>
      <c r="B1870">
        <v>1924</v>
      </c>
      <c r="C1870">
        <v>14</v>
      </c>
      <c r="D1870">
        <v>-14</v>
      </c>
      <c r="E1870">
        <v>1.7</v>
      </c>
    </row>
    <row r="1871" spans="1:5" x14ac:dyDescent="0.2">
      <c r="A1871">
        <v>1864</v>
      </c>
      <c r="B1871">
        <v>1926</v>
      </c>
      <c r="C1871">
        <v>14</v>
      </c>
      <c r="D1871">
        <v>-14.2</v>
      </c>
      <c r="E1871">
        <v>1.7</v>
      </c>
    </row>
    <row r="1872" spans="1:5" x14ac:dyDescent="0.2">
      <c r="A1872">
        <v>1865</v>
      </c>
      <c r="B1872">
        <v>1929</v>
      </c>
      <c r="C1872">
        <v>14</v>
      </c>
      <c r="D1872">
        <v>-14.5</v>
      </c>
      <c r="E1872">
        <v>1.7</v>
      </c>
    </row>
    <row r="1873" spans="1:5" x14ac:dyDescent="0.2">
      <c r="A1873">
        <v>1866</v>
      </c>
      <c r="B1873">
        <v>1933</v>
      </c>
      <c r="C1873">
        <v>14</v>
      </c>
      <c r="D1873">
        <v>-14.8</v>
      </c>
      <c r="E1873">
        <v>1.8</v>
      </c>
    </row>
    <row r="1874" spans="1:5" x14ac:dyDescent="0.2">
      <c r="A1874">
        <v>1867</v>
      </c>
      <c r="B1874">
        <v>1936</v>
      </c>
      <c r="C1874">
        <v>14</v>
      </c>
      <c r="D1874">
        <v>-15</v>
      </c>
      <c r="E1874">
        <v>1.8</v>
      </c>
    </row>
    <row r="1875" spans="1:5" x14ac:dyDescent="0.2">
      <c r="A1875">
        <v>1868</v>
      </c>
      <c r="B1875">
        <v>1939</v>
      </c>
      <c r="C1875">
        <v>14</v>
      </c>
      <c r="D1875">
        <v>-15.3</v>
      </c>
      <c r="E1875">
        <v>1.7</v>
      </c>
    </row>
    <row r="1876" spans="1:5" x14ac:dyDescent="0.2">
      <c r="A1876">
        <v>1869</v>
      </c>
      <c r="B1876">
        <v>1942</v>
      </c>
      <c r="C1876">
        <v>14</v>
      </c>
      <c r="D1876">
        <v>-15.6</v>
      </c>
      <c r="E1876">
        <v>1.7</v>
      </c>
    </row>
    <row r="1877" spans="1:5" x14ac:dyDescent="0.2">
      <c r="A1877">
        <v>1870</v>
      </c>
      <c r="B1877">
        <v>1945</v>
      </c>
      <c r="C1877">
        <v>14</v>
      </c>
      <c r="D1877">
        <v>-15.8</v>
      </c>
      <c r="E1877">
        <v>1.7</v>
      </c>
    </row>
    <row r="1878" spans="1:5" x14ac:dyDescent="0.2">
      <c r="A1878">
        <v>1871</v>
      </c>
      <c r="B1878">
        <v>1947</v>
      </c>
      <c r="C1878">
        <v>14</v>
      </c>
      <c r="D1878">
        <v>-16</v>
      </c>
      <c r="E1878">
        <v>1.8</v>
      </c>
    </row>
    <row r="1879" spans="1:5" x14ac:dyDescent="0.2">
      <c r="A1879">
        <v>1872</v>
      </c>
      <c r="B1879">
        <v>1949</v>
      </c>
      <c r="C1879">
        <v>14</v>
      </c>
      <c r="D1879">
        <v>-16.100000000000001</v>
      </c>
      <c r="E1879">
        <v>1.8</v>
      </c>
    </row>
    <row r="1880" spans="1:5" x14ac:dyDescent="0.2">
      <c r="A1880">
        <v>1873</v>
      </c>
      <c r="B1880">
        <v>1951</v>
      </c>
      <c r="C1880">
        <v>14</v>
      </c>
      <c r="D1880">
        <v>-16.100000000000001</v>
      </c>
      <c r="E1880">
        <v>1.7</v>
      </c>
    </row>
    <row r="1881" spans="1:5" x14ac:dyDescent="0.2">
      <c r="A1881">
        <v>1874</v>
      </c>
      <c r="B1881">
        <v>1951</v>
      </c>
      <c r="C1881">
        <v>14</v>
      </c>
      <c r="D1881">
        <v>-16.100000000000001</v>
      </c>
      <c r="E1881">
        <v>1.7</v>
      </c>
    </row>
    <row r="1882" spans="1:5" x14ac:dyDescent="0.2">
      <c r="A1882">
        <v>1875</v>
      </c>
      <c r="B1882">
        <v>1952</v>
      </c>
      <c r="C1882">
        <v>14</v>
      </c>
      <c r="D1882">
        <v>-16</v>
      </c>
      <c r="E1882">
        <v>1.7</v>
      </c>
    </row>
    <row r="1883" spans="1:5" x14ac:dyDescent="0.2">
      <c r="A1883">
        <v>1876</v>
      </c>
      <c r="B1883">
        <v>1952</v>
      </c>
      <c r="C1883">
        <v>14</v>
      </c>
      <c r="D1883">
        <v>-15.9</v>
      </c>
      <c r="E1883">
        <v>1.7</v>
      </c>
    </row>
    <row r="1884" spans="1:5" x14ac:dyDescent="0.2">
      <c r="A1884">
        <v>1877</v>
      </c>
      <c r="B1884">
        <v>1952</v>
      </c>
      <c r="C1884">
        <v>14</v>
      </c>
      <c r="D1884">
        <v>-15.8</v>
      </c>
      <c r="E1884">
        <v>1.7</v>
      </c>
    </row>
    <row r="1885" spans="1:5" x14ac:dyDescent="0.2">
      <c r="A1885">
        <v>1878</v>
      </c>
      <c r="B1885">
        <v>1952</v>
      </c>
      <c r="C1885">
        <v>14</v>
      </c>
      <c r="D1885">
        <v>-15.8</v>
      </c>
      <c r="E1885">
        <v>1.7</v>
      </c>
    </row>
    <row r="1886" spans="1:5" x14ac:dyDescent="0.2">
      <c r="A1886">
        <v>1879</v>
      </c>
      <c r="B1886">
        <v>1953</v>
      </c>
      <c r="C1886">
        <v>14</v>
      </c>
      <c r="D1886">
        <v>-15.7</v>
      </c>
      <c r="E1886">
        <v>1.7</v>
      </c>
    </row>
    <row r="1887" spans="1:5" x14ac:dyDescent="0.2">
      <c r="A1887">
        <v>1880</v>
      </c>
      <c r="B1887">
        <v>1953</v>
      </c>
      <c r="C1887">
        <v>14</v>
      </c>
      <c r="D1887">
        <v>-15.6</v>
      </c>
      <c r="E1887">
        <v>1.7</v>
      </c>
    </row>
    <row r="1888" spans="1:5" x14ac:dyDescent="0.2">
      <c r="A1888">
        <v>1881</v>
      </c>
      <c r="B1888">
        <v>1954</v>
      </c>
      <c r="C1888">
        <v>14</v>
      </c>
      <c r="D1888">
        <v>-15.6</v>
      </c>
      <c r="E1888">
        <v>1.7</v>
      </c>
    </row>
    <row r="1889" spans="1:5" x14ac:dyDescent="0.2">
      <c r="A1889">
        <v>1882</v>
      </c>
      <c r="B1889">
        <v>1955</v>
      </c>
      <c r="C1889">
        <v>14</v>
      </c>
      <c r="D1889">
        <v>-15.6</v>
      </c>
      <c r="E1889">
        <v>1.7</v>
      </c>
    </row>
    <row r="1890" spans="1:5" x14ac:dyDescent="0.2">
      <c r="A1890">
        <v>1883</v>
      </c>
      <c r="B1890">
        <v>1957</v>
      </c>
      <c r="C1890">
        <v>14</v>
      </c>
      <c r="D1890">
        <v>-15.7</v>
      </c>
      <c r="E1890">
        <v>1.7</v>
      </c>
    </row>
    <row r="1891" spans="1:5" x14ac:dyDescent="0.2">
      <c r="A1891">
        <v>1884</v>
      </c>
      <c r="B1891">
        <v>1958</v>
      </c>
      <c r="C1891">
        <v>14</v>
      </c>
      <c r="D1891">
        <v>-15.7</v>
      </c>
      <c r="E1891">
        <v>1.7</v>
      </c>
    </row>
    <row r="1892" spans="1:5" x14ac:dyDescent="0.2">
      <c r="A1892">
        <v>1885</v>
      </c>
      <c r="B1892">
        <v>1960</v>
      </c>
      <c r="C1892">
        <v>14</v>
      </c>
      <c r="D1892">
        <v>-15.8</v>
      </c>
      <c r="E1892">
        <v>1.7</v>
      </c>
    </row>
    <row r="1893" spans="1:5" x14ac:dyDescent="0.2">
      <c r="A1893">
        <v>1886</v>
      </c>
      <c r="B1893">
        <v>1962</v>
      </c>
      <c r="C1893">
        <v>14</v>
      </c>
      <c r="D1893">
        <v>-16</v>
      </c>
      <c r="E1893">
        <v>1.7</v>
      </c>
    </row>
    <row r="1894" spans="1:5" x14ac:dyDescent="0.2">
      <c r="A1894">
        <v>1887</v>
      </c>
      <c r="B1894">
        <v>1964</v>
      </c>
      <c r="C1894">
        <v>14</v>
      </c>
      <c r="D1894">
        <v>-16.100000000000001</v>
      </c>
      <c r="E1894">
        <v>1.7</v>
      </c>
    </row>
    <row r="1895" spans="1:5" x14ac:dyDescent="0.2">
      <c r="A1895">
        <v>1888</v>
      </c>
      <c r="B1895">
        <v>1966</v>
      </c>
      <c r="C1895">
        <v>14</v>
      </c>
      <c r="D1895">
        <v>-16.2</v>
      </c>
      <c r="E1895">
        <v>1.7</v>
      </c>
    </row>
    <row r="1896" spans="1:5" x14ac:dyDescent="0.2">
      <c r="A1896">
        <v>1889</v>
      </c>
      <c r="B1896">
        <v>1968</v>
      </c>
      <c r="C1896">
        <v>14</v>
      </c>
      <c r="D1896">
        <v>-16.399999999999999</v>
      </c>
      <c r="E1896">
        <v>1.7</v>
      </c>
    </row>
    <row r="1897" spans="1:5" x14ac:dyDescent="0.2">
      <c r="A1897">
        <v>1890</v>
      </c>
      <c r="B1897">
        <v>1971</v>
      </c>
      <c r="C1897">
        <v>14</v>
      </c>
      <c r="D1897">
        <v>-16.600000000000001</v>
      </c>
      <c r="E1897">
        <v>1.7</v>
      </c>
    </row>
    <row r="1898" spans="1:5" x14ac:dyDescent="0.2">
      <c r="A1898">
        <v>1891</v>
      </c>
      <c r="B1898">
        <v>1973</v>
      </c>
      <c r="C1898">
        <v>14</v>
      </c>
      <c r="D1898">
        <v>-16.7</v>
      </c>
      <c r="E1898">
        <v>1.7</v>
      </c>
    </row>
    <row r="1899" spans="1:5" x14ac:dyDescent="0.2">
      <c r="A1899">
        <v>1892</v>
      </c>
      <c r="B1899">
        <v>1975</v>
      </c>
      <c r="C1899">
        <v>14</v>
      </c>
      <c r="D1899">
        <v>-16.899999999999999</v>
      </c>
      <c r="E1899">
        <v>1.7</v>
      </c>
    </row>
    <row r="1900" spans="1:5" x14ac:dyDescent="0.2">
      <c r="A1900">
        <v>1893</v>
      </c>
      <c r="B1900">
        <v>1977</v>
      </c>
      <c r="C1900">
        <v>14</v>
      </c>
      <c r="D1900">
        <v>-17</v>
      </c>
      <c r="E1900">
        <v>1.7</v>
      </c>
    </row>
    <row r="1901" spans="1:5" x14ac:dyDescent="0.2">
      <c r="A1901">
        <v>1894</v>
      </c>
      <c r="B1901">
        <v>1979</v>
      </c>
      <c r="C1901">
        <v>14</v>
      </c>
      <c r="D1901">
        <v>-17.100000000000001</v>
      </c>
      <c r="E1901">
        <v>1.7</v>
      </c>
    </row>
    <row r="1902" spans="1:5" x14ac:dyDescent="0.2">
      <c r="A1902">
        <v>1895</v>
      </c>
      <c r="B1902">
        <v>1981</v>
      </c>
      <c r="C1902">
        <v>14</v>
      </c>
      <c r="D1902">
        <v>-17.2</v>
      </c>
      <c r="E1902">
        <v>1.7</v>
      </c>
    </row>
    <row r="1903" spans="1:5" x14ac:dyDescent="0.2">
      <c r="A1903">
        <v>1896</v>
      </c>
      <c r="B1903">
        <v>1982</v>
      </c>
      <c r="C1903">
        <v>14</v>
      </c>
      <c r="D1903">
        <v>-17.2</v>
      </c>
      <c r="E1903">
        <v>1.7</v>
      </c>
    </row>
    <row r="1904" spans="1:5" x14ac:dyDescent="0.2">
      <c r="A1904">
        <v>1897</v>
      </c>
      <c r="B1904">
        <v>1982</v>
      </c>
      <c r="C1904">
        <v>14</v>
      </c>
      <c r="D1904">
        <v>-17.2</v>
      </c>
      <c r="E1904">
        <v>1.7</v>
      </c>
    </row>
    <row r="1905" spans="1:5" x14ac:dyDescent="0.2">
      <c r="A1905">
        <v>1898</v>
      </c>
      <c r="B1905">
        <v>1982</v>
      </c>
      <c r="C1905">
        <v>14</v>
      </c>
      <c r="D1905">
        <v>-17.100000000000001</v>
      </c>
      <c r="E1905">
        <v>1.7</v>
      </c>
    </row>
    <row r="1906" spans="1:5" x14ac:dyDescent="0.2">
      <c r="A1906">
        <v>1899</v>
      </c>
      <c r="B1906">
        <v>1982</v>
      </c>
      <c r="C1906">
        <v>14</v>
      </c>
      <c r="D1906">
        <v>-16.899999999999999</v>
      </c>
      <c r="E1906">
        <v>1.7</v>
      </c>
    </row>
    <row r="1907" spans="1:5" x14ac:dyDescent="0.2">
      <c r="A1907">
        <v>1900</v>
      </c>
      <c r="B1907">
        <v>1981</v>
      </c>
      <c r="C1907">
        <v>14</v>
      </c>
      <c r="D1907">
        <v>-16.7</v>
      </c>
      <c r="E1907">
        <v>1.7</v>
      </c>
    </row>
    <row r="1908" spans="1:5" x14ac:dyDescent="0.2">
      <c r="A1908">
        <v>1901</v>
      </c>
      <c r="B1908">
        <v>1980</v>
      </c>
      <c r="C1908">
        <v>14</v>
      </c>
      <c r="D1908">
        <v>-16.399999999999999</v>
      </c>
      <c r="E1908">
        <v>1.7</v>
      </c>
    </row>
    <row r="1909" spans="1:5" x14ac:dyDescent="0.2">
      <c r="A1909">
        <v>1902</v>
      </c>
      <c r="B1909">
        <v>1979</v>
      </c>
      <c r="C1909">
        <v>14</v>
      </c>
      <c r="D1909">
        <v>-16.2</v>
      </c>
      <c r="E1909">
        <v>1.7</v>
      </c>
    </row>
    <row r="1910" spans="1:5" x14ac:dyDescent="0.2">
      <c r="A1910">
        <v>1903</v>
      </c>
      <c r="B1910">
        <v>1978</v>
      </c>
      <c r="C1910">
        <v>14</v>
      </c>
      <c r="D1910">
        <v>-15.9</v>
      </c>
      <c r="E1910">
        <v>1.7</v>
      </c>
    </row>
    <row r="1911" spans="1:5" x14ac:dyDescent="0.2">
      <c r="A1911">
        <v>1904</v>
      </c>
      <c r="B1911">
        <v>1976</v>
      </c>
      <c r="C1911">
        <v>14</v>
      </c>
      <c r="D1911">
        <v>-15.6</v>
      </c>
      <c r="E1911">
        <v>1.7</v>
      </c>
    </row>
    <row r="1912" spans="1:5" x14ac:dyDescent="0.2">
      <c r="A1912">
        <v>1905</v>
      </c>
      <c r="B1912">
        <v>1975</v>
      </c>
      <c r="C1912">
        <v>14</v>
      </c>
      <c r="D1912">
        <v>-15.3</v>
      </c>
      <c r="E1912">
        <v>1.7</v>
      </c>
    </row>
    <row r="1913" spans="1:5" x14ac:dyDescent="0.2">
      <c r="A1913">
        <v>1906</v>
      </c>
      <c r="B1913">
        <v>1974</v>
      </c>
      <c r="C1913">
        <v>14</v>
      </c>
      <c r="D1913">
        <v>-15</v>
      </c>
      <c r="E1913">
        <v>1.7</v>
      </c>
    </row>
    <row r="1914" spans="1:5" x14ac:dyDescent="0.2">
      <c r="A1914">
        <v>1907</v>
      </c>
      <c r="B1914">
        <v>1973</v>
      </c>
      <c r="C1914">
        <v>14</v>
      </c>
      <c r="D1914">
        <v>-14.8</v>
      </c>
      <c r="E1914">
        <v>1.7</v>
      </c>
    </row>
    <row r="1915" spans="1:5" x14ac:dyDescent="0.2">
      <c r="A1915">
        <v>1908</v>
      </c>
      <c r="B1915">
        <v>1972</v>
      </c>
      <c r="C1915">
        <v>14</v>
      </c>
      <c r="D1915">
        <v>-14.5</v>
      </c>
      <c r="E1915">
        <v>1.7</v>
      </c>
    </row>
    <row r="1916" spans="1:5" x14ac:dyDescent="0.2">
      <c r="A1916">
        <v>1909</v>
      </c>
      <c r="B1916">
        <v>1971</v>
      </c>
      <c r="C1916">
        <v>14</v>
      </c>
      <c r="D1916">
        <v>-14.3</v>
      </c>
      <c r="E1916">
        <v>1.7</v>
      </c>
    </row>
    <row r="1917" spans="1:5" x14ac:dyDescent="0.2">
      <c r="A1917">
        <v>1910</v>
      </c>
      <c r="B1917">
        <v>1970</v>
      </c>
      <c r="C1917">
        <v>14</v>
      </c>
      <c r="D1917">
        <v>-14.1</v>
      </c>
      <c r="E1917">
        <v>1.8</v>
      </c>
    </row>
    <row r="1918" spans="1:5" x14ac:dyDescent="0.2">
      <c r="A1918">
        <v>1911</v>
      </c>
      <c r="B1918">
        <v>1969</v>
      </c>
      <c r="C1918">
        <v>15</v>
      </c>
      <c r="D1918">
        <v>-13.9</v>
      </c>
      <c r="E1918">
        <v>1.8</v>
      </c>
    </row>
    <row r="1919" spans="1:5" x14ac:dyDescent="0.2">
      <c r="A1919">
        <v>1912</v>
      </c>
      <c r="B1919">
        <v>1969</v>
      </c>
      <c r="C1919">
        <v>15</v>
      </c>
      <c r="D1919">
        <v>-13.7</v>
      </c>
      <c r="E1919">
        <v>1.8</v>
      </c>
    </row>
    <row r="1920" spans="1:5" x14ac:dyDescent="0.2">
      <c r="A1920">
        <v>1913</v>
      </c>
      <c r="B1920">
        <v>1968</v>
      </c>
      <c r="C1920">
        <v>15</v>
      </c>
      <c r="D1920">
        <v>-13.5</v>
      </c>
      <c r="E1920">
        <v>1.8</v>
      </c>
    </row>
    <row r="1921" spans="1:5" x14ac:dyDescent="0.2">
      <c r="A1921">
        <v>1914</v>
      </c>
      <c r="B1921">
        <v>1968</v>
      </c>
      <c r="C1921">
        <v>14</v>
      </c>
      <c r="D1921">
        <v>-13.3</v>
      </c>
      <c r="E1921">
        <v>1.8</v>
      </c>
    </row>
    <row r="1922" spans="1:5" x14ac:dyDescent="0.2">
      <c r="A1922">
        <v>1915</v>
      </c>
      <c r="B1922">
        <v>1967</v>
      </c>
      <c r="C1922">
        <v>14</v>
      </c>
      <c r="D1922">
        <v>-13.2</v>
      </c>
      <c r="E1922">
        <v>1.8</v>
      </c>
    </row>
    <row r="1923" spans="1:5" x14ac:dyDescent="0.2">
      <c r="A1923">
        <v>1916</v>
      </c>
      <c r="B1923">
        <v>1968</v>
      </c>
      <c r="C1923">
        <v>14</v>
      </c>
      <c r="D1923">
        <v>-13.1</v>
      </c>
      <c r="E1923">
        <v>1.7</v>
      </c>
    </row>
    <row r="1924" spans="1:5" x14ac:dyDescent="0.2">
      <c r="A1924">
        <v>1917</v>
      </c>
      <c r="B1924">
        <v>1968</v>
      </c>
      <c r="C1924">
        <v>14</v>
      </c>
      <c r="D1924">
        <v>-13</v>
      </c>
      <c r="E1924">
        <v>1.7</v>
      </c>
    </row>
    <row r="1925" spans="1:5" x14ac:dyDescent="0.2">
      <c r="A1925">
        <v>1918</v>
      </c>
      <c r="B1925">
        <v>1968</v>
      </c>
      <c r="C1925">
        <v>14</v>
      </c>
      <c r="D1925">
        <v>-12.9</v>
      </c>
      <c r="E1925">
        <v>1.8</v>
      </c>
    </row>
    <row r="1926" spans="1:5" x14ac:dyDescent="0.2">
      <c r="A1926">
        <v>1919</v>
      </c>
      <c r="B1926">
        <v>1969</v>
      </c>
      <c r="C1926">
        <v>15</v>
      </c>
      <c r="D1926">
        <v>-13</v>
      </c>
      <c r="E1926">
        <v>1.8</v>
      </c>
    </row>
    <row r="1927" spans="1:5" x14ac:dyDescent="0.2">
      <c r="A1927">
        <v>1920</v>
      </c>
      <c r="B1927">
        <v>1971</v>
      </c>
      <c r="C1927">
        <v>15</v>
      </c>
      <c r="D1927">
        <v>-13</v>
      </c>
      <c r="E1927">
        <v>1.8</v>
      </c>
    </row>
    <row r="1928" spans="1:5" x14ac:dyDescent="0.2">
      <c r="A1928">
        <v>1921</v>
      </c>
      <c r="B1928">
        <v>1972</v>
      </c>
      <c r="C1928">
        <v>15</v>
      </c>
      <c r="D1928">
        <v>-13.1</v>
      </c>
      <c r="E1928">
        <v>1.8</v>
      </c>
    </row>
    <row r="1929" spans="1:5" x14ac:dyDescent="0.2">
      <c r="A1929">
        <v>1922</v>
      </c>
      <c r="B1929">
        <v>1974</v>
      </c>
      <c r="C1929">
        <v>15</v>
      </c>
      <c r="D1929">
        <v>-13.2</v>
      </c>
      <c r="E1929">
        <v>1.8</v>
      </c>
    </row>
    <row r="1930" spans="1:5" x14ac:dyDescent="0.2">
      <c r="A1930">
        <v>1923</v>
      </c>
      <c r="B1930">
        <v>1977</v>
      </c>
      <c r="C1930">
        <v>14</v>
      </c>
      <c r="D1930">
        <v>-13.4</v>
      </c>
      <c r="E1930">
        <v>1.8</v>
      </c>
    </row>
    <row r="1931" spans="1:5" x14ac:dyDescent="0.2">
      <c r="A1931">
        <v>1924</v>
      </c>
      <c r="B1931">
        <v>1979</v>
      </c>
      <c r="C1931">
        <v>14</v>
      </c>
      <c r="D1931">
        <v>-13.6</v>
      </c>
      <c r="E1931">
        <v>1.7</v>
      </c>
    </row>
    <row r="1932" spans="1:5" x14ac:dyDescent="0.2">
      <c r="A1932">
        <v>1925</v>
      </c>
      <c r="B1932">
        <v>1982</v>
      </c>
      <c r="C1932">
        <v>14</v>
      </c>
      <c r="D1932">
        <v>-13.8</v>
      </c>
      <c r="E1932">
        <v>1.7</v>
      </c>
    </row>
    <row r="1933" spans="1:5" x14ac:dyDescent="0.2">
      <c r="A1933">
        <v>1926</v>
      </c>
      <c r="B1933">
        <v>1985</v>
      </c>
      <c r="C1933">
        <v>14</v>
      </c>
      <c r="D1933">
        <v>-14</v>
      </c>
      <c r="E1933">
        <v>1.7</v>
      </c>
    </row>
    <row r="1934" spans="1:5" x14ac:dyDescent="0.2">
      <c r="A1934">
        <v>1927</v>
      </c>
      <c r="B1934">
        <v>1987</v>
      </c>
      <c r="C1934">
        <v>14</v>
      </c>
      <c r="D1934">
        <v>-14.2</v>
      </c>
      <c r="E1934">
        <v>1.7</v>
      </c>
    </row>
    <row r="1935" spans="1:5" x14ac:dyDescent="0.2">
      <c r="A1935">
        <v>1928</v>
      </c>
      <c r="B1935">
        <v>1990</v>
      </c>
      <c r="C1935">
        <v>14</v>
      </c>
      <c r="D1935">
        <v>-14.4</v>
      </c>
      <c r="E1935">
        <v>1.8</v>
      </c>
    </row>
    <row r="1936" spans="1:5" x14ac:dyDescent="0.2">
      <c r="A1936">
        <v>1929</v>
      </c>
      <c r="B1936">
        <v>1992</v>
      </c>
      <c r="C1936">
        <v>15</v>
      </c>
      <c r="D1936">
        <v>-14.6</v>
      </c>
      <c r="E1936">
        <v>1.8</v>
      </c>
    </row>
    <row r="1937" spans="1:5" x14ac:dyDescent="0.2">
      <c r="A1937">
        <v>1930</v>
      </c>
      <c r="B1937">
        <v>1995</v>
      </c>
      <c r="C1937">
        <v>15</v>
      </c>
      <c r="D1937">
        <v>-14.7</v>
      </c>
      <c r="E1937">
        <v>1.8</v>
      </c>
    </row>
    <row r="1938" spans="1:5" x14ac:dyDescent="0.2">
      <c r="A1938">
        <v>1931</v>
      </c>
      <c r="B1938">
        <v>1996</v>
      </c>
      <c r="C1938">
        <v>14</v>
      </c>
      <c r="D1938">
        <v>-14.8</v>
      </c>
      <c r="E1938">
        <v>1.8</v>
      </c>
    </row>
    <row r="1939" spans="1:5" x14ac:dyDescent="0.2">
      <c r="A1939">
        <v>1932</v>
      </c>
      <c r="B1939">
        <v>1998</v>
      </c>
      <c r="C1939">
        <v>14</v>
      </c>
      <c r="D1939">
        <v>-14.9</v>
      </c>
      <c r="E1939">
        <v>1.7</v>
      </c>
    </row>
    <row r="1940" spans="1:5" x14ac:dyDescent="0.2">
      <c r="A1940">
        <v>1933</v>
      </c>
      <c r="B1940">
        <v>1999</v>
      </c>
      <c r="C1940">
        <v>14</v>
      </c>
      <c r="D1940">
        <v>-14.9</v>
      </c>
      <c r="E1940">
        <v>1.7</v>
      </c>
    </row>
    <row r="1941" spans="1:5" x14ac:dyDescent="0.2">
      <c r="A1941">
        <v>1934</v>
      </c>
      <c r="B1941">
        <v>2000</v>
      </c>
      <c r="C1941">
        <v>14</v>
      </c>
      <c r="D1941">
        <v>-14.9</v>
      </c>
      <c r="E1941">
        <v>1.7</v>
      </c>
    </row>
    <row r="1942" spans="1:5" x14ac:dyDescent="0.2">
      <c r="A1942">
        <v>1935</v>
      </c>
      <c r="B1942">
        <v>2000</v>
      </c>
      <c r="C1942">
        <v>14</v>
      </c>
      <c r="D1942">
        <v>-14.8</v>
      </c>
      <c r="E1942">
        <v>1.7</v>
      </c>
    </row>
    <row r="1943" spans="1:5" x14ac:dyDescent="0.2">
      <c r="A1943">
        <v>1936</v>
      </c>
      <c r="B1943">
        <v>2001</v>
      </c>
      <c r="C1943">
        <v>14</v>
      </c>
      <c r="D1943">
        <v>-14.8</v>
      </c>
      <c r="E1943">
        <v>1.7</v>
      </c>
    </row>
    <row r="1944" spans="1:5" x14ac:dyDescent="0.2">
      <c r="A1944">
        <v>1937</v>
      </c>
      <c r="B1944">
        <v>2002</v>
      </c>
      <c r="C1944">
        <v>14</v>
      </c>
      <c r="D1944">
        <v>-14.8</v>
      </c>
      <c r="E1944">
        <v>1.8</v>
      </c>
    </row>
    <row r="1945" spans="1:5" x14ac:dyDescent="0.2">
      <c r="A1945">
        <v>1938</v>
      </c>
      <c r="B1945">
        <v>2002</v>
      </c>
      <c r="C1945">
        <v>14</v>
      </c>
      <c r="D1945">
        <v>-14.7</v>
      </c>
      <c r="E1945">
        <v>1.8</v>
      </c>
    </row>
    <row r="1946" spans="1:5" x14ac:dyDescent="0.2">
      <c r="A1946">
        <v>1939</v>
      </c>
      <c r="B1946">
        <v>2003</v>
      </c>
      <c r="C1946">
        <v>14</v>
      </c>
      <c r="D1946">
        <v>-14.7</v>
      </c>
      <c r="E1946">
        <v>1.8</v>
      </c>
    </row>
    <row r="1947" spans="1:5" x14ac:dyDescent="0.2">
      <c r="A1947">
        <v>1940</v>
      </c>
      <c r="B1947">
        <v>2004</v>
      </c>
      <c r="C1947">
        <v>14</v>
      </c>
      <c r="D1947">
        <v>-14.7</v>
      </c>
      <c r="E1947">
        <v>1.7</v>
      </c>
    </row>
    <row r="1948" spans="1:5" x14ac:dyDescent="0.2">
      <c r="A1948">
        <v>1941</v>
      </c>
      <c r="B1948">
        <v>2006</v>
      </c>
      <c r="C1948">
        <v>14</v>
      </c>
      <c r="D1948">
        <v>-14.8</v>
      </c>
      <c r="E1948">
        <v>1.7</v>
      </c>
    </row>
    <row r="1949" spans="1:5" x14ac:dyDescent="0.2">
      <c r="A1949">
        <v>1942</v>
      </c>
      <c r="B1949">
        <v>2007</v>
      </c>
      <c r="C1949">
        <v>14</v>
      </c>
      <c r="D1949">
        <v>-14.9</v>
      </c>
      <c r="E1949">
        <v>1.7</v>
      </c>
    </row>
    <row r="1950" spans="1:5" x14ac:dyDescent="0.2">
      <c r="A1950">
        <v>1943</v>
      </c>
      <c r="B1950">
        <v>2009</v>
      </c>
      <c r="C1950">
        <v>14</v>
      </c>
      <c r="D1950">
        <v>-15</v>
      </c>
      <c r="E1950">
        <v>1.7</v>
      </c>
    </row>
    <row r="1951" spans="1:5" x14ac:dyDescent="0.2">
      <c r="A1951">
        <v>1944</v>
      </c>
      <c r="B1951">
        <v>2012</v>
      </c>
      <c r="C1951">
        <v>14</v>
      </c>
      <c r="D1951">
        <v>-15.2</v>
      </c>
      <c r="E1951">
        <v>1.7</v>
      </c>
    </row>
    <row r="1952" spans="1:5" x14ac:dyDescent="0.2">
      <c r="A1952">
        <v>1945</v>
      </c>
      <c r="B1952">
        <v>2015</v>
      </c>
      <c r="C1952">
        <v>14</v>
      </c>
      <c r="D1952">
        <v>-15.4</v>
      </c>
      <c r="E1952">
        <v>1.7</v>
      </c>
    </row>
    <row r="1953" spans="1:5" x14ac:dyDescent="0.2">
      <c r="A1953">
        <v>1946</v>
      </c>
      <c r="B1953">
        <v>2018</v>
      </c>
      <c r="C1953">
        <v>14</v>
      </c>
      <c r="D1953">
        <v>-15.7</v>
      </c>
      <c r="E1953">
        <v>1.7</v>
      </c>
    </row>
    <row r="1954" spans="1:5" x14ac:dyDescent="0.2">
      <c r="A1954">
        <v>1947</v>
      </c>
      <c r="B1954">
        <v>2022</v>
      </c>
      <c r="C1954">
        <v>14</v>
      </c>
      <c r="D1954">
        <v>-16.100000000000001</v>
      </c>
      <c r="E1954">
        <v>1.7</v>
      </c>
    </row>
    <row r="1955" spans="1:5" x14ac:dyDescent="0.2">
      <c r="A1955">
        <v>1948</v>
      </c>
      <c r="B1955">
        <v>2026</v>
      </c>
      <c r="C1955">
        <v>14</v>
      </c>
      <c r="D1955">
        <v>-16.5</v>
      </c>
      <c r="E1955">
        <v>1.7</v>
      </c>
    </row>
    <row r="1956" spans="1:5" x14ac:dyDescent="0.2">
      <c r="A1956">
        <v>1949</v>
      </c>
      <c r="B1956">
        <v>2030</v>
      </c>
      <c r="C1956">
        <v>14</v>
      </c>
      <c r="D1956">
        <v>-16.8</v>
      </c>
      <c r="E1956">
        <v>1.7</v>
      </c>
    </row>
    <row r="1957" spans="1:5" x14ac:dyDescent="0.2">
      <c r="A1957">
        <v>1950</v>
      </c>
      <c r="B1957">
        <v>2033</v>
      </c>
      <c r="C1957">
        <v>14</v>
      </c>
      <c r="D1957">
        <v>-17.100000000000001</v>
      </c>
      <c r="E1957">
        <v>1.7</v>
      </c>
    </row>
    <row r="1958" spans="1:5" x14ac:dyDescent="0.2">
      <c r="A1958">
        <v>1951</v>
      </c>
      <c r="B1958">
        <v>2036</v>
      </c>
      <c r="C1958">
        <v>14</v>
      </c>
      <c r="D1958">
        <v>-17.3</v>
      </c>
      <c r="E1958">
        <v>1.7</v>
      </c>
    </row>
    <row r="1959" spans="1:5" x14ac:dyDescent="0.2">
      <c r="A1959">
        <v>1952</v>
      </c>
      <c r="B1959">
        <v>2038</v>
      </c>
      <c r="C1959">
        <v>14</v>
      </c>
      <c r="D1959">
        <v>-17.5</v>
      </c>
      <c r="E1959">
        <v>1.7</v>
      </c>
    </row>
    <row r="1960" spans="1:5" x14ac:dyDescent="0.2">
      <c r="A1960">
        <v>1953</v>
      </c>
      <c r="B1960">
        <v>2039</v>
      </c>
      <c r="C1960">
        <v>14</v>
      </c>
      <c r="D1960">
        <v>-17.5</v>
      </c>
      <c r="E1960">
        <v>1.7</v>
      </c>
    </row>
    <row r="1961" spans="1:5" x14ac:dyDescent="0.2">
      <c r="A1961">
        <v>1954</v>
      </c>
      <c r="B1961">
        <v>2040</v>
      </c>
      <c r="C1961">
        <v>14</v>
      </c>
      <c r="D1961">
        <v>-17.399999999999999</v>
      </c>
      <c r="E1961">
        <v>1.7</v>
      </c>
    </row>
    <row r="1962" spans="1:5" x14ac:dyDescent="0.2">
      <c r="A1962">
        <v>1955</v>
      </c>
      <c r="B1962">
        <v>2039</v>
      </c>
      <c r="C1962">
        <v>14</v>
      </c>
      <c r="D1962">
        <v>-17.2</v>
      </c>
      <c r="E1962">
        <v>1.7</v>
      </c>
    </row>
    <row r="1963" spans="1:5" x14ac:dyDescent="0.2">
      <c r="A1963">
        <v>1956</v>
      </c>
      <c r="B1963">
        <v>2038</v>
      </c>
      <c r="C1963">
        <v>14</v>
      </c>
      <c r="D1963">
        <v>-17</v>
      </c>
      <c r="E1963">
        <v>1.7</v>
      </c>
    </row>
    <row r="1964" spans="1:5" x14ac:dyDescent="0.2">
      <c r="A1964">
        <v>1957</v>
      </c>
      <c r="B1964">
        <v>2036</v>
      </c>
      <c r="C1964">
        <v>14</v>
      </c>
      <c r="D1964">
        <v>-16.600000000000001</v>
      </c>
      <c r="E1964">
        <v>1.7</v>
      </c>
    </row>
    <row r="1965" spans="1:5" x14ac:dyDescent="0.2">
      <c r="A1965">
        <v>1958</v>
      </c>
      <c r="B1965">
        <v>2034</v>
      </c>
      <c r="C1965">
        <v>14</v>
      </c>
      <c r="D1965">
        <v>-16.2</v>
      </c>
      <c r="E1965">
        <v>1.8</v>
      </c>
    </row>
    <row r="1966" spans="1:5" x14ac:dyDescent="0.2">
      <c r="A1966">
        <v>1959</v>
      </c>
      <c r="B1966">
        <v>2031</v>
      </c>
      <c r="C1966">
        <v>14</v>
      </c>
      <c r="D1966">
        <v>-15.7</v>
      </c>
      <c r="E1966">
        <v>1.8</v>
      </c>
    </row>
    <row r="1967" spans="1:5" x14ac:dyDescent="0.2">
      <c r="A1967">
        <v>1960</v>
      </c>
      <c r="B1967">
        <v>2027</v>
      </c>
      <c r="C1967">
        <v>14</v>
      </c>
      <c r="D1967">
        <v>-15.2</v>
      </c>
      <c r="E1967">
        <v>1.7</v>
      </c>
    </row>
    <row r="1968" spans="1:5" x14ac:dyDescent="0.2">
      <c r="A1968">
        <v>1961</v>
      </c>
      <c r="B1968">
        <v>2023</v>
      </c>
      <c r="C1968">
        <v>14</v>
      </c>
      <c r="D1968">
        <v>-14.6</v>
      </c>
      <c r="E1968">
        <v>1.7</v>
      </c>
    </row>
    <row r="1969" spans="1:5" x14ac:dyDescent="0.2">
      <c r="A1969">
        <v>1962</v>
      </c>
      <c r="B1969">
        <v>2020</v>
      </c>
      <c r="C1969">
        <v>14</v>
      </c>
      <c r="D1969">
        <v>-14</v>
      </c>
      <c r="E1969">
        <v>1.7</v>
      </c>
    </row>
    <row r="1970" spans="1:5" x14ac:dyDescent="0.2">
      <c r="A1970">
        <v>1963</v>
      </c>
      <c r="B1970">
        <v>2016</v>
      </c>
      <c r="C1970">
        <v>14</v>
      </c>
      <c r="D1970">
        <v>-13.4</v>
      </c>
      <c r="E1970">
        <v>1.7</v>
      </c>
    </row>
    <row r="1971" spans="1:5" x14ac:dyDescent="0.2">
      <c r="A1971">
        <v>1964</v>
      </c>
      <c r="B1971">
        <v>2013</v>
      </c>
      <c r="C1971">
        <v>14</v>
      </c>
      <c r="D1971">
        <v>-12.9</v>
      </c>
      <c r="E1971">
        <v>1.8</v>
      </c>
    </row>
    <row r="1972" spans="1:5" x14ac:dyDescent="0.2">
      <c r="A1972">
        <v>1965</v>
      </c>
      <c r="B1972">
        <v>2011</v>
      </c>
      <c r="C1972">
        <v>14</v>
      </c>
      <c r="D1972">
        <v>-12.6</v>
      </c>
      <c r="E1972">
        <v>1.8</v>
      </c>
    </row>
    <row r="1973" spans="1:5" x14ac:dyDescent="0.2">
      <c r="A1973">
        <v>1966</v>
      </c>
      <c r="B1973">
        <v>2009</v>
      </c>
      <c r="C1973">
        <v>14</v>
      </c>
      <c r="D1973">
        <v>-12.2</v>
      </c>
      <c r="E1973">
        <v>1.8</v>
      </c>
    </row>
    <row r="1974" spans="1:5" x14ac:dyDescent="0.2">
      <c r="A1974">
        <v>1967</v>
      </c>
      <c r="B1974">
        <v>2008</v>
      </c>
      <c r="C1974">
        <v>14</v>
      </c>
      <c r="D1974">
        <v>-12</v>
      </c>
      <c r="E1974">
        <v>1.8</v>
      </c>
    </row>
    <row r="1975" spans="1:5" x14ac:dyDescent="0.2">
      <c r="A1975">
        <v>1968</v>
      </c>
      <c r="B1975">
        <v>2008</v>
      </c>
      <c r="C1975">
        <v>15</v>
      </c>
      <c r="D1975">
        <v>-11.8</v>
      </c>
      <c r="E1975">
        <v>1.8</v>
      </c>
    </row>
    <row r="1976" spans="1:5" x14ac:dyDescent="0.2">
      <c r="A1976">
        <v>1969</v>
      </c>
      <c r="B1976">
        <v>2008</v>
      </c>
      <c r="C1976">
        <v>15</v>
      </c>
      <c r="D1976">
        <v>-11.7</v>
      </c>
      <c r="E1976">
        <v>1.8</v>
      </c>
    </row>
    <row r="1977" spans="1:5" x14ac:dyDescent="0.2">
      <c r="A1977">
        <v>1970</v>
      </c>
      <c r="B1977">
        <v>2008</v>
      </c>
      <c r="C1977">
        <v>15</v>
      </c>
      <c r="D1977">
        <v>-11.6</v>
      </c>
      <c r="E1977">
        <v>1.8</v>
      </c>
    </row>
    <row r="1978" spans="1:5" x14ac:dyDescent="0.2">
      <c r="A1978">
        <v>1971</v>
      </c>
      <c r="B1978">
        <v>2008</v>
      </c>
      <c r="C1978">
        <v>15</v>
      </c>
      <c r="D1978">
        <v>-11.5</v>
      </c>
      <c r="E1978">
        <v>1.8</v>
      </c>
    </row>
    <row r="1979" spans="1:5" x14ac:dyDescent="0.2">
      <c r="A1979">
        <v>1972</v>
      </c>
      <c r="B1979">
        <v>2008</v>
      </c>
      <c r="C1979">
        <v>14</v>
      </c>
      <c r="D1979">
        <v>-11.4</v>
      </c>
      <c r="E1979">
        <v>1.8</v>
      </c>
    </row>
    <row r="1980" spans="1:5" x14ac:dyDescent="0.2">
      <c r="A1980">
        <v>1973</v>
      </c>
      <c r="B1980">
        <v>2009</v>
      </c>
      <c r="C1980">
        <v>14</v>
      </c>
      <c r="D1980">
        <v>-11.3</v>
      </c>
      <c r="E1980">
        <v>1.8</v>
      </c>
    </row>
    <row r="1981" spans="1:5" x14ac:dyDescent="0.2">
      <c r="A1981">
        <v>1974</v>
      </c>
      <c r="B1981">
        <v>2009</v>
      </c>
      <c r="C1981">
        <v>14</v>
      </c>
      <c r="D1981">
        <v>-11.3</v>
      </c>
      <c r="E1981">
        <v>1.7</v>
      </c>
    </row>
    <row r="1982" spans="1:5" x14ac:dyDescent="0.2">
      <c r="A1982">
        <v>1975</v>
      </c>
      <c r="B1982">
        <v>2010</v>
      </c>
      <c r="C1982">
        <v>14</v>
      </c>
      <c r="D1982">
        <v>-11.2</v>
      </c>
      <c r="E1982">
        <v>1.7</v>
      </c>
    </row>
    <row r="1983" spans="1:5" x14ac:dyDescent="0.2">
      <c r="A1983">
        <v>1976</v>
      </c>
      <c r="B1983">
        <v>2010</v>
      </c>
      <c r="C1983">
        <v>14</v>
      </c>
      <c r="D1983">
        <v>-11.1</v>
      </c>
      <c r="E1983">
        <v>1.7</v>
      </c>
    </row>
    <row r="1984" spans="1:5" x14ac:dyDescent="0.2">
      <c r="A1984">
        <v>1977</v>
      </c>
      <c r="B1984">
        <v>2010</v>
      </c>
      <c r="C1984">
        <v>14</v>
      </c>
      <c r="D1984">
        <v>-11</v>
      </c>
      <c r="E1984">
        <v>1.7</v>
      </c>
    </row>
    <row r="1985" spans="1:5" x14ac:dyDescent="0.2">
      <c r="A1985">
        <v>1978</v>
      </c>
      <c r="B1985">
        <v>2010</v>
      </c>
      <c r="C1985">
        <v>14</v>
      </c>
      <c r="D1985">
        <v>-10.9</v>
      </c>
      <c r="E1985">
        <v>1.7</v>
      </c>
    </row>
    <row r="1986" spans="1:5" x14ac:dyDescent="0.2">
      <c r="A1986">
        <v>1979</v>
      </c>
      <c r="B1986">
        <v>2010</v>
      </c>
      <c r="C1986">
        <v>14</v>
      </c>
      <c r="D1986">
        <v>-10.8</v>
      </c>
      <c r="E1986">
        <v>1.7</v>
      </c>
    </row>
    <row r="1987" spans="1:5" x14ac:dyDescent="0.2">
      <c r="A1987">
        <v>1980</v>
      </c>
      <c r="B1987">
        <v>2010</v>
      </c>
      <c r="C1987">
        <v>13</v>
      </c>
      <c r="D1987">
        <v>-10.7</v>
      </c>
      <c r="E1987">
        <v>1.7</v>
      </c>
    </row>
    <row r="1988" spans="1:5" x14ac:dyDescent="0.2">
      <c r="A1988">
        <v>1981</v>
      </c>
      <c r="B1988">
        <v>2010</v>
      </c>
      <c r="C1988">
        <v>14</v>
      </c>
      <c r="D1988">
        <v>-10.6</v>
      </c>
      <c r="E1988">
        <v>1.7</v>
      </c>
    </row>
    <row r="1989" spans="1:5" x14ac:dyDescent="0.2">
      <c r="A1989">
        <v>1982</v>
      </c>
      <c r="B1989">
        <v>2011</v>
      </c>
      <c r="C1989">
        <v>13</v>
      </c>
      <c r="D1989">
        <v>-10.6</v>
      </c>
      <c r="E1989">
        <v>1.7</v>
      </c>
    </row>
    <row r="1990" spans="1:5" x14ac:dyDescent="0.2">
      <c r="A1990">
        <v>1983</v>
      </c>
      <c r="B1990">
        <v>2013</v>
      </c>
      <c r="C1990">
        <v>13</v>
      </c>
      <c r="D1990">
        <v>-10.6</v>
      </c>
      <c r="E1990">
        <v>1.6</v>
      </c>
    </row>
    <row r="1991" spans="1:5" x14ac:dyDescent="0.2">
      <c r="A1991">
        <v>1984</v>
      </c>
      <c r="B1991">
        <v>2015</v>
      </c>
      <c r="C1991">
        <v>13</v>
      </c>
      <c r="D1991">
        <v>-10.7</v>
      </c>
      <c r="E1991">
        <v>1.6</v>
      </c>
    </row>
    <row r="1992" spans="1:5" x14ac:dyDescent="0.2">
      <c r="A1992">
        <v>1985</v>
      </c>
      <c r="B1992">
        <v>2017</v>
      </c>
      <c r="C1992">
        <v>13</v>
      </c>
      <c r="D1992">
        <v>-10.9</v>
      </c>
      <c r="E1992">
        <v>1.6</v>
      </c>
    </row>
    <row r="1993" spans="1:5" x14ac:dyDescent="0.2">
      <c r="A1993">
        <v>1986</v>
      </c>
      <c r="B1993">
        <v>2019</v>
      </c>
      <c r="C1993">
        <v>13</v>
      </c>
      <c r="D1993">
        <v>-11.1</v>
      </c>
      <c r="E1993">
        <v>1.6</v>
      </c>
    </row>
    <row r="1994" spans="1:5" x14ac:dyDescent="0.2">
      <c r="A1994">
        <v>1987</v>
      </c>
      <c r="B1994">
        <v>2022</v>
      </c>
      <c r="C1994">
        <v>13</v>
      </c>
      <c r="D1994">
        <v>-11.3</v>
      </c>
      <c r="E1994">
        <v>1.7</v>
      </c>
    </row>
    <row r="1995" spans="1:5" x14ac:dyDescent="0.2">
      <c r="A1995">
        <v>1988</v>
      </c>
      <c r="B1995">
        <v>2025</v>
      </c>
      <c r="C1995">
        <v>14</v>
      </c>
      <c r="D1995">
        <v>-11.6</v>
      </c>
      <c r="E1995">
        <v>1.7</v>
      </c>
    </row>
    <row r="1996" spans="1:5" x14ac:dyDescent="0.2">
      <c r="A1996">
        <v>1989</v>
      </c>
      <c r="B1996">
        <v>2029</v>
      </c>
      <c r="C1996">
        <v>14</v>
      </c>
      <c r="D1996">
        <v>-11.9</v>
      </c>
      <c r="E1996">
        <v>1.7</v>
      </c>
    </row>
    <row r="1997" spans="1:5" x14ac:dyDescent="0.2">
      <c r="A1997">
        <v>1990</v>
      </c>
      <c r="B1997">
        <v>2032</v>
      </c>
      <c r="C1997">
        <v>14</v>
      </c>
      <c r="D1997">
        <v>-12.2</v>
      </c>
      <c r="E1997">
        <v>1.7</v>
      </c>
    </row>
    <row r="1998" spans="1:5" x14ac:dyDescent="0.2">
      <c r="A1998">
        <v>1991</v>
      </c>
      <c r="B1998">
        <v>2036</v>
      </c>
      <c r="C1998">
        <v>14</v>
      </c>
      <c r="D1998">
        <v>-12.5</v>
      </c>
      <c r="E1998">
        <v>1.7</v>
      </c>
    </row>
    <row r="1999" spans="1:5" x14ac:dyDescent="0.2">
      <c r="A1999">
        <v>1992</v>
      </c>
      <c r="B1999">
        <v>2039</v>
      </c>
      <c r="C1999">
        <v>14</v>
      </c>
      <c r="D1999">
        <v>-12.8</v>
      </c>
      <c r="E1999">
        <v>1.7</v>
      </c>
    </row>
    <row r="2000" spans="1:5" x14ac:dyDescent="0.2">
      <c r="A2000">
        <v>1993</v>
      </c>
      <c r="B2000">
        <v>2043</v>
      </c>
      <c r="C2000">
        <v>14</v>
      </c>
      <c r="D2000">
        <v>-13.2</v>
      </c>
      <c r="E2000">
        <v>1.7</v>
      </c>
    </row>
    <row r="2001" spans="1:5" x14ac:dyDescent="0.2">
      <c r="A2001">
        <v>1994</v>
      </c>
      <c r="B2001">
        <v>2047</v>
      </c>
      <c r="C2001">
        <v>14</v>
      </c>
      <c r="D2001">
        <v>-13.5</v>
      </c>
      <c r="E2001">
        <v>1.7</v>
      </c>
    </row>
    <row r="2002" spans="1:5" x14ac:dyDescent="0.2">
      <c r="A2002">
        <v>1995</v>
      </c>
      <c r="B2002">
        <v>2051</v>
      </c>
      <c r="C2002">
        <v>14</v>
      </c>
      <c r="D2002">
        <v>-13.9</v>
      </c>
      <c r="E2002">
        <v>1.7</v>
      </c>
    </row>
    <row r="2003" spans="1:5" x14ac:dyDescent="0.2">
      <c r="A2003">
        <v>1996</v>
      </c>
      <c r="B2003">
        <v>2054</v>
      </c>
      <c r="C2003">
        <v>14</v>
      </c>
      <c r="D2003">
        <v>-14.2</v>
      </c>
      <c r="E2003">
        <v>1.7</v>
      </c>
    </row>
    <row r="2004" spans="1:5" x14ac:dyDescent="0.2">
      <c r="A2004">
        <v>1997</v>
      </c>
      <c r="B2004">
        <v>2058</v>
      </c>
      <c r="C2004">
        <v>14</v>
      </c>
      <c r="D2004">
        <v>-14.5</v>
      </c>
      <c r="E2004">
        <v>1.7</v>
      </c>
    </row>
    <row r="2005" spans="1:5" x14ac:dyDescent="0.2">
      <c r="A2005">
        <v>1998</v>
      </c>
      <c r="B2005">
        <v>2062</v>
      </c>
      <c r="C2005">
        <v>14</v>
      </c>
      <c r="D2005">
        <v>-14.9</v>
      </c>
      <c r="E2005">
        <v>1.7</v>
      </c>
    </row>
    <row r="2006" spans="1:5" x14ac:dyDescent="0.2">
      <c r="A2006">
        <v>1999</v>
      </c>
      <c r="B2006">
        <v>2066</v>
      </c>
      <c r="C2006">
        <v>14</v>
      </c>
      <c r="D2006">
        <v>-15.2</v>
      </c>
      <c r="E2006">
        <v>1.7</v>
      </c>
    </row>
    <row r="2007" spans="1:5" x14ac:dyDescent="0.2">
      <c r="A2007">
        <v>2000</v>
      </c>
      <c r="B2007">
        <v>2070</v>
      </c>
      <c r="C2007">
        <v>14</v>
      </c>
      <c r="D2007">
        <v>-15.6</v>
      </c>
      <c r="E2007">
        <v>1.7</v>
      </c>
    </row>
    <row r="2008" spans="1:5" x14ac:dyDescent="0.2">
      <c r="A2008">
        <v>2001</v>
      </c>
      <c r="B2008">
        <v>2074</v>
      </c>
      <c r="C2008">
        <v>14</v>
      </c>
      <c r="D2008">
        <v>-16</v>
      </c>
      <c r="E2008">
        <v>1.7</v>
      </c>
    </row>
    <row r="2009" spans="1:5" x14ac:dyDescent="0.2">
      <c r="A2009">
        <v>2002</v>
      </c>
      <c r="B2009">
        <v>2078</v>
      </c>
      <c r="C2009">
        <v>14</v>
      </c>
      <c r="D2009">
        <v>-16.3</v>
      </c>
      <c r="E2009">
        <v>1.7</v>
      </c>
    </row>
    <row r="2010" spans="1:5" x14ac:dyDescent="0.2">
      <c r="A2010">
        <v>2003</v>
      </c>
      <c r="B2010">
        <v>2082</v>
      </c>
      <c r="C2010">
        <v>14</v>
      </c>
      <c r="D2010">
        <v>-16.7</v>
      </c>
      <c r="E2010">
        <v>1.7</v>
      </c>
    </row>
    <row r="2011" spans="1:5" x14ac:dyDescent="0.2">
      <c r="A2011">
        <v>2004</v>
      </c>
      <c r="B2011">
        <v>2085</v>
      </c>
      <c r="C2011">
        <v>13</v>
      </c>
      <c r="D2011">
        <v>-17.100000000000001</v>
      </c>
      <c r="E2011">
        <v>1.6</v>
      </c>
    </row>
    <row r="2012" spans="1:5" x14ac:dyDescent="0.2">
      <c r="A2012">
        <v>2005</v>
      </c>
      <c r="B2012">
        <v>2089</v>
      </c>
      <c r="C2012">
        <v>13</v>
      </c>
      <c r="D2012">
        <v>-17.399999999999999</v>
      </c>
      <c r="E2012">
        <v>1.6</v>
      </c>
    </row>
    <row r="2013" spans="1:5" x14ac:dyDescent="0.2">
      <c r="A2013">
        <v>2006</v>
      </c>
      <c r="B2013">
        <v>2092</v>
      </c>
      <c r="C2013">
        <v>14</v>
      </c>
      <c r="D2013">
        <v>-17.7</v>
      </c>
      <c r="E2013">
        <v>1.7</v>
      </c>
    </row>
    <row r="2014" spans="1:5" x14ac:dyDescent="0.2">
      <c r="A2014">
        <v>2007</v>
      </c>
      <c r="B2014">
        <v>2095</v>
      </c>
      <c r="C2014">
        <v>14</v>
      </c>
      <c r="D2014">
        <v>-17.899999999999999</v>
      </c>
      <c r="E2014">
        <v>1.7</v>
      </c>
    </row>
    <row r="2015" spans="1:5" x14ac:dyDescent="0.2">
      <c r="A2015">
        <v>2008</v>
      </c>
      <c r="B2015">
        <v>2098</v>
      </c>
      <c r="C2015">
        <v>14</v>
      </c>
      <c r="D2015">
        <v>-18.100000000000001</v>
      </c>
      <c r="E2015">
        <v>1.7</v>
      </c>
    </row>
    <row r="2016" spans="1:5" x14ac:dyDescent="0.2">
      <c r="A2016">
        <v>2009</v>
      </c>
      <c r="B2016">
        <v>2100</v>
      </c>
      <c r="C2016">
        <v>14</v>
      </c>
      <c r="D2016">
        <v>-18.2</v>
      </c>
      <c r="E2016">
        <v>1.7</v>
      </c>
    </row>
    <row r="2017" spans="1:5" x14ac:dyDescent="0.2">
      <c r="A2017">
        <v>2010</v>
      </c>
      <c r="B2017">
        <v>2101</v>
      </c>
      <c r="C2017">
        <v>14</v>
      </c>
      <c r="D2017">
        <v>-18.2</v>
      </c>
      <c r="E2017">
        <v>1.7</v>
      </c>
    </row>
    <row r="2018" spans="1:5" x14ac:dyDescent="0.2">
      <c r="A2018">
        <v>2011</v>
      </c>
      <c r="B2018">
        <v>2101</v>
      </c>
      <c r="C2018">
        <v>14</v>
      </c>
      <c r="D2018">
        <v>-18.2</v>
      </c>
      <c r="E2018">
        <v>1.7</v>
      </c>
    </row>
    <row r="2019" spans="1:5" x14ac:dyDescent="0.2">
      <c r="A2019">
        <v>2012</v>
      </c>
      <c r="B2019">
        <v>2101</v>
      </c>
      <c r="C2019">
        <v>14</v>
      </c>
      <c r="D2019">
        <v>-18.100000000000001</v>
      </c>
      <c r="E2019">
        <v>1.7</v>
      </c>
    </row>
    <row r="2020" spans="1:5" x14ac:dyDescent="0.2">
      <c r="A2020">
        <v>2013</v>
      </c>
      <c r="B2020">
        <v>2101</v>
      </c>
      <c r="C2020">
        <v>14</v>
      </c>
      <c r="D2020">
        <v>-17.899999999999999</v>
      </c>
      <c r="E2020">
        <v>1.7</v>
      </c>
    </row>
    <row r="2021" spans="1:5" x14ac:dyDescent="0.2">
      <c r="A2021">
        <v>2014</v>
      </c>
      <c r="B2021">
        <v>2100</v>
      </c>
      <c r="C2021">
        <v>14</v>
      </c>
      <c r="D2021">
        <v>-17.7</v>
      </c>
      <c r="E2021">
        <v>1.7</v>
      </c>
    </row>
    <row r="2022" spans="1:5" x14ac:dyDescent="0.2">
      <c r="A2022">
        <v>2015</v>
      </c>
      <c r="B2022">
        <v>2099</v>
      </c>
      <c r="C2022">
        <v>14</v>
      </c>
      <c r="D2022">
        <v>-17.399999999999999</v>
      </c>
      <c r="E2022">
        <v>1.7</v>
      </c>
    </row>
    <row r="2023" spans="1:5" x14ac:dyDescent="0.2">
      <c r="A2023">
        <v>2016</v>
      </c>
      <c r="B2023">
        <v>2098</v>
      </c>
      <c r="C2023">
        <v>14</v>
      </c>
      <c r="D2023">
        <v>-17.2</v>
      </c>
      <c r="E2023">
        <v>1.7</v>
      </c>
    </row>
    <row r="2024" spans="1:5" x14ac:dyDescent="0.2">
      <c r="A2024">
        <v>2017</v>
      </c>
      <c r="B2024">
        <v>2096</v>
      </c>
      <c r="C2024">
        <v>14</v>
      </c>
      <c r="D2024">
        <v>-16.8</v>
      </c>
      <c r="E2024">
        <v>1.7</v>
      </c>
    </row>
    <row r="2025" spans="1:5" x14ac:dyDescent="0.2">
      <c r="A2025">
        <v>2018</v>
      </c>
      <c r="B2025">
        <v>2095</v>
      </c>
      <c r="C2025">
        <v>14</v>
      </c>
      <c r="D2025">
        <v>-16.5</v>
      </c>
      <c r="E2025">
        <v>1.7</v>
      </c>
    </row>
    <row r="2026" spans="1:5" x14ac:dyDescent="0.2">
      <c r="A2026">
        <v>2019</v>
      </c>
      <c r="B2026">
        <v>2093</v>
      </c>
      <c r="C2026">
        <v>14</v>
      </c>
      <c r="D2026">
        <v>-16.2</v>
      </c>
      <c r="E2026">
        <v>1.8</v>
      </c>
    </row>
    <row r="2027" spans="1:5" x14ac:dyDescent="0.2">
      <c r="A2027">
        <v>2020</v>
      </c>
      <c r="B2027">
        <v>2091</v>
      </c>
      <c r="C2027">
        <v>14</v>
      </c>
      <c r="D2027">
        <v>-15.9</v>
      </c>
      <c r="E2027">
        <v>1.8</v>
      </c>
    </row>
    <row r="2028" spans="1:5" x14ac:dyDescent="0.2">
      <c r="A2028">
        <v>2021</v>
      </c>
      <c r="B2028">
        <v>2090</v>
      </c>
      <c r="C2028">
        <v>14</v>
      </c>
      <c r="D2028">
        <v>-15.5</v>
      </c>
      <c r="E2028">
        <v>1.8</v>
      </c>
    </row>
    <row r="2029" spans="1:5" x14ac:dyDescent="0.2">
      <c r="A2029">
        <v>2022</v>
      </c>
      <c r="B2029">
        <v>2088</v>
      </c>
      <c r="C2029">
        <v>14</v>
      </c>
      <c r="D2029">
        <v>-15.2</v>
      </c>
      <c r="E2029">
        <v>1.7</v>
      </c>
    </row>
    <row r="2030" spans="1:5" x14ac:dyDescent="0.2">
      <c r="A2030">
        <v>2023</v>
      </c>
      <c r="B2030">
        <v>2086</v>
      </c>
      <c r="C2030">
        <v>14</v>
      </c>
      <c r="D2030">
        <v>-14.9</v>
      </c>
      <c r="E2030">
        <v>1.7</v>
      </c>
    </row>
    <row r="2031" spans="1:5" x14ac:dyDescent="0.2">
      <c r="A2031">
        <v>2024</v>
      </c>
      <c r="B2031">
        <v>2085</v>
      </c>
      <c r="C2031">
        <v>14</v>
      </c>
      <c r="D2031">
        <v>-14.6</v>
      </c>
      <c r="E2031">
        <v>1.7</v>
      </c>
    </row>
    <row r="2032" spans="1:5" x14ac:dyDescent="0.2">
      <c r="A2032">
        <v>2025</v>
      </c>
      <c r="B2032">
        <v>2083</v>
      </c>
      <c r="C2032">
        <v>14</v>
      </c>
      <c r="D2032">
        <v>-14.3</v>
      </c>
      <c r="E2032">
        <v>1.7</v>
      </c>
    </row>
    <row r="2033" spans="1:5" x14ac:dyDescent="0.2">
      <c r="A2033">
        <v>2026</v>
      </c>
      <c r="B2033">
        <v>2082</v>
      </c>
      <c r="C2033">
        <v>14</v>
      </c>
      <c r="D2033">
        <v>-14</v>
      </c>
      <c r="E2033">
        <v>1.8</v>
      </c>
    </row>
    <row r="2034" spans="1:5" x14ac:dyDescent="0.2">
      <c r="A2034">
        <v>2027</v>
      </c>
      <c r="B2034">
        <v>2081</v>
      </c>
      <c r="C2034">
        <v>14</v>
      </c>
      <c r="D2034">
        <v>-13.7</v>
      </c>
      <c r="E2034">
        <v>1.8</v>
      </c>
    </row>
    <row r="2035" spans="1:5" x14ac:dyDescent="0.2">
      <c r="A2035">
        <v>2028</v>
      </c>
      <c r="B2035">
        <v>2079</v>
      </c>
      <c r="C2035">
        <v>14</v>
      </c>
      <c r="D2035">
        <v>-13.4</v>
      </c>
      <c r="E2035">
        <v>1.7</v>
      </c>
    </row>
    <row r="2036" spans="1:5" x14ac:dyDescent="0.2">
      <c r="A2036">
        <v>2029</v>
      </c>
      <c r="B2036">
        <v>2078</v>
      </c>
      <c r="C2036">
        <v>14</v>
      </c>
      <c r="D2036">
        <v>-13.2</v>
      </c>
      <c r="E2036">
        <v>1.7</v>
      </c>
    </row>
    <row r="2037" spans="1:5" x14ac:dyDescent="0.2">
      <c r="A2037">
        <v>2030</v>
      </c>
      <c r="B2037">
        <v>2077</v>
      </c>
      <c r="C2037">
        <v>14</v>
      </c>
      <c r="D2037">
        <v>-12.9</v>
      </c>
      <c r="E2037">
        <v>1.7</v>
      </c>
    </row>
    <row r="2038" spans="1:5" x14ac:dyDescent="0.2">
      <c r="A2038">
        <v>2031</v>
      </c>
      <c r="B2038">
        <v>2076</v>
      </c>
      <c r="C2038">
        <v>14</v>
      </c>
      <c r="D2038">
        <v>-12.7</v>
      </c>
      <c r="E2038">
        <v>1.7</v>
      </c>
    </row>
    <row r="2039" spans="1:5" x14ac:dyDescent="0.2">
      <c r="A2039">
        <v>2032</v>
      </c>
      <c r="B2039">
        <v>2075</v>
      </c>
      <c r="C2039">
        <v>14</v>
      </c>
      <c r="D2039">
        <v>-12.5</v>
      </c>
      <c r="E2039">
        <v>1.7</v>
      </c>
    </row>
    <row r="2040" spans="1:5" x14ac:dyDescent="0.2">
      <c r="A2040">
        <v>2033</v>
      </c>
      <c r="B2040">
        <v>2075</v>
      </c>
      <c r="C2040">
        <v>14</v>
      </c>
      <c r="D2040">
        <v>-12.3</v>
      </c>
      <c r="E2040">
        <v>1.7</v>
      </c>
    </row>
    <row r="2041" spans="1:5" x14ac:dyDescent="0.2">
      <c r="A2041">
        <v>2034</v>
      </c>
      <c r="B2041">
        <v>2074</v>
      </c>
      <c r="C2041">
        <v>14</v>
      </c>
      <c r="D2041">
        <v>-12.1</v>
      </c>
      <c r="E2041">
        <v>1.7</v>
      </c>
    </row>
    <row r="2042" spans="1:5" x14ac:dyDescent="0.2">
      <c r="A2042">
        <v>2035</v>
      </c>
      <c r="B2042">
        <v>2074</v>
      </c>
      <c r="C2042">
        <v>14</v>
      </c>
      <c r="D2042">
        <v>-12</v>
      </c>
      <c r="E2042">
        <v>1.7</v>
      </c>
    </row>
    <row r="2043" spans="1:5" x14ac:dyDescent="0.2">
      <c r="A2043">
        <v>2036</v>
      </c>
      <c r="B2043">
        <v>2075</v>
      </c>
      <c r="C2043">
        <v>14</v>
      </c>
      <c r="D2043">
        <v>-11.9</v>
      </c>
      <c r="E2043">
        <v>1.7</v>
      </c>
    </row>
    <row r="2044" spans="1:5" x14ac:dyDescent="0.2">
      <c r="A2044">
        <v>2037</v>
      </c>
      <c r="B2044">
        <v>2075</v>
      </c>
      <c r="C2044">
        <v>14</v>
      </c>
      <c r="D2044">
        <v>-11.9</v>
      </c>
      <c r="E2044">
        <v>1.7</v>
      </c>
    </row>
    <row r="2045" spans="1:5" x14ac:dyDescent="0.2">
      <c r="A2045">
        <v>2038</v>
      </c>
      <c r="B2045">
        <v>2077</v>
      </c>
      <c r="C2045">
        <v>14</v>
      </c>
      <c r="D2045">
        <v>-11.9</v>
      </c>
      <c r="E2045">
        <v>1.7</v>
      </c>
    </row>
    <row r="2046" spans="1:5" x14ac:dyDescent="0.2">
      <c r="A2046">
        <v>2039</v>
      </c>
      <c r="B2046">
        <v>2078</v>
      </c>
      <c r="C2046">
        <v>14</v>
      </c>
      <c r="D2046">
        <v>-12</v>
      </c>
      <c r="E2046">
        <v>1.8</v>
      </c>
    </row>
    <row r="2047" spans="1:5" x14ac:dyDescent="0.2">
      <c r="A2047">
        <v>2040</v>
      </c>
      <c r="B2047">
        <v>2080</v>
      </c>
      <c r="C2047">
        <v>14</v>
      </c>
      <c r="D2047">
        <v>-12</v>
      </c>
      <c r="E2047">
        <v>1.7</v>
      </c>
    </row>
    <row r="2048" spans="1:5" x14ac:dyDescent="0.2">
      <c r="A2048">
        <v>2041</v>
      </c>
      <c r="B2048">
        <v>2082</v>
      </c>
      <c r="C2048">
        <v>14</v>
      </c>
      <c r="D2048">
        <v>-12.2</v>
      </c>
      <c r="E2048">
        <v>1.7</v>
      </c>
    </row>
    <row r="2049" spans="1:5" x14ac:dyDescent="0.2">
      <c r="A2049">
        <v>2042</v>
      </c>
      <c r="B2049">
        <v>2084</v>
      </c>
      <c r="C2049">
        <v>14</v>
      </c>
      <c r="D2049">
        <v>-12.3</v>
      </c>
      <c r="E2049">
        <v>1.7</v>
      </c>
    </row>
    <row r="2050" spans="1:5" x14ac:dyDescent="0.2">
      <c r="A2050">
        <v>2043</v>
      </c>
      <c r="B2050">
        <v>2086</v>
      </c>
      <c r="C2050">
        <v>14</v>
      </c>
      <c r="D2050">
        <v>-12.5</v>
      </c>
      <c r="E2050">
        <v>1.7</v>
      </c>
    </row>
    <row r="2051" spans="1:5" x14ac:dyDescent="0.2">
      <c r="A2051">
        <v>2044</v>
      </c>
      <c r="B2051">
        <v>2088</v>
      </c>
      <c r="C2051">
        <v>14</v>
      </c>
      <c r="D2051">
        <v>-12.7</v>
      </c>
      <c r="E2051">
        <v>1.7</v>
      </c>
    </row>
    <row r="2052" spans="1:5" x14ac:dyDescent="0.2">
      <c r="A2052">
        <v>2045</v>
      </c>
      <c r="B2052">
        <v>2090</v>
      </c>
      <c r="C2052">
        <v>14</v>
      </c>
      <c r="D2052">
        <v>-12.8</v>
      </c>
      <c r="E2052">
        <v>1.7</v>
      </c>
    </row>
    <row r="2053" spans="1:5" x14ac:dyDescent="0.2">
      <c r="A2053">
        <v>2046</v>
      </c>
      <c r="B2053">
        <v>2092</v>
      </c>
      <c r="C2053">
        <v>14</v>
      </c>
      <c r="D2053">
        <v>-12.9</v>
      </c>
      <c r="E2053">
        <v>1.7</v>
      </c>
    </row>
    <row r="2054" spans="1:5" x14ac:dyDescent="0.2">
      <c r="A2054">
        <v>2047</v>
      </c>
      <c r="B2054">
        <v>2094</v>
      </c>
      <c r="C2054">
        <v>14</v>
      </c>
      <c r="D2054">
        <v>-13</v>
      </c>
      <c r="E2054">
        <v>1.7</v>
      </c>
    </row>
    <row r="2055" spans="1:5" x14ac:dyDescent="0.2">
      <c r="A2055">
        <v>2048</v>
      </c>
      <c r="B2055">
        <v>2095</v>
      </c>
      <c r="C2055">
        <v>14</v>
      </c>
      <c r="D2055">
        <v>-13</v>
      </c>
      <c r="E2055">
        <v>1.7</v>
      </c>
    </row>
    <row r="2056" spans="1:5" x14ac:dyDescent="0.2">
      <c r="A2056">
        <v>2049</v>
      </c>
      <c r="B2056">
        <v>2097</v>
      </c>
      <c r="C2056">
        <v>14</v>
      </c>
      <c r="D2056">
        <v>-13.1</v>
      </c>
      <c r="E2056">
        <v>1.7</v>
      </c>
    </row>
    <row r="2057" spans="1:5" x14ac:dyDescent="0.2">
      <c r="A2057">
        <v>2050</v>
      </c>
      <c r="B2057">
        <v>2098</v>
      </c>
      <c r="C2057">
        <v>14</v>
      </c>
      <c r="D2057">
        <v>-13.1</v>
      </c>
      <c r="E2057">
        <v>1.7</v>
      </c>
    </row>
    <row r="2058" spans="1:5" x14ac:dyDescent="0.2">
      <c r="A2058">
        <v>2051</v>
      </c>
      <c r="B2058">
        <v>2099</v>
      </c>
      <c r="C2058">
        <v>14</v>
      </c>
      <c r="D2058">
        <v>-13.1</v>
      </c>
      <c r="E2058">
        <v>1.7</v>
      </c>
    </row>
    <row r="2059" spans="1:5" x14ac:dyDescent="0.2">
      <c r="A2059">
        <v>2052</v>
      </c>
      <c r="B2059">
        <v>2100</v>
      </c>
      <c r="C2059">
        <v>14</v>
      </c>
      <c r="D2059">
        <v>-13.2</v>
      </c>
      <c r="E2059">
        <v>1.7</v>
      </c>
    </row>
    <row r="2060" spans="1:5" x14ac:dyDescent="0.2">
      <c r="A2060">
        <v>2053</v>
      </c>
      <c r="B2060">
        <v>2102</v>
      </c>
      <c r="C2060">
        <v>14</v>
      </c>
      <c r="D2060">
        <v>-13.2</v>
      </c>
      <c r="E2060">
        <v>1.7</v>
      </c>
    </row>
    <row r="2061" spans="1:5" x14ac:dyDescent="0.2">
      <c r="A2061">
        <v>2054</v>
      </c>
      <c r="B2061">
        <v>2103</v>
      </c>
      <c r="C2061">
        <v>14</v>
      </c>
      <c r="D2061">
        <v>-13.2</v>
      </c>
      <c r="E2061">
        <v>1.7</v>
      </c>
    </row>
    <row r="2062" spans="1:5" x14ac:dyDescent="0.2">
      <c r="A2062">
        <v>2055</v>
      </c>
      <c r="B2062">
        <v>2104</v>
      </c>
      <c r="C2062">
        <v>14</v>
      </c>
      <c r="D2062">
        <v>-13.2</v>
      </c>
      <c r="E2062">
        <v>1.7</v>
      </c>
    </row>
    <row r="2063" spans="1:5" x14ac:dyDescent="0.2">
      <c r="A2063">
        <v>2056</v>
      </c>
      <c r="B2063">
        <v>2105</v>
      </c>
      <c r="C2063">
        <v>14</v>
      </c>
      <c r="D2063">
        <v>-13.2</v>
      </c>
      <c r="E2063">
        <v>1.7</v>
      </c>
    </row>
    <row r="2064" spans="1:5" x14ac:dyDescent="0.2">
      <c r="A2064">
        <v>2057</v>
      </c>
      <c r="B2064">
        <v>2106</v>
      </c>
      <c r="C2064">
        <v>14</v>
      </c>
      <c r="D2064">
        <v>-13.2</v>
      </c>
      <c r="E2064">
        <v>1.7</v>
      </c>
    </row>
    <row r="2065" spans="1:5" x14ac:dyDescent="0.2">
      <c r="A2065">
        <v>2058</v>
      </c>
      <c r="B2065">
        <v>2107</v>
      </c>
      <c r="C2065">
        <v>14</v>
      </c>
      <c r="D2065">
        <v>-13.2</v>
      </c>
      <c r="E2065">
        <v>1.7</v>
      </c>
    </row>
    <row r="2066" spans="1:5" x14ac:dyDescent="0.2">
      <c r="A2066">
        <v>2059</v>
      </c>
      <c r="B2066">
        <v>2107</v>
      </c>
      <c r="C2066">
        <v>14</v>
      </c>
      <c r="D2066">
        <v>-13.2</v>
      </c>
      <c r="E2066">
        <v>1.7</v>
      </c>
    </row>
    <row r="2067" spans="1:5" x14ac:dyDescent="0.2">
      <c r="A2067">
        <v>2060</v>
      </c>
      <c r="B2067">
        <v>2108</v>
      </c>
      <c r="C2067">
        <v>14</v>
      </c>
      <c r="D2067">
        <v>-13.1</v>
      </c>
      <c r="E2067">
        <v>1.7</v>
      </c>
    </row>
    <row r="2068" spans="1:5" x14ac:dyDescent="0.2">
      <c r="A2068">
        <v>2061</v>
      </c>
      <c r="B2068">
        <v>2108</v>
      </c>
      <c r="C2068">
        <v>14</v>
      </c>
      <c r="D2068">
        <v>-13</v>
      </c>
      <c r="E2068">
        <v>1.7</v>
      </c>
    </row>
    <row r="2069" spans="1:5" x14ac:dyDescent="0.2">
      <c r="A2069">
        <v>2062</v>
      </c>
      <c r="B2069">
        <v>2109</v>
      </c>
      <c r="C2069">
        <v>14</v>
      </c>
      <c r="D2069">
        <v>-13</v>
      </c>
      <c r="E2069">
        <v>1.7</v>
      </c>
    </row>
    <row r="2070" spans="1:5" x14ac:dyDescent="0.2">
      <c r="A2070">
        <v>2063</v>
      </c>
      <c r="B2070">
        <v>2109</v>
      </c>
      <c r="C2070">
        <v>14</v>
      </c>
      <c r="D2070">
        <v>-12.9</v>
      </c>
      <c r="E2070">
        <v>1.7</v>
      </c>
    </row>
    <row r="2071" spans="1:5" x14ac:dyDescent="0.2">
      <c r="A2071">
        <v>2064</v>
      </c>
      <c r="B2071">
        <v>2109</v>
      </c>
      <c r="C2071">
        <v>14</v>
      </c>
      <c r="D2071">
        <v>-12.8</v>
      </c>
      <c r="E2071">
        <v>1.7</v>
      </c>
    </row>
    <row r="2072" spans="1:5" x14ac:dyDescent="0.2">
      <c r="A2072">
        <v>2065</v>
      </c>
      <c r="B2072">
        <v>2110</v>
      </c>
      <c r="C2072">
        <v>14</v>
      </c>
      <c r="D2072">
        <v>-12.8</v>
      </c>
      <c r="E2072">
        <v>1.7</v>
      </c>
    </row>
    <row r="2073" spans="1:5" x14ac:dyDescent="0.2">
      <c r="A2073">
        <v>2066</v>
      </c>
      <c r="B2073">
        <v>2110</v>
      </c>
      <c r="C2073">
        <v>14</v>
      </c>
      <c r="D2073">
        <v>-12.7</v>
      </c>
      <c r="E2073">
        <v>1.7</v>
      </c>
    </row>
    <row r="2074" spans="1:5" x14ac:dyDescent="0.2">
      <c r="A2074">
        <v>2067</v>
      </c>
      <c r="B2074">
        <v>2111</v>
      </c>
      <c r="C2074">
        <v>14</v>
      </c>
      <c r="D2074">
        <v>-12.6</v>
      </c>
      <c r="E2074">
        <v>1.7</v>
      </c>
    </row>
    <row r="2075" spans="1:5" x14ac:dyDescent="0.2">
      <c r="A2075">
        <v>2068</v>
      </c>
      <c r="B2075">
        <v>2111</v>
      </c>
      <c r="C2075">
        <v>14</v>
      </c>
      <c r="D2075">
        <v>-12.6</v>
      </c>
      <c r="E2075">
        <v>1.7</v>
      </c>
    </row>
    <row r="2076" spans="1:5" x14ac:dyDescent="0.2">
      <c r="A2076">
        <v>2069</v>
      </c>
      <c r="B2076">
        <v>2112</v>
      </c>
      <c r="C2076">
        <v>14</v>
      </c>
      <c r="D2076">
        <v>-12.5</v>
      </c>
      <c r="E2076">
        <v>1.8</v>
      </c>
    </row>
    <row r="2077" spans="1:5" x14ac:dyDescent="0.2">
      <c r="A2077">
        <v>2070</v>
      </c>
      <c r="B2077">
        <v>2112</v>
      </c>
      <c r="C2077">
        <v>14</v>
      </c>
      <c r="D2077">
        <v>-12.5</v>
      </c>
      <c r="E2077">
        <v>1.8</v>
      </c>
    </row>
    <row r="2078" spans="1:5" x14ac:dyDescent="0.2">
      <c r="A2078">
        <v>2071</v>
      </c>
      <c r="B2078">
        <v>2113</v>
      </c>
      <c r="C2078">
        <v>14</v>
      </c>
      <c r="D2078">
        <v>-12.4</v>
      </c>
      <c r="E2078">
        <v>1.7</v>
      </c>
    </row>
    <row r="2079" spans="1:5" x14ac:dyDescent="0.2">
      <c r="A2079">
        <v>2072</v>
      </c>
      <c r="B2079">
        <v>2114</v>
      </c>
      <c r="C2079">
        <v>14</v>
      </c>
      <c r="D2079">
        <v>-12.4</v>
      </c>
      <c r="E2079">
        <v>1.7</v>
      </c>
    </row>
    <row r="2080" spans="1:5" x14ac:dyDescent="0.2">
      <c r="A2080">
        <v>2073</v>
      </c>
      <c r="B2080">
        <v>2114</v>
      </c>
      <c r="C2080">
        <v>14</v>
      </c>
      <c r="D2080">
        <v>-12.3</v>
      </c>
      <c r="E2080">
        <v>1.7</v>
      </c>
    </row>
    <row r="2081" spans="1:5" x14ac:dyDescent="0.2">
      <c r="A2081">
        <v>2074</v>
      </c>
      <c r="B2081">
        <v>2115</v>
      </c>
      <c r="C2081">
        <v>14</v>
      </c>
      <c r="D2081">
        <v>-12.3</v>
      </c>
      <c r="E2081">
        <v>1.7</v>
      </c>
    </row>
    <row r="2082" spans="1:5" x14ac:dyDescent="0.2">
      <c r="A2082">
        <v>2075</v>
      </c>
      <c r="B2082">
        <v>2115</v>
      </c>
      <c r="C2082">
        <v>14</v>
      </c>
      <c r="D2082">
        <v>-12.2</v>
      </c>
      <c r="E2082">
        <v>1.7</v>
      </c>
    </row>
    <row r="2083" spans="1:5" x14ac:dyDescent="0.2">
      <c r="A2083">
        <v>2076</v>
      </c>
      <c r="B2083">
        <v>2115</v>
      </c>
      <c r="C2083">
        <v>14</v>
      </c>
      <c r="D2083">
        <v>-12.1</v>
      </c>
      <c r="E2083">
        <v>1.8</v>
      </c>
    </row>
    <row r="2084" spans="1:5" x14ac:dyDescent="0.2">
      <c r="A2084">
        <v>2077</v>
      </c>
      <c r="B2084">
        <v>2114</v>
      </c>
      <c r="C2084">
        <v>14</v>
      </c>
      <c r="D2084">
        <v>-11.9</v>
      </c>
      <c r="E2084">
        <v>1.8</v>
      </c>
    </row>
    <row r="2085" spans="1:5" x14ac:dyDescent="0.2">
      <c r="A2085">
        <v>2078</v>
      </c>
      <c r="B2085">
        <v>2114</v>
      </c>
      <c r="C2085">
        <v>14</v>
      </c>
      <c r="D2085">
        <v>-11.7</v>
      </c>
      <c r="E2085">
        <v>1.8</v>
      </c>
    </row>
    <row r="2086" spans="1:5" x14ac:dyDescent="0.2">
      <c r="A2086">
        <v>2079</v>
      </c>
      <c r="B2086">
        <v>2113</v>
      </c>
      <c r="C2086">
        <v>14</v>
      </c>
      <c r="D2086">
        <v>-11.5</v>
      </c>
      <c r="E2086">
        <v>1.7</v>
      </c>
    </row>
    <row r="2087" spans="1:5" x14ac:dyDescent="0.2">
      <c r="A2087">
        <v>2080</v>
      </c>
      <c r="B2087">
        <v>2112</v>
      </c>
      <c r="C2087">
        <v>14</v>
      </c>
      <c r="D2087">
        <v>-11.3</v>
      </c>
      <c r="E2087">
        <v>1.8</v>
      </c>
    </row>
    <row r="2088" spans="1:5" x14ac:dyDescent="0.2">
      <c r="A2088">
        <v>2081</v>
      </c>
      <c r="B2088">
        <v>2111</v>
      </c>
      <c r="C2088">
        <v>14</v>
      </c>
      <c r="D2088">
        <v>-11</v>
      </c>
      <c r="E2088">
        <v>1.8</v>
      </c>
    </row>
    <row r="2089" spans="1:5" x14ac:dyDescent="0.2">
      <c r="A2089">
        <v>2082</v>
      </c>
      <c r="B2089">
        <v>2110</v>
      </c>
      <c r="C2089">
        <v>14</v>
      </c>
      <c r="D2089">
        <v>-10.8</v>
      </c>
      <c r="E2089">
        <v>1.8</v>
      </c>
    </row>
    <row r="2090" spans="1:5" x14ac:dyDescent="0.2">
      <c r="A2090">
        <v>2083</v>
      </c>
      <c r="B2090">
        <v>2109</v>
      </c>
      <c r="C2090">
        <v>14</v>
      </c>
      <c r="D2090">
        <v>-10.6</v>
      </c>
      <c r="E2090">
        <v>1.8</v>
      </c>
    </row>
    <row r="2091" spans="1:5" x14ac:dyDescent="0.2">
      <c r="A2091">
        <v>2084</v>
      </c>
      <c r="B2091">
        <v>2109</v>
      </c>
      <c r="C2091">
        <v>14</v>
      </c>
      <c r="D2091">
        <v>-10.4</v>
      </c>
      <c r="E2091">
        <v>1.8</v>
      </c>
    </row>
    <row r="2092" spans="1:5" x14ac:dyDescent="0.2">
      <c r="A2092">
        <v>2085</v>
      </c>
      <c r="B2092">
        <v>2108</v>
      </c>
      <c r="C2092">
        <v>14</v>
      </c>
      <c r="D2092">
        <v>-10.199999999999999</v>
      </c>
      <c r="E2092">
        <v>1.8</v>
      </c>
    </row>
    <row r="2093" spans="1:5" x14ac:dyDescent="0.2">
      <c r="A2093">
        <v>2086</v>
      </c>
      <c r="B2093">
        <v>2107</v>
      </c>
      <c r="C2093">
        <v>14</v>
      </c>
      <c r="D2093">
        <v>-10</v>
      </c>
      <c r="E2093">
        <v>1.8</v>
      </c>
    </row>
    <row r="2094" spans="1:5" x14ac:dyDescent="0.2">
      <c r="A2094">
        <v>2087</v>
      </c>
      <c r="B2094">
        <v>2107</v>
      </c>
      <c r="C2094">
        <v>15</v>
      </c>
      <c r="D2094">
        <v>-9.8000000000000007</v>
      </c>
      <c r="E2094">
        <v>1.8</v>
      </c>
    </row>
    <row r="2095" spans="1:5" x14ac:dyDescent="0.2">
      <c r="A2095">
        <v>2088</v>
      </c>
      <c r="B2095">
        <v>2106</v>
      </c>
      <c r="C2095">
        <v>15</v>
      </c>
      <c r="D2095">
        <v>-9.5</v>
      </c>
      <c r="E2095">
        <v>1.8</v>
      </c>
    </row>
    <row r="2096" spans="1:5" x14ac:dyDescent="0.2">
      <c r="A2096">
        <v>2089</v>
      </c>
      <c r="B2096">
        <v>2105</v>
      </c>
      <c r="C2096">
        <v>15</v>
      </c>
      <c r="D2096">
        <v>-9.3000000000000007</v>
      </c>
      <c r="E2096">
        <v>1.8</v>
      </c>
    </row>
    <row r="2097" spans="1:5" x14ac:dyDescent="0.2">
      <c r="A2097">
        <v>2090</v>
      </c>
      <c r="B2097">
        <v>2105</v>
      </c>
      <c r="C2097">
        <v>15</v>
      </c>
      <c r="D2097">
        <v>-9.1</v>
      </c>
      <c r="E2097">
        <v>1.8</v>
      </c>
    </row>
    <row r="2098" spans="1:5" x14ac:dyDescent="0.2">
      <c r="A2098">
        <v>2091</v>
      </c>
      <c r="B2098">
        <v>2104</v>
      </c>
      <c r="C2098">
        <v>15</v>
      </c>
      <c r="D2098">
        <v>-8.9</v>
      </c>
      <c r="E2098">
        <v>1.8</v>
      </c>
    </row>
    <row r="2099" spans="1:5" x14ac:dyDescent="0.2">
      <c r="A2099">
        <v>2092</v>
      </c>
      <c r="B2099">
        <v>2104</v>
      </c>
      <c r="C2099">
        <v>15</v>
      </c>
      <c r="D2099">
        <v>-8.8000000000000007</v>
      </c>
      <c r="E2099">
        <v>1.8</v>
      </c>
    </row>
    <row r="2100" spans="1:5" x14ac:dyDescent="0.2">
      <c r="A2100">
        <v>2093</v>
      </c>
      <c r="B2100">
        <v>2103</v>
      </c>
      <c r="C2100">
        <v>15</v>
      </c>
      <c r="D2100">
        <v>-8.6</v>
      </c>
      <c r="E2100">
        <v>1.8</v>
      </c>
    </row>
    <row r="2101" spans="1:5" x14ac:dyDescent="0.2">
      <c r="A2101">
        <v>2094</v>
      </c>
      <c r="B2101">
        <v>2104</v>
      </c>
      <c r="C2101">
        <v>15</v>
      </c>
      <c r="D2101">
        <v>-8.6</v>
      </c>
      <c r="E2101">
        <v>1.8</v>
      </c>
    </row>
    <row r="2102" spans="1:5" x14ac:dyDescent="0.2">
      <c r="A2102">
        <v>2095</v>
      </c>
      <c r="B2102">
        <v>2105</v>
      </c>
      <c r="C2102">
        <v>15</v>
      </c>
      <c r="D2102">
        <v>-8.5</v>
      </c>
      <c r="E2102">
        <v>1.8</v>
      </c>
    </row>
    <row r="2103" spans="1:5" x14ac:dyDescent="0.2">
      <c r="A2103">
        <v>2096</v>
      </c>
      <c r="B2103">
        <v>2106</v>
      </c>
      <c r="C2103">
        <v>15</v>
      </c>
      <c r="D2103">
        <v>-8.6</v>
      </c>
      <c r="E2103">
        <v>1.8</v>
      </c>
    </row>
    <row r="2104" spans="1:5" x14ac:dyDescent="0.2">
      <c r="A2104">
        <v>2097</v>
      </c>
      <c r="B2104">
        <v>2107</v>
      </c>
      <c r="C2104">
        <v>15</v>
      </c>
      <c r="D2104">
        <v>-8.6</v>
      </c>
      <c r="E2104">
        <v>1.8</v>
      </c>
    </row>
    <row r="2105" spans="1:5" x14ac:dyDescent="0.2">
      <c r="A2105">
        <v>2098</v>
      </c>
      <c r="B2105">
        <v>2109</v>
      </c>
      <c r="C2105">
        <v>15</v>
      </c>
      <c r="D2105">
        <v>-8.8000000000000007</v>
      </c>
      <c r="E2105">
        <v>1.8</v>
      </c>
    </row>
    <row r="2106" spans="1:5" x14ac:dyDescent="0.2">
      <c r="A2106">
        <v>2099</v>
      </c>
      <c r="B2106">
        <v>2111</v>
      </c>
      <c r="C2106">
        <v>15</v>
      </c>
      <c r="D2106">
        <v>-8.9</v>
      </c>
      <c r="E2106">
        <v>1.8</v>
      </c>
    </row>
    <row r="2107" spans="1:5" x14ac:dyDescent="0.2">
      <c r="A2107">
        <v>2100</v>
      </c>
      <c r="B2107">
        <v>2113</v>
      </c>
      <c r="C2107">
        <v>15</v>
      </c>
      <c r="D2107">
        <v>-9</v>
      </c>
      <c r="E2107">
        <v>1.9</v>
      </c>
    </row>
    <row r="2108" spans="1:5" x14ac:dyDescent="0.2">
      <c r="A2108">
        <v>2101</v>
      </c>
      <c r="B2108">
        <v>2115</v>
      </c>
      <c r="C2108">
        <v>15</v>
      </c>
      <c r="D2108">
        <v>-9.1</v>
      </c>
      <c r="E2108">
        <v>1.9</v>
      </c>
    </row>
    <row r="2109" spans="1:5" x14ac:dyDescent="0.2">
      <c r="A2109">
        <v>2102</v>
      </c>
      <c r="B2109">
        <v>2116</v>
      </c>
      <c r="C2109">
        <v>16</v>
      </c>
      <c r="D2109">
        <v>-9.1</v>
      </c>
      <c r="E2109">
        <v>1.9</v>
      </c>
    </row>
    <row r="2110" spans="1:5" x14ac:dyDescent="0.2">
      <c r="A2110">
        <v>2103</v>
      </c>
      <c r="B2110">
        <v>2117</v>
      </c>
      <c r="C2110">
        <v>16</v>
      </c>
      <c r="D2110">
        <v>-9.1</v>
      </c>
      <c r="E2110">
        <v>1.9</v>
      </c>
    </row>
    <row r="2111" spans="1:5" x14ac:dyDescent="0.2">
      <c r="A2111">
        <v>2104</v>
      </c>
      <c r="B2111">
        <v>2118</v>
      </c>
      <c r="C2111">
        <v>16</v>
      </c>
      <c r="D2111">
        <v>-9.1</v>
      </c>
      <c r="E2111">
        <v>1.9</v>
      </c>
    </row>
    <row r="2112" spans="1:5" x14ac:dyDescent="0.2">
      <c r="A2112">
        <v>2105</v>
      </c>
      <c r="B2112">
        <v>2119</v>
      </c>
      <c r="C2112">
        <v>15</v>
      </c>
      <c r="D2112">
        <v>-9.1</v>
      </c>
      <c r="E2112">
        <v>1.9</v>
      </c>
    </row>
    <row r="2113" spans="1:5" x14ac:dyDescent="0.2">
      <c r="A2113">
        <v>2106</v>
      </c>
      <c r="B2113">
        <v>2119</v>
      </c>
      <c r="C2113">
        <v>15</v>
      </c>
      <c r="D2113">
        <v>-9</v>
      </c>
      <c r="E2113">
        <v>1.9</v>
      </c>
    </row>
    <row r="2114" spans="1:5" x14ac:dyDescent="0.2">
      <c r="A2114">
        <v>2107</v>
      </c>
      <c r="B2114">
        <v>2120</v>
      </c>
      <c r="C2114">
        <v>15</v>
      </c>
      <c r="D2114">
        <v>-8.9</v>
      </c>
      <c r="E2114">
        <v>1.8</v>
      </c>
    </row>
    <row r="2115" spans="1:5" x14ac:dyDescent="0.2">
      <c r="A2115">
        <v>2108</v>
      </c>
      <c r="B2115">
        <v>2120</v>
      </c>
      <c r="C2115">
        <v>15</v>
      </c>
      <c r="D2115">
        <v>-8.9</v>
      </c>
      <c r="E2115">
        <v>1.9</v>
      </c>
    </row>
    <row r="2116" spans="1:5" x14ac:dyDescent="0.2">
      <c r="A2116">
        <v>2109</v>
      </c>
      <c r="B2116">
        <v>2120</v>
      </c>
      <c r="C2116">
        <v>15</v>
      </c>
      <c r="D2116">
        <v>-8.8000000000000007</v>
      </c>
      <c r="E2116">
        <v>1.9</v>
      </c>
    </row>
    <row r="2117" spans="1:5" x14ac:dyDescent="0.2">
      <c r="A2117">
        <v>2110</v>
      </c>
      <c r="B2117">
        <v>2121</v>
      </c>
      <c r="C2117">
        <v>15</v>
      </c>
      <c r="D2117">
        <v>-8.8000000000000007</v>
      </c>
      <c r="E2117">
        <v>1.9</v>
      </c>
    </row>
    <row r="2118" spans="1:5" x14ac:dyDescent="0.2">
      <c r="A2118">
        <v>2111</v>
      </c>
      <c r="B2118">
        <v>2122</v>
      </c>
      <c r="C2118">
        <v>15</v>
      </c>
      <c r="D2118">
        <v>-8.6999999999999993</v>
      </c>
      <c r="E2118">
        <v>1.8</v>
      </c>
    </row>
    <row r="2119" spans="1:5" x14ac:dyDescent="0.2">
      <c r="A2119">
        <v>2112</v>
      </c>
      <c r="B2119">
        <v>2123</v>
      </c>
      <c r="C2119">
        <v>15</v>
      </c>
      <c r="D2119">
        <v>-8.6999999999999993</v>
      </c>
      <c r="E2119">
        <v>1.8</v>
      </c>
    </row>
    <row r="2120" spans="1:5" x14ac:dyDescent="0.2">
      <c r="A2120">
        <v>2113</v>
      </c>
      <c r="B2120">
        <v>2124</v>
      </c>
      <c r="C2120">
        <v>14</v>
      </c>
      <c r="D2120">
        <v>-8.6999999999999993</v>
      </c>
      <c r="E2120">
        <v>1.8</v>
      </c>
    </row>
    <row r="2121" spans="1:5" x14ac:dyDescent="0.2">
      <c r="A2121">
        <v>2114</v>
      </c>
      <c r="B2121">
        <v>2125</v>
      </c>
      <c r="C2121">
        <v>14</v>
      </c>
      <c r="D2121">
        <v>-8.8000000000000007</v>
      </c>
      <c r="E2121">
        <v>1.7</v>
      </c>
    </row>
    <row r="2122" spans="1:5" x14ac:dyDescent="0.2">
      <c r="A2122">
        <v>2115</v>
      </c>
      <c r="B2122">
        <v>2127</v>
      </c>
      <c r="C2122">
        <v>14</v>
      </c>
      <c r="D2122">
        <v>-8.9</v>
      </c>
      <c r="E2122">
        <v>1.7</v>
      </c>
    </row>
    <row r="2123" spans="1:5" x14ac:dyDescent="0.2">
      <c r="A2123">
        <v>2116</v>
      </c>
      <c r="B2123">
        <v>2129</v>
      </c>
      <c r="C2123">
        <v>14</v>
      </c>
      <c r="D2123">
        <v>-9</v>
      </c>
      <c r="E2123">
        <v>1.7</v>
      </c>
    </row>
    <row r="2124" spans="1:5" x14ac:dyDescent="0.2">
      <c r="A2124">
        <v>2117</v>
      </c>
      <c r="B2124">
        <v>2131</v>
      </c>
      <c r="C2124">
        <v>14</v>
      </c>
      <c r="D2124">
        <v>-9.1</v>
      </c>
      <c r="E2124">
        <v>1.8</v>
      </c>
    </row>
    <row r="2125" spans="1:5" x14ac:dyDescent="0.2">
      <c r="A2125">
        <v>2118</v>
      </c>
      <c r="B2125">
        <v>2133</v>
      </c>
      <c r="C2125">
        <v>15</v>
      </c>
      <c r="D2125">
        <v>-9.3000000000000007</v>
      </c>
      <c r="E2125">
        <v>1.8</v>
      </c>
    </row>
    <row r="2126" spans="1:5" x14ac:dyDescent="0.2">
      <c r="A2126">
        <v>2119</v>
      </c>
      <c r="B2126">
        <v>2136</v>
      </c>
      <c r="C2126">
        <v>15</v>
      </c>
      <c r="D2126">
        <v>-9.5</v>
      </c>
      <c r="E2126">
        <v>1.8</v>
      </c>
    </row>
    <row r="2127" spans="1:5" x14ac:dyDescent="0.2">
      <c r="A2127">
        <v>2120</v>
      </c>
      <c r="B2127">
        <v>2139</v>
      </c>
      <c r="C2127">
        <v>15</v>
      </c>
      <c r="D2127">
        <v>-9.8000000000000007</v>
      </c>
      <c r="E2127">
        <v>1.9</v>
      </c>
    </row>
    <row r="2128" spans="1:5" x14ac:dyDescent="0.2">
      <c r="A2128">
        <v>2121</v>
      </c>
      <c r="B2128">
        <v>2142</v>
      </c>
      <c r="C2128">
        <v>15</v>
      </c>
      <c r="D2128">
        <v>-10</v>
      </c>
      <c r="E2128">
        <v>1.9</v>
      </c>
    </row>
    <row r="2129" spans="1:5" x14ac:dyDescent="0.2">
      <c r="A2129">
        <v>2122</v>
      </c>
      <c r="B2129">
        <v>2145</v>
      </c>
      <c r="C2129">
        <v>15</v>
      </c>
      <c r="D2129">
        <v>-10.3</v>
      </c>
      <c r="E2129">
        <v>1.9</v>
      </c>
    </row>
    <row r="2130" spans="1:5" x14ac:dyDescent="0.2">
      <c r="A2130">
        <v>2123</v>
      </c>
      <c r="B2130">
        <v>2149</v>
      </c>
      <c r="C2130">
        <v>15</v>
      </c>
      <c r="D2130">
        <v>-10.6</v>
      </c>
      <c r="E2130">
        <v>1.8</v>
      </c>
    </row>
    <row r="2131" spans="1:5" x14ac:dyDescent="0.2">
      <c r="A2131">
        <v>2124</v>
      </c>
      <c r="B2131">
        <v>2152</v>
      </c>
      <c r="C2131">
        <v>15</v>
      </c>
      <c r="D2131">
        <v>-10.9</v>
      </c>
      <c r="E2131">
        <v>1.8</v>
      </c>
    </row>
    <row r="2132" spans="1:5" x14ac:dyDescent="0.2">
      <c r="A2132">
        <v>2125</v>
      </c>
      <c r="B2132">
        <v>2155</v>
      </c>
      <c r="C2132">
        <v>15</v>
      </c>
      <c r="D2132">
        <v>-11.2</v>
      </c>
      <c r="E2132">
        <v>1.8</v>
      </c>
    </row>
    <row r="2133" spans="1:5" x14ac:dyDescent="0.2">
      <c r="A2133">
        <v>2126</v>
      </c>
      <c r="B2133">
        <v>2158</v>
      </c>
      <c r="C2133">
        <v>15</v>
      </c>
      <c r="D2133">
        <v>-11.4</v>
      </c>
      <c r="E2133">
        <v>1.9</v>
      </c>
    </row>
    <row r="2134" spans="1:5" x14ac:dyDescent="0.2">
      <c r="A2134">
        <v>2127</v>
      </c>
      <c r="B2134">
        <v>2160</v>
      </c>
      <c r="C2134">
        <v>15</v>
      </c>
      <c r="D2134">
        <v>-11.6</v>
      </c>
      <c r="E2134">
        <v>1.9</v>
      </c>
    </row>
    <row r="2135" spans="1:5" x14ac:dyDescent="0.2">
      <c r="A2135">
        <v>2128</v>
      </c>
      <c r="B2135">
        <v>2162</v>
      </c>
      <c r="C2135">
        <v>16</v>
      </c>
      <c r="D2135">
        <v>-11.6</v>
      </c>
      <c r="E2135">
        <v>1.9</v>
      </c>
    </row>
    <row r="2136" spans="1:5" x14ac:dyDescent="0.2">
      <c r="A2136">
        <v>2129</v>
      </c>
      <c r="B2136">
        <v>2163</v>
      </c>
      <c r="C2136">
        <v>16</v>
      </c>
      <c r="D2136">
        <v>-11.6</v>
      </c>
      <c r="E2136">
        <v>1.9</v>
      </c>
    </row>
    <row r="2137" spans="1:5" x14ac:dyDescent="0.2">
      <c r="A2137">
        <v>2130</v>
      </c>
      <c r="B2137">
        <v>2163</v>
      </c>
      <c r="C2137">
        <v>15</v>
      </c>
      <c r="D2137">
        <v>-11.5</v>
      </c>
      <c r="E2137">
        <v>1.9</v>
      </c>
    </row>
    <row r="2138" spans="1:5" x14ac:dyDescent="0.2">
      <c r="A2138">
        <v>2131</v>
      </c>
      <c r="B2138">
        <v>2162</v>
      </c>
      <c r="C2138">
        <v>15</v>
      </c>
      <c r="D2138">
        <v>-11.4</v>
      </c>
      <c r="E2138">
        <v>1.9</v>
      </c>
    </row>
    <row r="2139" spans="1:5" x14ac:dyDescent="0.2">
      <c r="A2139">
        <v>2132</v>
      </c>
      <c r="B2139">
        <v>2162</v>
      </c>
      <c r="C2139">
        <v>15</v>
      </c>
      <c r="D2139">
        <v>-11.1</v>
      </c>
      <c r="E2139">
        <v>1.8</v>
      </c>
    </row>
    <row r="2140" spans="1:5" x14ac:dyDescent="0.2">
      <c r="A2140">
        <v>2133</v>
      </c>
      <c r="B2140">
        <v>2160</v>
      </c>
      <c r="C2140">
        <v>15</v>
      </c>
      <c r="D2140">
        <v>-10.9</v>
      </c>
      <c r="E2140">
        <v>1.8</v>
      </c>
    </row>
    <row r="2141" spans="1:5" x14ac:dyDescent="0.2">
      <c r="A2141">
        <v>2134</v>
      </c>
      <c r="B2141">
        <v>2159</v>
      </c>
      <c r="C2141">
        <v>15</v>
      </c>
      <c r="D2141">
        <v>-10.6</v>
      </c>
      <c r="E2141">
        <v>1.8</v>
      </c>
    </row>
    <row r="2142" spans="1:5" x14ac:dyDescent="0.2">
      <c r="A2142">
        <v>2135</v>
      </c>
      <c r="B2142">
        <v>2157</v>
      </c>
      <c r="C2142">
        <v>15</v>
      </c>
      <c r="D2142">
        <v>-10.199999999999999</v>
      </c>
      <c r="E2142">
        <v>1.9</v>
      </c>
    </row>
    <row r="2143" spans="1:5" x14ac:dyDescent="0.2">
      <c r="A2143">
        <v>2136</v>
      </c>
      <c r="B2143">
        <v>2156</v>
      </c>
      <c r="C2143">
        <v>15</v>
      </c>
      <c r="D2143">
        <v>-9.9</v>
      </c>
      <c r="E2143">
        <v>1.9</v>
      </c>
    </row>
    <row r="2144" spans="1:5" x14ac:dyDescent="0.2">
      <c r="A2144">
        <v>2137</v>
      </c>
      <c r="B2144">
        <v>2154</v>
      </c>
      <c r="C2144">
        <v>15</v>
      </c>
      <c r="D2144">
        <v>-9.6999999999999993</v>
      </c>
      <c r="E2144">
        <v>1.9</v>
      </c>
    </row>
    <row r="2145" spans="1:5" x14ac:dyDescent="0.2">
      <c r="A2145">
        <v>2138</v>
      </c>
      <c r="B2145">
        <v>2153</v>
      </c>
      <c r="C2145">
        <v>15</v>
      </c>
      <c r="D2145">
        <v>-9.4</v>
      </c>
      <c r="E2145">
        <v>1.9</v>
      </c>
    </row>
    <row r="2146" spans="1:5" x14ac:dyDescent="0.2">
      <c r="A2146">
        <v>2139</v>
      </c>
      <c r="B2146">
        <v>2153</v>
      </c>
      <c r="C2146">
        <v>15</v>
      </c>
      <c r="D2146">
        <v>-9.1999999999999993</v>
      </c>
      <c r="E2146">
        <v>1.8</v>
      </c>
    </row>
    <row r="2147" spans="1:5" x14ac:dyDescent="0.2">
      <c r="A2147">
        <v>2140</v>
      </c>
      <c r="B2147">
        <v>2152</v>
      </c>
      <c r="C2147">
        <v>15</v>
      </c>
      <c r="D2147">
        <v>-9</v>
      </c>
      <c r="E2147">
        <v>1.8</v>
      </c>
    </row>
    <row r="2148" spans="1:5" x14ac:dyDescent="0.2">
      <c r="A2148">
        <v>2141</v>
      </c>
      <c r="B2148">
        <v>2152</v>
      </c>
      <c r="C2148">
        <v>15</v>
      </c>
      <c r="D2148">
        <v>-8.9</v>
      </c>
      <c r="E2148">
        <v>1.8</v>
      </c>
    </row>
    <row r="2149" spans="1:5" x14ac:dyDescent="0.2">
      <c r="A2149">
        <v>2142</v>
      </c>
      <c r="B2149">
        <v>2153</v>
      </c>
      <c r="C2149">
        <v>15</v>
      </c>
      <c r="D2149">
        <v>-8.9</v>
      </c>
      <c r="E2149">
        <v>1.8</v>
      </c>
    </row>
    <row r="2150" spans="1:5" x14ac:dyDescent="0.2">
      <c r="A2150">
        <v>2143</v>
      </c>
      <c r="B2150">
        <v>2154</v>
      </c>
      <c r="C2150">
        <v>15</v>
      </c>
      <c r="D2150">
        <v>-8.9</v>
      </c>
      <c r="E2150">
        <v>1.9</v>
      </c>
    </row>
    <row r="2151" spans="1:5" x14ac:dyDescent="0.2">
      <c r="A2151">
        <v>2144</v>
      </c>
      <c r="B2151">
        <v>2156</v>
      </c>
      <c r="C2151">
        <v>15</v>
      </c>
      <c r="D2151">
        <v>-9</v>
      </c>
      <c r="E2151">
        <v>1.9</v>
      </c>
    </row>
    <row r="2152" spans="1:5" x14ac:dyDescent="0.2">
      <c r="A2152">
        <v>2145</v>
      </c>
      <c r="B2152">
        <v>2159</v>
      </c>
      <c r="C2152">
        <v>15</v>
      </c>
      <c r="D2152">
        <v>-9.1999999999999993</v>
      </c>
      <c r="E2152">
        <v>1.8</v>
      </c>
    </row>
    <row r="2153" spans="1:5" x14ac:dyDescent="0.2">
      <c r="A2153">
        <v>2146</v>
      </c>
      <c r="B2153">
        <v>2162</v>
      </c>
      <c r="C2153">
        <v>15</v>
      </c>
      <c r="D2153">
        <v>-9.5</v>
      </c>
      <c r="E2153">
        <v>1.8</v>
      </c>
    </row>
    <row r="2154" spans="1:5" x14ac:dyDescent="0.2">
      <c r="A2154">
        <v>2147</v>
      </c>
      <c r="B2154">
        <v>2165</v>
      </c>
      <c r="C2154">
        <v>15</v>
      </c>
      <c r="D2154">
        <v>-9.8000000000000007</v>
      </c>
      <c r="E2154">
        <v>1.8</v>
      </c>
    </row>
    <row r="2155" spans="1:5" x14ac:dyDescent="0.2">
      <c r="A2155">
        <v>2148</v>
      </c>
      <c r="B2155">
        <v>2169</v>
      </c>
      <c r="C2155">
        <v>15</v>
      </c>
      <c r="D2155">
        <v>-10.199999999999999</v>
      </c>
      <c r="E2155">
        <v>1.8</v>
      </c>
    </row>
    <row r="2156" spans="1:5" x14ac:dyDescent="0.2">
      <c r="A2156">
        <v>2149</v>
      </c>
      <c r="B2156">
        <v>2174</v>
      </c>
      <c r="C2156">
        <v>15</v>
      </c>
      <c r="D2156">
        <v>-10.6</v>
      </c>
      <c r="E2156">
        <v>1.8</v>
      </c>
    </row>
    <row r="2157" spans="1:5" x14ac:dyDescent="0.2">
      <c r="A2157">
        <v>2150</v>
      </c>
      <c r="B2157">
        <v>2179</v>
      </c>
      <c r="C2157">
        <v>15</v>
      </c>
      <c r="D2157">
        <v>-11.1</v>
      </c>
      <c r="E2157">
        <v>1.8</v>
      </c>
    </row>
    <row r="2158" spans="1:5" x14ac:dyDescent="0.2">
      <c r="A2158">
        <v>2151</v>
      </c>
      <c r="B2158">
        <v>2183</v>
      </c>
      <c r="C2158">
        <v>15</v>
      </c>
      <c r="D2158">
        <v>-11.5</v>
      </c>
      <c r="E2158">
        <v>1.9</v>
      </c>
    </row>
    <row r="2159" spans="1:5" x14ac:dyDescent="0.2">
      <c r="A2159">
        <v>2152</v>
      </c>
      <c r="B2159">
        <v>2188</v>
      </c>
      <c r="C2159">
        <v>15</v>
      </c>
      <c r="D2159">
        <v>-12</v>
      </c>
      <c r="E2159">
        <v>1.9</v>
      </c>
    </row>
    <row r="2160" spans="1:5" x14ac:dyDescent="0.2">
      <c r="A2160">
        <v>2153</v>
      </c>
      <c r="B2160">
        <v>2193</v>
      </c>
      <c r="C2160">
        <v>15</v>
      </c>
      <c r="D2160">
        <v>-12.5</v>
      </c>
      <c r="E2160">
        <v>1.8</v>
      </c>
    </row>
    <row r="2161" spans="1:5" x14ac:dyDescent="0.2">
      <c r="A2161">
        <v>2154</v>
      </c>
      <c r="B2161">
        <v>2198</v>
      </c>
      <c r="C2161">
        <v>15</v>
      </c>
      <c r="D2161">
        <v>-12.9</v>
      </c>
      <c r="E2161">
        <v>1.8</v>
      </c>
    </row>
    <row r="2162" spans="1:5" x14ac:dyDescent="0.2">
      <c r="A2162">
        <v>2155</v>
      </c>
      <c r="B2162">
        <v>2202</v>
      </c>
      <c r="C2162">
        <v>14</v>
      </c>
      <c r="D2162">
        <v>-13.4</v>
      </c>
      <c r="E2162">
        <v>1.8</v>
      </c>
    </row>
    <row r="2163" spans="1:5" x14ac:dyDescent="0.2">
      <c r="A2163">
        <v>2156</v>
      </c>
      <c r="B2163">
        <v>2206</v>
      </c>
      <c r="C2163">
        <v>14</v>
      </c>
      <c r="D2163">
        <v>-13.8</v>
      </c>
      <c r="E2163">
        <v>1.7</v>
      </c>
    </row>
    <row r="2164" spans="1:5" x14ac:dyDescent="0.2">
      <c r="A2164">
        <v>2157</v>
      </c>
      <c r="B2164">
        <v>2210</v>
      </c>
      <c r="C2164">
        <v>14</v>
      </c>
      <c r="D2164">
        <v>-14.1</v>
      </c>
      <c r="E2164">
        <v>1.7</v>
      </c>
    </row>
    <row r="2165" spans="1:5" x14ac:dyDescent="0.2">
      <c r="A2165">
        <v>2158</v>
      </c>
      <c r="B2165">
        <v>2213</v>
      </c>
      <c r="C2165">
        <v>14</v>
      </c>
      <c r="D2165">
        <v>-14.4</v>
      </c>
      <c r="E2165">
        <v>1.8</v>
      </c>
    </row>
    <row r="2166" spans="1:5" x14ac:dyDescent="0.2">
      <c r="A2166">
        <v>2159</v>
      </c>
      <c r="B2166">
        <v>2216</v>
      </c>
      <c r="C2166">
        <v>15</v>
      </c>
      <c r="D2166">
        <v>-14.6</v>
      </c>
      <c r="E2166">
        <v>1.8</v>
      </c>
    </row>
    <row r="2167" spans="1:5" x14ac:dyDescent="0.2">
      <c r="A2167">
        <v>2160</v>
      </c>
      <c r="B2167">
        <v>2218</v>
      </c>
      <c r="C2167">
        <v>15</v>
      </c>
      <c r="D2167">
        <v>-14.7</v>
      </c>
      <c r="E2167">
        <v>1.8</v>
      </c>
    </row>
    <row r="2168" spans="1:5" x14ac:dyDescent="0.2">
      <c r="A2168">
        <v>2161</v>
      </c>
      <c r="B2168">
        <v>2219</v>
      </c>
      <c r="C2168">
        <v>15</v>
      </c>
      <c r="D2168">
        <v>-14.8</v>
      </c>
      <c r="E2168">
        <v>1.8</v>
      </c>
    </row>
    <row r="2169" spans="1:5" x14ac:dyDescent="0.2">
      <c r="A2169">
        <v>2162</v>
      </c>
      <c r="B2169">
        <v>2220</v>
      </c>
      <c r="C2169">
        <v>14</v>
      </c>
      <c r="D2169">
        <v>-14.7</v>
      </c>
      <c r="E2169">
        <v>1.8</v>
      </c>
    </row>
    <row r="2170" spans="1:5" x14ac:dyDescent="0.2">
      <c r="A2170">
        <v>2163</v>
      </c>
      <c r="B2170">
        <v>2220</v>
      </c>
      <c r="C2170">
        <v>14</v>
      </c>
      <c r="D2170">
        <v>-14.6</v>
      </c>
      <c r="E2170">
        <v>1.7</v>
      </c>
    </row>
    <row r="2171" spans="1:5" x14ac:dyDescent="0.2">
      <c r="A2171">
        <v>2164</v>
      </c>
      <c r="B2171">
        <v>2219</v>
      </c>
      <c r="C2171">
        <v>14</v>
      </c>
      <c r="D2171">
        <v>-14.4</v>
      </c>
      <c r="E2171">
        <v>1.7</v>
      </c>
    </row>
    <row r="2172" spans="1:5" x14ac:dyDescent="0.2">
      <c r="A2172">
        <v>2165</v>
      </c>
      <c r="B2172">
        <v>2218</v>
      </c>
      <c r="C2172">
        <v>14</v>
      </c>
      <c r="D2172">
        <v>-14.2</v>
      </c>
      <c r="E2172">
        <v>1.7</v>
      </c>
    </row>
    <row r="2173" spans="1:5" x14ac:dyDescent="0.2">
      <c r="A2173">
        <v>2166</v>
      </c>
      <c r="B2173">
        <v>2217</v>
      </c>
      <c r="C2173">
        <v>14</v>
      </c>
      <c r="D2173">
        <v>-13.9</v>
      </c>
      <c r="E2173">
        <v>1.7</v>
      </c>
    </row>
    <row r="2174" spans="1:5" x14ac:dyDescent="0.2">
      <c r="A2174">
        <v>2167</v>
      </c>
      <c r="B2174">
        <v>2216</v>
      </c>
      <c r="C2174">
        <v>14</v>
      </c>
      <c r="D2174">
        <v>-13.6</v>
      </c>
      <c r="E2174">
        <v>1.8</v>
      </c>
    </row>
    <row r="2175" spans="1:5" x14ac:dyDescent="0.2">
      <c r="A2175">
        <v>2168</v>
      </c>
      <c r="B2175">
        <v>2214</v>
      </c>
      <c r="C2175">
        <v>15</v>
      </c>
      <c r="D2175">
        <v>-13.3</v>
      </c>
      <c r="E2175">
        <v>1.8</v>
      </c>
    </row>
    <row r="2176" spans="1:5" x14ac:dyDescent="0.2">
      <c r="A2176">
        <v>2169</v>
      </c>
      <c r="B2176">
        <v>2213</v>
      </c>
      <c r="C2176">
        <v>15</v>
      </c>
      <c r="D2176">
        <v>-13</v>
      </c>
      <c r="E2176">
        <v>1.9</v>
      </c>
    </row>
    <row r="2177" spans="1:5" x14ac:dyDescent="0.2">
      <c r="A2177">
        <v>2170</v>
      </c>
      <c r="B2177">
        <v>2211</v>
      </c>
      <c r="C2177">
        <v>15</v>
      </c>
      <c r="D2177">
        <v>-12.7</v>
      </c>
      <c r="E2177">
        <v>1.9</v>
      </c>
    </row>
    <row r="2178" spans="1:5" x14ac:dyDescent="0.2">
      <c r="A2178">
        <v>2171</v>
      </c>
      <c r="B2178">
        <v>2211</v>
      </c>
      <c r="C2178">
        <v>15</v>
      </c>
      <c r="D2178">
        <v>-12.5</v>
      </c>
      <c r="E2178">
        <v>1.9</v>
      </c>
    </row>
    <row r="2179" spans="1:5" x14ac:dyDescent="0.2">
      <c r="A2179">
        <v>2172</v>
      </c>
      <c r="B2179">
        <v>2210</v>
      </c>
      <c r="C2179">
        <v>15</v>
      </c>
      <c r="D2179">
        <v>-12.3</v>
      </c>
      <c r="E2179">
        <v>1.8</v>
      </c>
    </row>
    <row r="2180" spans="1:5" x14ac:dyDescent="0.2">
      <c r="A2180">
        <v>2173</v>
      </c>
      <c r="B2180">
        <v>2210</v>
      </c>
      <c r="C2180">
        <v>15</v>
      </c>
      <c r="D2180">
        <v>-12.1</v>
      </c>
      <c r="E2180">
        <v>1.8</v>
      </c>
    </row>
    <row r="2181" spans="1:5" x14ac:dyDescent="0.2">
      <c r="A2181">
        <v>2174</v>
      </c>
      <c r="B2181">
        <v>2210</v>
      </c>
      <c r="C2181">
        <v>15</v>
      </c>
      <c r="D2181">
        <v>-12.1</v>
      </c>
      <c r="E2181">
        <v>1.8</v>
      </c>
    </row>
    <row r="2182" spans="1:5" x14ac:dyDescent="0.2">
      <c r="A2182">
        <v>2175</v>
      </c>
      <c r="B2182">
        <v>2211</v>
      </c>
      <c r="C2182">
        <v>15</v>
      </c>
      <c r="D2182">
        <v>-12</v>
      </c>
      <c r="E2182">
        <v>1.8</v>
      </c>
    </row>
    <row r="2183" spans="1:5" x14ac:dyDescent="0.2">
      <c r="A2183">
        <v>2176</v>
      </c>
      <c r="B2183">
        <v>2212</v>
      </c>
      <c r="C2183">
        <v>15</v>
      </c>
      <c r="D2183">
        <v>-12.1</v>
      </c>
      <c r="E2183">
        <v>1.8</v>
      </c>
    </row>
    <row r="2184" spans="1:5" x14ac:dyDescent="0.2">
      <c r="A2184">
        <v>2177</v>
      </c>
      <c r="B2184">
        <v>2214</v>
      </c>
      <c r="C2184">
        <v>15</v>
      </c>
      <c r="D2184">
        <v>-12.2</v>
      </c>
      <c r="E2184">
        <v>1.8</v>
      </c>
    </row>
    <row r="2185" spans="1:5" x14ac:dyDescent="0.2">
      <c r="A2185">
        <v>2178</v>
      </c>
      <c r="B2185">
        <v>2217</v>
      </c>
      <c r="C2185">
        <v>15</v>
      </c>
      <c r="D2185">
        <v>-12.5</v>
      </c>
      <c r="E2185">
        <v>1.9</v>
      </c>
    </row>
    <row r="2186" spans="1:5" x14ac:dyDescent="0.2">
      <c r="A2186">
        <v>2179</v>
      </c>
      <c r="B2186">
        <v>2221</v>
      </c>
      <c r="C2186">
        <v>15</v>
      </c>
      <c r="D2186">
        <v>-12.8</v>
      </c>
      <c r="E2186">
        <v>1.8</v>
      </c>
    </row>
    <row r="2187" spans="1:5" x14ac:dyDescent="0.2">
      <c r="A2187">
        <v>2180</v>
      </c>
      <c r="B2187">
        <v>2225</v>
      </c>
      <c r="C2187">
        <v>15</v>
      </c>
      <c r="D2187">
        <v>-13.2</v>
      </c>
      <c r="E2187">
        <v>1.8</v>
      </c>
    </row>
    <row r="2188" spans="1:5" x14ac:dyDescent="0.2">
      <c r="A2188">
        <v>2181</v>
      </c>
      <c r="B2188">
        <v>2230</v>
      </c>
      <c r="C2188">
        <v>14</v>
      </c>
      <c r="D2188">
        <v>-13.6</v>
      </c>
      <c r="E2188">
        <v>1.8</v>
      </c>
    </row>
    <row r="2189" spans="1:5" x14ac:dyDescent="0.2">
      <c r="A2189">
        <v>2182</v>
      </c>
      <c r="B2189">
        <v>2234</v>
      </c>
      <c r="C2189">
        <v>14</v>
      </c>
      <c r="D2189">
        <v>-14</v>
      </c>
      <c r="E2189">
        <v>1.8</v>
      </c>
    </row>
    <row r="2190" spans="1:5" x14ac:dyDescent="0.2">
      <c r="A2190">
        <v>2183</v>
      </c>
      <c r="B2190">
        <v>2238</v>
      </c>
      <c r="C2190">
        <v>14</v>
      </c>
      <c r="D2190">
        <v>-14.4</v>
      </c>
      <c r="E2190">
        <v>1.8</v>
      </c>
    </row>
    <row r="2191" spans="1:5" x14ac:dyDescent="0.2">
      <c r="A2191">
        <v>2184</v>
      </c>
      <c r="B2191">
        <v>2242</v>
      </c>
      <c r="C2191">
        <v>15</v>
      </c>
      <c r="D2191">
        <v>-14.8</v>
      </c>
      <c r="E2191">
        <v>1.8</v>
      </c>
    </row>
    <row r="2192" spans="1:5" x14ac:dyDescent="0.2">
      <c r="A2192">
        <v>2185</v>
      </c>
      <c r="B2192">
        <v>2245</v>
      </c>
      <c r="C2192">
        <v>15</v>
      </c>
      <c r="D2192">
        <v>-15</v>
      </c>
      <c r="E2192">
        <v>1.8</v>
      </c>
    </row>
    <row r="2193" spans="1:5" x14ac:dyDescent="0.2">
      <c r="A2193">
        <v>2186</v>
      </c>
      <c r="B2193">
        <v>2246</v>
      </c>
      <c r="C2193">
        <v>15</v>
      </c>
      <c r="D2193">
        <v>-15.1</v>
      </c>
      <c r="E2193">
        <v>1.9</v>
      </c>
    </row>
    <row r="2194" spans="1:5" x14ac:dyDescent="0.2">
      <c r="A2194">
        <v>2187</v>
      </c>
      <c r="B2194">
        <v>2247</v>
      </c>
      <c r="C2194">
        <v>15</v>
      </c>
      <c r="D2194">
        <v>-15.1</v>
      </c>
      <c r="E2194">
        <v>1.8</v>
      </c>
    </row>
    <row r="2195" spans="1:5" x14ac:dyDescent="0.2">
      <c r="A2195">
        <v>2188</v>
      </c>
      <c r="B2195">
        <v>2247</v>
      </c>
      <c r="C2195">
        <v>15</v>
      </c>
      <c r="D2195">
        <v>-14.9</v>
      </c>
      <c r="E2195">
        <v>1.8</v>
      </c>
    </row>
    <row r="2196" spans="1:5" x14ac:dyDescent="0.2">
      <c r="A2196">
        <v>2189</v>
      </c>
      <c r="B2196">
        <v>2245</v>
      </c>
      <c r="C2196">
        <v>15</v>
      </c>
      <c r="D2196">
        <v>-14.6</v>
      </c>
      <c r="E2196">
        <v>1.8</v>
      </c>
    </row>
    <row r="2197" spans="1:5" x14ac:dyDescent="0.2">
      <c r="A2197">
        <v>2190</v>
      </c>
      <c r="B2197">
        <v>2244</v>
      </c>
      <c r="C2197">
        <v>14</v>
      </c>
      <c r="D2197">
        <v>-14.3</v>
      </c>
      <c r="E2197">
        <v>1.8</v>
      </c>
    </row>
    <row r="2198" spans="1:5" x14ac:dyDescent="0.2">
      <c r="A2198">
        <v>2191</v>
      </c>
      <c r="B2198">
        <v>2241</v>
      </c>
      <c r="C2198">
        <v>14</v>
      </c>
      <c r="D2198">
        <v>-13.9</v>
      </c>
      <c r="E2198">
        <v>1.8</v>
      </c>
    </row>
    <row r="2199" spans="1:5" x14ac:dyDescent="0.2">
      <c r="A2199">
        <v>2192</v>
      </c>
      <c r="B2199">
        <v>2239</v>
      </c>
      <c r="C2199">
        <v>14</v>
      </c>
      <c r="D2199">
        <v>-13.4</v>
      </c>
      <c r="E2199">
        <v>1.8</v>
      </c>
    </row>
    <row r="2200" spans="1:5" x14ac:dyDescent="0.2">
      <c r="A2200">
        <v>2193</v>
      </c>
      <c r="B2200">
        <v>2236</v>
      </c>
      <c r="C2200">
        <v>15</v>
      </c>
      <c r="D2200">
        <v>-13</v>
      </c>
      <c r="E2200">
        <v>1.8</v>
      </c>
    </row>
    <row r="2201" spans="1:5" x14ac:dyDescent="0.2">
      <c r="A2201">
        <v>2194</v>
      </c>
      <c r="B2201">
        <v>2234</v>
      </c>
      <c r="C2201">
        <v>15</v>
      </c>
      <c r="D2201">
        <v>-12.6</v>
      </c>
      <c r="E2201">
        <v>1.8</v>
      </c>
    </row>
    <row r="2202" spans="1:5" x14ac:dyDescent="0.2">
      <c r="A2202">
        <v>2195</v>
      </c>
      <c r="B2202">
        <v>2231</v>
      </c>
      <c r="C2202">
        <v>15</v>
      </c>
      <c r="D2202">
        <v>-12.2</v>
      </c>
      <c r="E2202">
        <v>1.9</v>
      </c>
    </row>
    <row r="2203" spans="1:5" x14ac:dyDescent="0.2">
      <c r="A2203">
        <v>2196</v>
      </c>
      <c r="B2203">
        <v>2230</v>
      </c>
      <c r="C2203">
        <v>16</v>
      </c>
      <c r="D2203">
        <v>-11.9</v>
      </c>
      <c r="E2203">
        <v>2</v>
      </c>
    </row>
    <row r="2204" spans="1:5" x14ac:dyDescent="0.2">
      <c r="A2204">
        <v>2197</v>
      </c>
      <c r="B2204">
        <v>2229</v>
      </c>
      <c r="C2204">
        <v>16</v>
      </c>
      <c r="D2204">
        <v>-11.6</v>
      </c>
      <c r="E2204">
        <v>2</v>
      </c>
    </row>
    <row r="2205" spans="1:5" x14ac:dyDescent="0.2">
      <c r="A2205">
        <v>2198</v>
      </c>
      <c r="B2205">
        <v>2228</v>
      </c>
      <c r="C2205">
        <v>16</v>
      </c>
      <c r="D2205">
        <v>-11.4</v>
      </c>
      <c r="E2205">
        <v>2</v>
      </c>
    </row>
    <row r="2206" spans="1:5" x14ac:dyDescent="0.2">
      <c r="A2206">
        <v>2199</v>
      </c>
      <c r="B2206">
        <v>2227</v>
      </c>
      <c r="C2206">
        <v>17</v>
      </c>
      <c r="D2206">
        <v>-11.2</v>
      </c>
      <c r="E2206">
        <v>2</v>
      </c>
    </row>
    <row r="2207" spans="1:5" x14ac:dyDescent="0.2">
      <c r="A2207">
        <v>2200</v>
      </c>
      <c r="B2207">
        <v>2227</v>
      </c>
      <c r="C2207">
        <v>17</v>
      </c>
      <c r="D2207">
        <v>-11.1</v>
      </c>
      <c r="E2207">
        <v>2.1</v>
      </c>
    </row>
    <row r="2208" spans="1:5" x14ac:dyDescent="0.2">
      <c r="A2208">
        <v>2201</v>
      </c>
      <c r="B2208">
        <v>2227</v>
      </c>
      <c r="C2208">
        <v>17</v>
      </c>
      <c r="D2208">
        <v>-11</v>
      </c>
      <c r="E2208">
        <v>2.1</v>
      </c>
    </row>
    <row r="2209" spans="1:5" x14ac:dyDescent="0.2">
      <c r="A2209">
        <v>2202</v>
      </c>
      <c r="B2209">
        <v>2228</v>
      </c>
      <c r="C2209">
        <v>17</v>
      </c>
      <c r="D2209">
        <v>-10.9</v>
      </c>
      <c r="E2209">
        <v>2</v>
      </c>
    </row>
    <row r="2210" spans="1:5" x14ac:dyDescent="0.2">
      <c r="A2210">
        <v>2203</v>
      </c>
      <c r="B2210">
        <v>2228</v>
      </c>
      <c r="C2210">
        <v>16</v>
      </c>
      <c r="D2210">
        <v>-10.9</v>
      </c>
      <c r="E2210">
        <v>2</v>
      </c>
    </row>
    <row r="2211" spans="1:5" x14ac:dyDescent="0.2">
      <c r="A2211">
        <v>2204</v>
      </c>
      <c r="B2211">
        <v>2229</v>
      </c>
      <c r="C2211">
        <v>16</v>
      </c>
      <c r="D2211">
        <v>-10.9</v>
      </c>
      <c r="E2211">
        <v>2</v>
      </c>
    </row>
    <row r="2212" spans="1:5" x14ac:dyDescent="0.2">
      <c r="A2212">
        <v>2205</v>
      </c>
      <c r="B2212">
        <v>2230</v>
      </c>
      <c r="C2212">
        <v>16</v>
      </c>
      <c r="D2212">
        <v>-10.9</v>
      </c>
      <c r="E2212">
        <v>2</v>
      </c>
    </row>
    <row r="2213" spans="1:5" x14ac:dyDescent="0.2">
      <c r="A2213">
        <v>2206</v>
      </c>
      <c r="B2213">
        <v>2232</v>
      </c>
      <c r="C2213">
        <v>16</v>
      </c>
      <c r="D2213">
        <v>-10.9</v>
      </c>
      <c r="E2213">
        <v>1.9</v>
      </c>
    </row>
    <row r="2214" spans="1:5" x14ac:dyDescent="0.2">
      <c r="A2214">
        <v>2207</v>
      </c>
      <c r="B2214">
        <v>2233</v>
      </c>
      <c r="C2214">
        <v>16</v>
      </c>
      <c r="D2214">
        <v>-10.9</v>
      </c>
      <c r="E2214">
        <v>1.9</v>
      </c>
    </row>
    <row r="2215" spans="1:5" x14ac:dyDescent="0.2">
      <c r="A2215">
        <v>2208</v>
      </c>
      <c r="B2215">
        <v>2234</v>
      </c>
      <c r="C2215">
        <v>15</v>
      </c>
      <c r="D2215">
        <v>-11</v>
      </c>
      <c r="E2215">
        <v>1.9</v>
      </c>
    </row>
    <row r="2216" spans="1:5" x14ac:dyDescent="0.2">
      <c r="A2216">
        <v>2209</v>
      </c>
      <c r="B2216">
        <v>2236</v>
      </c>
      <c r="C2216">
        <v>15</v>
      </c>
      <c r="D2216">
        <v>-11.1</v>
      </c>
      <c r="E2216">
        <v>1.9</v>
      </c>
    </row>
    <row r="2217" spans="1:5" x14ac:dyDescent="0.2">
      <c r="A2217">
        <v>2210</v>
      </c>
      <c r="B2217">
        <v>2237</v>
      </c>
      <c r="C2217">
        <v>15</v>
      </c>
      <c r="D2217">
        <v>-11.1</v>
      </c>
      <c r="E2217">
        <v>1.9</v>
      </c>
    </row>
    <row r="2218" spans="1:5" x14ac:dyDescent="0.2">
      <c r="A2218">
        <v>2211</v>
      </c>
      <c r="B2218">
        <v>2239</v>
      </c>
      <c r="C2218">
        <v>15</v>
      </c>
      <c r="D2218">
        <v>-11.2</v>
      </c>
      <c r="E2218">
        <v>1.9</v>
      </c>
    </row>
    <row r="2219" spans="1:5" x14ac:dyDescent="0.2">
      <c r="A2219">
        <v>2212</v>
      </c>
      <c r="B2219">
        <v>2240</v>
      </c>
      <c r="C2219">
        <v>15</v>
      </c>
      <c r="D2219">
        <v>-11.2</v>
      </c>
      <c r="E2219">
        <v>1.9</v>
      </c>
    </row>
    <row r="2220" spans="1:5" x14ac:dyDescent="0.2">
      <c r="A2220">
        <v>2213</v>
      </c>
      <c r="B2220">
        <v>2241</v>
      </c>
      <c r="C2220">
        <v>16</v>
      </c>
      <c r="D2220">
        <v>-11.2</v>
      </c>
      <c r="E2220">
        <v>1.9</v>
      </c>
    </row>
    <row r="2221" spans="1:5" x14ac:dyDescent="0.2">
      <c r="A2221">
        <v>2214</v>
      </c>
      <c r="B2221">
        <v>2242</v>
      </c>
      <c r="C2221">
        <v>16</v>
      </c>
      <c r="D2221">
        <v>-11.2</v>
      </c>
      <c r="E2221">
        <v>2</v>
      </c>
    </row>
    <row r="2222" spans="1:5" x14ac:dyDescent="0.2">
      <c r="A2222">
        <v>2215</v>
      </c>
      <c r="B2222">
        <v>2243</v>
      </c>
      <c r="C2222">
        <v>16</v>
      </c>
      <c r="D2222">
        <v>-11.2</v>
      </c>
      <c r="E2222">
        <v>2</v>
      </c>
    </row>
    <row r="2223" spans="1:5" x14ac:dyDescent="0.2">
      <c r="A2223">
        <v>2216</v>
      </c>
      <c r="B2223">
        <v>2244</v>
      </c>
      <c r="C2223">
        <v>16</v>
      </c>
      <c r="D2223">
        <v>-11.2</v>
      </c>
      <c r="E2223">
        <v>2</v>
      </c>
    </row>
    <row r="2224" spans="1:5" x14ac:dyDescent="0.2">
      <c r="A2224">
        <v>2217</v>
      </c>
      <c r="B2224">
        <v>2244</v>
      </c>
      <c r="C2224">
        <v>16</v>
      </c>
      <c r="D2224">
        <v>-11.1</v>
      </c>
      <c r="E2224">
        <v>2</v>
      </c>
    </row>
    <row r="2225" spans="1:5" x14ac:dyDescent="0.2">
      <c r="A2225">
        <v>2218</v>
      </c>
      <c r="B2225">
        <v>2244</v>
      </c>
      <c r="C2225">
        <v>17</v>
      </c>
      <c r="D2225">
        <v>-11</v>
      </c>
      <c r="E2225">
        <v>2</v>
      </c>
    </row>
    <row r="2226" spans="1:5" x14ac:dyDescent="0.2">
      <c r="A2226">
        <v>2219</v>
      </c>
      <c r="B2226">
        <v>2244</v>
      </c>
      <c r="C2226">
        <v>17</v>
      </c>
      <c r="D2226">
        <v>-10.9</v>
      </c>
      <c r="E2226">
        <v>2</v>
      </c>
    </row>
    <row r="2227" spans="1:5" x14ac:dyDescent="0.2">
      <c r="A2227">
        <v>2220</v>
      </c>
      <c r="B2227">
        <v>2244</v>
      </c>
      <c r="C2227">
        <v>16</v>
      </c>
      <c r="D2227">
        <v>-10.7</v>
      </c>
      <c r="E2227">
        <v>2</v>
      </c>
    </row>
    <row r="2228" spans="1:5" x14ac:dyDescent="0.2">
      <c r="A2228">
        <v>2221</v>
      </c>
      <c r="B2228">
        <v>2243</v>
      </c>
      <c r="C2228">
        <v>16</v>
      </c>
      <c r="D2228">
        <v>-10.5</v>
      </c>
      <c r="E2228">
        <v>2</v>
      </c>
    </row>
    <row r="2229" spans="1:5" x14ac:dyDescent="0.2">
      <c r="A2229">
        <v>2222</v>
      </c>
      <c r="B2229">
        <v>2242</v>
      </c>
      <c r="C2229">
        <v>16</v>
      </c>
      <c r="D2229">
        <v>-10.199999999999999</v>
      </c>
      <c r="E2229">
        <v>2</v>
      </c>
    </row>
    <row r="2230" spans="1:5" x14ac:dyDescent="0.2">
      <c r="A2230">
        <v>2223</v>
      </c>
      <c r="B2230">
        <v>2240</v>
      </c>
      <c r="C2230">
        <v>16</v>
      </c>
      <c r="D2230">
        <v>-9.9</v>
      </c>
      <c r="E2230">
        <v>2</v>
      </c>
    </row>
    <row r="2231" spans="1:5" x14ac:dyDescent="0.2">
      <c r="A2231">
        <v>2224</v>
      </c>
      <c r="B2231">
        <v>2239</v>
      </c>
      <c r="C2231">
        <v>16</v>
      </c>
      <c r="D2231">
        <v>-9.6</v>
      </c>
      <c r="E2231">
        <v>1.9</v>
      </c>
    </row>
    <row r="2232" spans="1:5" x14ac:dyDescent="0.2">
      <c r="A2232">
        <v>2225</v>
      </c>
      <c r="B2232">
        <v>2237</v>
      </c>
      <c r="C2232">
        <v>15</v>
      </c>
      <c r="D2232">
        <v>-9.3000000000000007</v>
      </c>
      <c r="E2232">
        <v>1.9</v>
      </c>
    </row>
    <row r="2233" spans="1:5" x14ac:dyDescent="0.2">
      <c r="A2233">
        <v>2226</v>
      </c>
      <c r="B2233">
        <v>2235</v>
      </c>
      <c r="C2233">
        <v>15</v>
      </c>
      <c r="D2233">
        <v>-8.9</v>
      </c>
      <c r="E2233">
        <v>1.9</v>
      </c>
    </row>
    <row r="2234" spans="1:5" x14ac:dyDescent="0.2">
      <c r="A2234">
        <v>2227</v>
      </c>
      <c r="B2234">
        <v>2233</v>
      </c>
      <c r="C2234">
        <v>15</v>
      </c>
      <c r="D2234">
        <v>-8.5</v>
      </c>
      <c r="E2234">
        <v>1.8</v>
      </c>
    </row>
    <row r="2235" spans="1:5" x14ac:dyDescent="0.2">
      <c r="A2235">
        <v>2228</v>
      </c>
      <c r="B2235">
        <v>2231</v>
      </c>
      <c r="C2235">
        <v>15</v>
      </c>
      <c r="D2235">
        <v>-8.1</v>
      </c>
      <c r="E2235">
        <v>1.8</v>
      </c>
    </row>
    <row r="2236" spans="1:5" x14ac:dyDescent="0.2">
      <c r="A2236">
        <v>2229</v>
      </c>
      <c r="B2236">
        <v>2228</v>
      </c>
      <c r="C2236">
        <v>15</v>
      </c>
      <c r="D2236">
        <v>-7.8</v>
      </c>
      <c r="E2236">
        <v>1.8</v>
      </c>
    </row>
    <row r="2237" spans="1:5" x14ac:dyDescent="0.2">
      <c r="A2237">
        <v>2230</v>
      </c>
      <c r="B2237">
        <v>2226</v>
      </c>
      <c r="C2237">
        <v>15</v>
      </c>
      <c r="D2237">
        <v>-7.4</v>
      </c>
      <c r="E2237">
        <v>1.8</v>
      </c>
    </row>
    <row r="2238" spans="1:5" x14ac:dyDescent="0.2">
      <c r="A2238">
        <v>2231</v>
      </c>
      <c r="B2238">
        <v>2224</v>
      </c>
      <c r="C2238">
        <v>15</v>
      </c>
      <c r="D2238">
        <v>-7</v>
      </c>
      <c r="E2238">
        <v>1.8</v>
      </c>
    </row>
    <row r="2239" spans="1:5" x14ac:dyDescent="0.2">
      <c r="A2239">
        <v>2232</v>
      </c>
      <c r="B2239">
        <v>2222</v>
      </c>
      <c r="C2239">
        <v>15</v>
      </c>
      <c r="D2239">
        <v>-6.6</v>
      </c>
      <c r="E2239">
        <v>1.8</v>
      </c>
    </row>
    <row r="2240" spans="1:5" x14ac:dyDescent="0.2">
      <c r="A2240">
        <v>2233</v>
      </c>
      <c r="B2240">
        <v>2220</v>
      </c>
      <c r="C2240">
        <v>15</v>
      </c>
      <c r="D2240">
        <v>-6.2</v>
      </c>
      <c r="E2240">
        <v>1.9</v>
      </c>
    </row>
    <row r="2241" spans="1:5" x14ac:dyDescent="0.2">
      <c r="A2241">
        <v>2234</v>
      </c>
      <c r="B2241">
        <v>2218</v>
      </c>
      <c r="C2241">
        <v>15</v>
      </c>
      <c r="D2241">
        <v>-5.8</v>
      </c>
      <c r="E2241">
        <v>1.9</v>
      </c>
    </row>
    <row r="2242" spans="1:5" x14ac:dyDescent="0.2">
      <c r="A2242">
        <v>2235</v>
      </c>
      <c r="B2242">
        <v>2216</v>
      </c>
      <c r="C2242">
        <v>15</v>
      </c>
      <c r="D2242">
        <v>-5.5</v>
      </c>
      <c r="E2242">
        <v>1.9</v>
      </c>
    </row>
    <row r="2243" spans="1:5" x14ac:dyDescent="0.2">
      <c r="A2243">
        <v>2236</v>
      </c>
      <c r="B2243">
        <v>2214</v>
      </c>
      <c r="C2243">
        <v>15</v>
      </c>
      <c r="D2243">
        <v>-5.2</v>
      </c>
      <c r="E2243">
        <v>1.9</v>
      </c>
    </row>
    <row r="2244" spans="1:5" x14ac:dyDescent="0.2">
      <c r="A2244">
        <v>2237</v>
      </c>
      <c r="B2244">
        <v>2213</v>
      </c>
      <c r="C2244">
        <v>15</v>
      </c>
      <c r="D2244">
        <v>-4.9000000000000004</v>
      </c>
      <c r="E2244">
        <v>1.9</v>
      </c>
    </row>
    <row r="2245" spans="1:5" x14ac:dyDescent="0.2">
      <c r="A2245">
        <v>2238</v>
      </c>
      <c r="B2245">
        <v>2212</v>
      </c>
      <c r="C2245">
        <v>15</v>
      </c>
      <c r="D2245">
        <v>-4.5999999999999996</v>
      </c>
      <c r="E2245">
        <v>1.9</v>
      </c>
    </row>
    <row r="2246" spans="1:5" x14ac:dyDescent="0.2">
      <c r="A2246">
        <v>2239</v>
      </c>
      <c r="B2246">
        <v>2211</v>
      </c>
      <c r="C2246">
        <v>15</v>
      </c>
      <c r="D2246">
        <v>-4.4000000000000004</v>
      </c>
      <c r="E2246">
        <v>1.9</v>
      </c>
    </row>
    <row r="2247" spans="1:5" x14ac:dyDescent="0.2">
      <c r="A2247">
        <v>2240</v>
      </c>
      <c r="B2247">
        <v>2210</v>
      </c>
      <c r="C2247">
        <v>15</v>
      </c>
      <c r="D2247">
        <v>-4.0999999999999996</v>
      </c>
      <c r="E2247">
        <v>1.9</v>
      </c>
    </row>
    <row r="2248" spans="1:5" x14ac:dyDescent="0.2">
      <c r="A2248">
        <v>2241</v>
      </c>
      <c r="B2248">
        <v>2209</v>
      </c>
      <c r="C2248">
        <v>15</v>
      </c>
      <c r="D2248">
        <v>-3.9</v>
      </c>
      <c r="E2248">
        <v>1.9</v>
      </c>
    </row>
    <row r="2249" spans="1:5" x14ac:dyDescent="0.2">
      <c r="A2249">
        <v>2242</v>
      </c>
      <c r="B2249">
        <v>2209</v>
      </c>
      <c r="C2249">
        <v>15</v>
      </c>
      <c r="D2249">
        <v>-3.8</v>
      </c>
      <c r="E2249">
        <v>1.8</v>
      </c>
    </row>
    <row r="2250" spans="1:5" x14ac:dyDescent="0.2">
      <c r="A2250">
        <v>2243</v>
      </c>
      <c r="B2250">
        <v>2209</v>
      </c>
      <c r="C2250">
        <v>15</v>
      </c>
      <c r="D2250">
        <v>-3.6</v>
      </c>
      <c r="E2250">
        <v>1.8</v>
      </c>
    </row>
    <row r="2251" spans="1:5" x14ac:dyDescent="0.2">
      <c r="A2251">
        <v>2244</v>
      </c>
      <c r="B2251">
        <v>2209</v>
      </c>
      <c r="C2251">
        <v>14</v>
      </c>
      <c r="D2251">
        <v>-3.5</v>
      </c>
      <c r="E2251">
        <v>1.8</v>
      </c>
    </row>
    <row r="2252" spans="1:5" x14ac:dyDescent="0.2">
      <c r="A2252">
        <v>2245</v>
      </c>
      <c r="B2252">
        <v>2208</v>
      </c>
      <c r="C2252">
        <v>14</v>
      </c>
      <c r="D2252">
        <v>-3.3</v>
      </c>
      <c r="E2252">
        <v>1.7</v>
      </c>
    </row>
    <row r="2253" spans="1:5" x14ac:dyDescent="0.2">
      <c r="A2253">
        <v>2246</v>
      </c>
      <c r="B2253">
        <v>2208</v>
      </c>
      <c r="C2253">
        <v>14</v>
      </c>
      <c r="D2253">
        <v>-3.2</v>
      </c>
      <c r="E2253">
        <v>1.7</v>
      </c>
    </row>
    <row r="2254" spans="1:5" x14ac:dyDescent="0.2">
      <c r="A2254">
        <v>2247</v>
      </c>
      <c r="B2254">
        <v>2208</v>
      </c>
      <c r="C2254">
        <v>14</v>
      </c>
      <c r="D2254">
        <v>-3.1</v>
      </c>
      <c r="E2254">
        <v>1.7</v>
      </c>
    </row>
    <row r="2255" spans="1:5" x14ac:dyDescent="0.2">
      <c r="A2255">
        <v>2248</v>
      </c>
      <c r="B2255">
        <v>2209</v>
      </c>
      <c r="C2255">
        <v>14</v>
      </c>
      <c r="D2255">
        <v>-3</v>
      </c>
      <c r="E2255">
        <v>1.7</v>
      </c>
    </row>
    <row r="2256" spans="1:5" x14ac:dyDescent="0.2">
      <c r="A2256">
        <v>2249</v>
      </c>
      <c r="B2256">
        <v>2209</v>
      </c>
      <c r="C2256">
        <v>14</v>
      </c>
      <c r="D2256">
        <v>-2.9</v>
      </c>
      <c r="E2256">
        <v>1.7</v>
      </c>
    </row>
    <row r="2257" spans="1:5" x14ac:dyDescent="0.2">
      <c r="A2257">
        <v>2250</v>
      </c>
      <c r="B2257">
        <v>2209</v>
      </c>
      <c r="C2257">
        <v>14</v>
      </c>
      <c r="D2257">
        <v>-2.8</v>
      </c>
      <c r="E2257">
        <v>1.7</v>
      </c>
    </row>
    <row r="2258" spans="1:5" x14ac:dyDescent="0.2">
      <c r="A2258">
        <v>2251</v>
      </c>
      <c r="B2258">
        <v>2209</v>
      </c>
      <c r="C2258">
        <v>14</v>
      </c>
      <c r="D2258">
        <v>-2.6</v>
      </c>
      <c r="E2258">
        <v>1.7</v>
      </c>
    </row>
    <row r="2259" spans="1:5" x14ac:dyDescent="0.2">
      <c r="A2259">
        <v>2252</v>
      </c>
      <c r="B2259">
        <v>2208</v>
      </c>
      <c r="C2259">
        <v>14</v>
      </c>
      <c r="D2259">
        <v>-2.5</v>
      </c>
      <c r="E2259">
        <v>1.8</v>
      </c>
    </row>
    <row r="2260" spans="1:5" x14ac:dyDescent="0.2">
      <c r="A2260">
        <v>2253</v>
      </c>
      <c r="B2260">
        <v>2208</v>
      </c>
      <c r="C2260">
        <v>14</v>
      </c>
      <c r="D2260">
        <v>-2.4</v>
      </c>
      <c r="E2260">
        <v>1.8</v>
      </c>
    </row>
    <row r="2261" spans="1:5" x14ac:dyDescent="0.2">
      <c r="A2261">
        <v>2254</v>
      </c>
      <c r="B2261">
        <v>2208</v>
      </c>
      <c r="C2261">
        <v>15</v>
      </c>
      <c r="D2261">
        <v>-2.2000000000000002</v>
      </c>
      <c r="E2261">
        <v>1.8</v>
      </c>
    </row>
    <row r="2262" spans="1:5" x14ac:dyDescent="0.2">
      <c r="A2262">
        <v>2255</v>
      </c>
      <c r="B2262">
        <v>2207</v>
      </c>
      <c r="C2262">
        <v>15</v>
      </c>
      <c r="D2262">
        <v>-2</v>
      </c>
      <c r="E2262">
        <v>1.9</v>
      </c>
    </row>
    <row r="2263" spans="1:5" x14ac:dyDescent="0.2">
      <c r="A2263">
        <v>2256</v>
      </c>
      <c r="B2263">
        <v>2207</v>
      </c>
      <c r="C2263">
        <v>15</v>
      </c>
      <c r="D2263">
        <v>-1.8</v>
      </c>
      <c r="E2263">
        <v>1.9</v>
      </c>
    </row>
    <row r="2264" spans="1:5" x14ac:dyDescent="0.2">
      <c r="A2264">
        <v>2257</v>
      </c>
      <c r="B2264">
        <v>2206</v>
      </c>
      <c r="C2264">
        <v>16</v>
      </c>
      <c r="D2264">
        <v>-1.6</v>
      </c>
      <c r="E2264">
        <v>1.9</v>
      </c>
    </row>
    <row r="2265" spans="1:5" x14ac:dyDescent="0.2">
      <c r="A2265">
        <v>2258</v>
      </c>
      <c r="B2265">
        <v>2205</v>
      </c>
      <c r="C2265">
        <v>16</v>
      </c>
      <c r="D2265">
        <v>-1.4</v>
      </c>
      <c r="E2265">
        <v>2</v>
      </c>
    </row>
    <row r="2266" spans="1:5" x14ac:dyDescent="0.2">
      <c r="A2266">
        <v>2259</v>
      </c>
      <c r="B2266">
        <v>2204</v>
      </c>
      <c r="C2266">
        <v>16</v>
      </c>
      <c r="D2266">
        <v>-1.1000000000000001</v>
      </c>
      <c r="E2266">
        <v>2</v>
      </c>
    </row>
    <row r="2267" spans="1:5" x14ac:dyDescent="0.2">
      <c r="A2267">
        <v>2260</v>
      </c>
      <c r="B2267">
        <v>2202</v>
      </c>
      <c r="C2267">
        <v>16</v>
      </c>
      <c r="D2267">
        <v>-0.8</v>
      </c>
      <c r="E2267">
        <v>2</v>
      </c>
    </row>
    <row r="2268" spans="1:5" x14ac:dyDescent="0.2">
      <c r="A2268">
        <v>2261</v>
      </c>
      <c r="B2268">
        <v>2201</v>
      </c>
      <c r="C2268">
        <v>16</v>
      </c>
      <c r="D2268">
        <v>-0.4</v>
      </c>
      <c r="E2268">
        <v>2</v>
      </c>
    </row>
    <row r="2269" spans="1:5" x14ac:dyDescent="0.2">
      <c r="A2269">
        <v>2262</v>
      </c>
      <c r="B2269">
        <v>2199</v>
      </c>
      <c r="C2269">
        <v>16</v>
      </c>
      <c r="D2269">
        <v>-0.1</v>
      </c>
      <c r="E2269">
        <v>2</v>
      </c>
    </row>
    <row r="2270" spans="1:5" x14ac:dyDescent="0.2">
      <c r="A2270">
        <v>2263</v>
      </c>
      <c r="B2270">
        <v>2197</v>
      </c>
      <c r="C2270">
        <v>16</v>
      </c>
      <c r="D2270">
        <v>0.3</v>
      </c>
      <c r="E2270">
        <v>1.9</v>
      </c>
    </row>
    <row r="2271" spans="1:5" x14ac:dyDescent="0.2">
      <c r="A2271">
        <v>2264</v>
      </c>
      <c r="B2271">
        <v>2194</v>
      </c>
      <c r="C2271">
        <v>15</v>
      </c>
      <c r="D2271">
        <v>0.7</v>
      </c>
      <c r="E2271">
        <v>1.9</v>
      </c>
    </row>
    <row r="2272" spans="1:5" x14ac:dyDescent="0.2">
      <c r="A2272">
        <v>2265</v>
      </c>
      <c r="B2272">
        <v>2192</v>
      </c>
      <c r="C2272">
        <v>15</v>
      </c>
      <c r="D2272">
        <v>1.1000000000000001</v>
      </c>
      <c r="E2272">
        <v>1.9</v>
      </c>
    </row>
    <row r="2273" spans="1:5" x14ac:dyDescent="0.2">
      <c r="A2273">
        <v>2266</v>
      </c>
      <c r="B2273">
        <v>2189</v>
      </c>
      <c r="C2273">
        <v>15</v>
      </c>
      <c r="D2273">
        <v>1.5</v>
      </c>
      <c r="E2273">
        <v>1.9</v>
      </c>
    </row>
    <row r="2274" spans="1:5" x14ac:dyDescent="0.2">
      <c r="A2274">
        <v>2267</v>
      </c>
      <c r="B2274">
        <v>2187</v>
      </c>
      <c r="C2274">
        <v>15</v>
      </c>
      <c r="D2274">
        <v>2</v>
      </c>
      <c r="E2274">
        <v>1.8</v>
      </c>
    </row>
    <row r="2275" spans="1:5" x14ac:dyDescent="0.2">
      <c r="A2275">
        <v>2268</v>
      </c>
      <c r="B2275">
        <v>2184</v>
      </c>
      <c r="C2275">
        <v>15</v>
      </c>
      <c r="D2275">
        <v>2.4</v>
      </c>
      <c r="E2275">
        <v>1.8</v>
      </c>
    </row>
    <row r="2276" spans="1:5" x14ac:dyDescent="0.2">
      <c r="A2276">
        <v>2269</v>
      </c>
      <c r="B2276">
        <v>2182</v>
      </c>
      <c r="C2276">
        <v>14</v>
      </c>
      <c r="D2276">
        <v>2.8</v>
      </c>
      <c r="E2276">
        <v>1.8</v>
      </c>
    </row>
    <row r="2277" spans="1:5" x14ac:dyDescent="0.2">
      <c r="A2277">
        <v>2270</v>
      </c>
      <c r="B2277">
        <v>2180</v>
      </c>
      <c r="C2277">
        <v>14</v>
      </c>
      <c r="D2277">
        <v>3.3</v>
      </c>
      <c r="E2277">
        <v>1.8</v>
      </c>
    </row>
    <row r="2278" spans="1:5" x14ac:dyDescent="0.2">
      <c r="A2278">
        <v>2271</v>
      </c>
      <c r="B2278">
        <v>2177</v>
      </c>
      <c r="C2278">
        <v>14</v>
      </c>
      <c r="D2278">
        <v>3.7</v>
      </c>
      <c r="E2278">
        <v>1.8</v>
      </c>
    </row>
    <row r="2279" spans="1:5" x14ac:dyDescent="0.2">
      <c r="A2279">
        <v>2272</v>
      </c>
      <c r="B2279">
        <v>2175</v>
      </c>
      <c r="C2279">
        <v>14</v>
      </c>
      <c r="D2279">
        <v>4.0999999999999996</v>
      </c>
      <c r="E2279">
        <v>1.8</v>
      </c>
    </row>
    <row r="2280" spans="1:5" x14ac:dyDescent="0.2">
      <c r="A2280">
        <v>2273</v>
      </c>
      <c r="B2280">
        <v>2172</v>
      </c>
      <c r="C2280">
        <v>14</v>
      </c>
      <c r="D2280">
        <v>4.5</v>
      </c>
      <c r="E2280">
        <v>1.8</v>
      </c>
    </row>
    <row r="2281" spans="1:5" x14ac:dyDescent="0.2">
      <c r="A2281">
        <v>2274</v>
      </c>
      <c r="B2281">
        <v>2170</v>
      </c>
      <c r="C2281">
        <v>14</v>
      </c>
      <c r="D2281">
        <v>4.9000000000000004</v>
      </c>
      <c r="E2281">
        <v>1.8</v>
      </c>
    </row>
    <row r="2282" spans="1:5" x14ac:dyDescent="0.2">
      <c r="A2282">
        <v>2275</v>
      </c>
      <c r="B2282">
        <v>2168</v>
      </c>
      <c r="C2282">
        <v>14</v>
      </c>
      <c r="D2282">
        <v>5.3</v>
      </c>
      <c r="E2282">
        <v>1.8</v>
      </c>
    </row>
    <row r="2283" spans="1:5" x14ac:dyDescent="0.2">
      <c r="A2283">
        <v>2276</v>
      </c>
      <c r="B2283">
        <v>2167</v>
      </c>
      <c r="C2283">
        <v>15</v>
      </c>
      <c r="D2283">
        <v>5.6</v>
      </c>
      <c r="E2283">
        <v>1.8</v>
      </c>
    </row>
    <row r="2284" spans="1:5" x14ac:dyDescent="0.2">
      <c r="A2284">
        <v>2277</v>
      </c>
      <c r="B2284">
        <v>2165</v>
      </c>
      <c r="C2284">
        <v>15</v>
      </c>
      <c r="D2284">
        <v>5.9</v>
      </c>
      <c r="E2284">
        <v>1.9</v>
      </c>
    </row>
    <row r="2285" spans="1:5" x14ac:dyDescent="0.2">
      <c r="A2285">
        <v>2278</v>
      </c>
      <c r="B2285">
        <v>2164</v>
      </c>
      <c r="C2285">
        <v>15</v>
      </c>
      <c r="D2285">
        <v>6.2</v>
      </c>
      <c r="E2285">
        <v>1.9</v>
      </c>
    </row>
    <row r="2286" spans="1:5" x14ac:dyDescent="0.2">
      <c r="A2286">
        <v>2279</v>
      </c>
      <c r="B2286">
        <v>2163</v>
      </c>
      <c r="C2286">
        <v>15</v>
      </c>
      <c r="D2286">
        <v>6.5</v>
      </c>
      <c r="E2286">
        <v>1.9</v>
      </c>
    </row>
    <row r="2287" spans="1:5" x14ac:dyDescent="0.2">
      <c r="A2287">
        <v>2280</v>
      </c>
      <c r="B2287">
        <v>2162</v>
      </c>
      <c r="C2287">
        <v>16</v>
      </c>
      <c r="D2287">
        <v>6.7</v>
      </c>
      <c r="E2287">
        <v>2</v>
      </c>
    </row>
    <row r="2288" spans="1:5" x14ac:dyDescent="0.2">
      <c r="A2288">
        <v>2281</v>
      </c>
      <c r="B2288">
        <v>2162</v>
      </c>
      <c r="C2288">
        <v>16</v>
      </c>
      <c r="D2288">
        <v>6.8</v>
      </c>
      <c r="E2288">
        <v>2</v>
      </c>
    </row>
    <row r="2289" spans="1:5" x14ac:dyDescent="0.2">
      <c r="A2289">
        <v>2282</v>
      </c>
      <c r="B2289">
        <v>2162</v>
      </c>
      <c r="C2289">
        <v>16</v>
      </c>
      <c r="D2289">
        <v>7</v>
      </c>
      <c r="E2289">
        <v>2</v>
      </c>
    </row>
    <row r="2290" spans="1:5" x14ac:dyDescent="0.2">
      <c r="A2290">
        <v>2283</v>
      </c>
      <c r="B2290">
        <v>2162</v>
      </c>
      <c r="C2290">
        <v>16</v>
      </c>
      <c r="D2290">
        <v>7.1</v>
      </c>
      <c r="E2290">
        <v>2</v>
      </c>
    </row>
    <row r="2291" spans="1:5" x14ac:dyDescent="0.2">
      <c r="A2291">
        <v>2284</v>
      </c>
      <c r="B2291">
        <v>2163</v>
      </c>
      <c r="C2291">
        <v>16</v>
      </c>
      <c r="D2291">
        <v>7.1</v>
      </c>
      <c r="E2291">
        <v>2</v>
      </c>
    </row>
    <row r="2292" spans="1:5" x14ac:dyDescent="0.2">
      <c r="A2292">
        <v>2285</v>
      </c>
      <c r="B2292">
        <v>2164</v>
      </c>
      <c r="C2292">
        <v>16</v>
      </c>
      <c r="D2292">
        <v>7.1</v>
      </c>
      <c r="E2292">
        <v>2</v>
      </c>
    </row>
    <row r="2293" spans="1:5" x14ac:dyDescent="0.2">
      <c r="A2293">
        <v>2286</v>
      </c>
      <c r="B2293">
        <v>2165</v>
      </c>
      <c r="C2293">
        <v>16</v>
      </c>
      <c r="D2293">
        <v>7</v>
      </c>
      <c r="E2293">
        <v>2</v>
      </c>
    </row>
    <row r="2294" spans="1:5" x14ac:dyDescent="0.2">
      <c r="A2294">
        <v>2287</v>
      </c>
      <c r="B2294">
        <v>2167</v>
      </c>
      <c r="C2294">
        <v>16</v>
      </c>
      <c r="D2294">
        <v>6.9</v>
      </c>
      <c r="E2294">
        <v>2</v>
      </c>
    </row>
    <row r="2295" spans="1:5" x14ac:dyDescent="0.2">
      <c r="A2295">
        <v>2288</v>
      </c>
      <c r="B2295">
        <v>2169</v>
      </c>
      <c r="C2295">
        <v>16</v>
      </c>
      <c r="D2295">
        <v>6.7</v>
      </c>
      <c r="E2295">
        <v>2</v>
      </c>
    </row>
    <row r="2296" spans="1:5" x14ac:dyDescent="0.2">
      <c r="A2296">
        <v>2289</v>
      </c>
      <c r="B2296">
        <v>2172</v>
      </c>
      <c r="C2296">
        <v>16</v>
      </c>
      <c r="D2296">
        <v>6.5</v>
      </c>
      <c r="E2296">
        <v>1.9</v>
      </c>
    </row>
    <row r="2297" spans="1:5" x14ac:dyDescent="0.2">
      <c r="A2297">
        <v>2290</v>
      </c>
      <c r="B2297">
        <v>2175</v>
      </c>
      <c r="C2297">
        <v>15</v>
      </c>
      <c r="D2297">
        <v>6.3</v>
      </c>
      <c r="E2297">
        <v>1.9</v>
      </c>
    </row>
    <row r="2298" spans="1:5" x14ac:dyDescent="0.2">
      <c r="A2298">
        <v>2291</v>
      </c>
      <c r="B2298">
        <v>2178</v>
      </c>
      <c r="C2298">
        <v>15</v>
      </c>
      <c r="D2298">
        <v>6.1</v>
      </c>
      <c r="E2298">
        <v>1.9</v>
      </c>
    </row>
    <row r="2299" spans="1:5" x14ac:dyDescent="0.2">
      <c r="A2299">
        <v>2292</v>
      </c>
      <c r="B2299">
        <v>2181</v>
      </c>
      <c r="C2299">
        <v>15</v>
      </c>
      <c r="D2299">
        <v>5.8</v>
      </c>
      <c r="E2299">
        <v>1.8</v>
      </c>
    </row>
    <row r="2300" spans="1:5" x14ac:dyDescent="0.2">
      <c r="A2300">
        <v>2293</v>
      </c>
      <c r="B2300">
        <v>2184</v>
      </c>
      <c r="C2300">
        <v>14</v>
      </c>
      <c r="D2300">
        <v>5.5</v>
      </c>
      <c r="E2300">
        <v>1.8</v>
      </c>
    </row>
    <row r="2301" spans="1:5" x14ac:dyDescent="0.2">
      <c r="A2301">
        <v>2294</v>
      </c>
      <c r="B2301">
        <v>2188</v>
      </c>
      <c r="C2301">
        <v>14</v>
      </c>
      <c r="D2301">
        <v>5.0999999999999996</v>
      </c>
      <c r="E2301">
        <v>1.8</v>
      </c>
    </row>
    <row r="2302" spans="1:5" x14ac:dyDescent="0.2">
      <c r="A2302">
        <v>2295</v>
      </c>
      <c r="B2302">
        <v>2192</v>
      </c>
      <c r="C2302">
        <v>14</v>
      </c>
      <c r="D2302">
        <v>4.8</v>
      </c>
      <c r="E2302">
        <v>1.7</v>
      </c>
    </row>
    <row r="2303" spans="1:5" x14ac:dyDescent="0.2">
      <c r="A2303">
        <v>2296</v>
      </c>
      <c r="B2303">
        <v>2196</v>
      </c>
      <c r="C2303">
        <v>14</v>
      </c>
      <c r="D2303">
        <v>4.4000000000000004</v>
      </c>
      <c r="E2303">
        <v>1.7</v>
      </c>
    </row>
    <row r="2304" spans="1:5" x14ac:dyDescent="0.2">
      <c r="A2304">
        <v>2297</v>
      </c>
      <c r="B2304">
        <v>2199</v>
      </c>
      <c r="C2304">
        <v>13</v>
      </c>
      <c r="D2304">
        <v>4.0999999999999996</v>
      </c>
      <c r="E2304">
        <v>1.7</v>
      </c>
    </row>
    <row r="2305" spans="1:5" x14ac:dyDescent="0.2">
      <c r="A2305">
        <v>2298</v>
      </c>
      <c r="B2305">
        <v>2203</v>
      </c>
      <c r="C2305">
        <v>13</v>
      </c>
      <c r="D2305">
        <v>3.7</v>
      </c>
      <c r="E2305">
        <v>1.7</v>
      </c>
    </row>
    <row r="2306" spans="1:5" x14ac:dyDescent="0.2">
      <c r="A2306">
        <v>2299</v>
      </c>
      <c r="B2306">
        <v>2207</v>
      </c>
      <c r="C2306">
        <v>13</v>
      </c>
      <c r="D2306">
        <v>3.3</v>
      </c>
      <c r="E2306">
        <v>1.6</v>
      </c>
    </row>
    <row r="2307" spans="1:5" x14ac:dyDescent="0.2">
      <c r="A2307">
        <v>2300</v>
      </c>
      <c r="B2307">
        <v>2211</v>
      </c>
      <c r="C2307">
        <v>13</v>
      </c>
      <c r="D2307">
        <v>2.9</v>
      </c>
      <c r="E2307">
        <v>1.6</v>
      </c>
    </row>
    <row r="2308" spans="1:5" x14ac:dyDescent="0.2">
      <c r="A2308">
        <v>2301</v>
      </c>
      <c r="B2308">
        <v>2215</v>
      </c>
      <c r="C2308">
        <v>13</v>
      </c>
      <c r="D2308">
        <v>2.6</v>
      </c>
      <c r="E2308">
        <v>1.6</v>
      </c>
    </row>
    <row r="2309" spans="1:5" x14ac:dyDescent="0.2">
      <c r="A2309">
        <v>2302</v>
      </c>
      <c r="B2309">
        <v>2219</v>
      </c>
      <c r="C2309">
        <v>13</v>
      </c>
      <c r="D2309">
        <v>2.2000000000000002</v>
      </c>
      <c r="E2309">
        <v>1.6</v>
      </c>
    </row>
    <row r="2310" spans="1:5" x14ac:dyDescent="0.2">
      <c r="A2310">
        <v>2303</v>
      </c>
      <c r="B2310">
        <v>2223</v>
      </c>
      <c r="C2310">
        <v>13</v>
      </c>
      <c r="D2310">
        <v>1.9</v>
      </c>
      <c r="E2310">
        <v>1.6</v>
      </c>
    </row>
    <row r="2311" spans="1:5" x14ac:dyDescent="0.2">
      <c r="A2311">
        <v>2304</v>
      </c>
      <c r="B2311">
        <v>2226</v>
      </c>
      <c r="C2311">
        <v>13</v>
      </c>
      <c r="D2311">
        <v>1.6</v>
      </c>
      <c r="E2311">
        <v>1.7</v>
      </c>
    </row>
    <row r="2312" spans="1:5" x14ac:dyDescent="0.2">
      <c r="A2312">
        <v>2305</v>
      </c>
      <c r="B2312">
        <v>2230</v>
      </c>
      <c r="C2312">
        <v>13</v>
      </c>
      <c r="D2312">
        <v>1.3</v>
      </c>
      <c r="E2312">
        <v>1.7</v>
      </c>
    </row>
    <row r="2313" spans="1:5" x14ac:dyDescent="0.2">
      <c r="A2313">
        <v>2306</v>
      </c>
      <c r="B2313">
        <v>2233</v>
      </c>
      <c r="C2313">
        <v>13</v>
      </c>
      <c r="D2313">
        <v>1</v>
      </c>
      <c r="E2313">
        <v>1.7</v>
      </c>
    </row>
    <row r="2314" spans="1:5" x14ac:dyDescent="0.2">
      <c r="A2314">
        <v>2307</v>
      </c>
      <c r="B2314">
        <v>2236</v>
      </c>
      <c r="C2314">
        <v>13</v>
      </c>
      <c r="D2314">
        <v>0.7</v>
      </c>
      <c r="E2314">
        <v>1.7</v>
      </c>
    </row>
    <row r="2315" spans="1:5" x14ac:dyDescent="0.2">
      <c r="A2315">
        <v>2308</v>
      </c>
      <c r="B2315">
        <v>2239</v>
      </c>
      <c r="C2315">
        <v>13</v>
      </c>
      <c r="D2315">
        <v>0.5</v>
      </c>
      <c r="E2315">
        <v>1.7</v>
      </c>
    </row>
    <row r="2316" spans="1:5" x14ac:dyDescent="0.2">
      <c r="A2316">
        <v>2309</v>
      </c>
      <c r="B2316">
        <v>2241</v>
      </c>
      <c r="C2316">
        <v>13</v>
      </c>
      <c r="D2316">
        <v>0.3</v>
      </c>
      <c r="E2316">
        <v>1.7</v>
      </c>
    </row>
    <row r="2317" spans="1:5" x14ac:dyDescent="0.2">
      <c r="A2317">
        <v>2310</v>
      </c>
      <c r="B2317">
        <v>2244</v>
      </c>
      <c r="C2317">
        <v>13</v>
      </c>
      <c r="D2317">
        <v>0.1</v>
      </c>
      <c r="E2317">
        <v>1.7</v>
      </c>
    </row>
    <row r="2318" spans="1:5" x14ac:dyDescent="0.2">
      <c r="A2318">
        <v>2311</v>
      </c>
      <c r="B2318">
        <v>2245</v>
      </c>
      <c r="C2318">
        <v>13</v>
      </c>
      <c r="D2318">
        <v>0</v>
      </c>
      <c r="E2318">
        <v>1.7</v>
      </c>
    </row>
    <row r="2319" spans="1:5" x14ac:dyDescent="0.2">
      <c r="A2319">
        <v>2312</v>
      </c>
      <c r="B2319">
        <v>2247</v>
      </c>
      <c r="C2319">
        <v>13</v>
      </c>
      <c r="D2319">
        <v>-0.1</v>
      </c>
      <c r="E2319">
        <v>1.6</v>
      </c>
    </row>
    <row r="2320" spans="1:5" x14ac:dyDescent="0.2">
      <c r="A2320">
        <v>2313</v>
      </c>
      <c r="B2320">
        <v>2249</v>
      </c>
      <c r="C2320">
        <v>13</v>
      </c>
      <c r="D2320">
        <v>-0.2</v>
      </c>
      <c r="E2320">
        <v>1.6</v>
      </c>
    </row>
    <row r="2321" spans="1:5" x14ac:dyDescent="0.2">
      <c r="A2321">
        <v>2314</v>
      </c>
      <c r="B2321">
        <v>2250</v>
      </c>
      <c r="C2321">
        <v>13</v>
      </c>
      <c r="D2321">
        <v>-0.2</v>
      </c>
      <c r="E2321">
        <v>1.6</v>
      </c>
    </row>
    <row r="2322" spans="1:5" x14ac:dyDescent="0.2">
      <c r="A2322">
        <v>2315</v>
      </c>
      <c r="B2322">
        <v>2251</v>
      </c>
      <c r="C2322">
        <v>13</v>
      </c>
      <c r="D2322">
        <v>-0.2</v>
      </c>
      <c r="E2322">
        <v>1.6</v>
      </c>
    </row>
    <row r="2323" spans="1:5" x14ac:dyDescent="0.2">
      <c r="A2323">
        <v>2316</v>
      </c>
      <c r="B2323">
        <v>2252</v>
      </c>
      <c r="C2323">
        <v>13</v>
      </c>
      <c r="D2323">
        <v>-0.2</v>
      </c>
      <c r="E2323">
        <v>1.6</v>
      </c>
    </row>
    <row r="2324" spans="1:5" x14ac:dyDescent="0.2">
      <c r="A2324">
        <v>2317</v>
      </c>
      <c r="B2324">
        <v>2253</v>
      </c>
      <c r="C2324">
        <v>13</v>
      </c>
      <c r="D2324">
        <v>-0.2</v>
      </c>
      <c r="E2324">
        <v>1.6</v>
      </c>
    </row>
    <row r="2325" spans="1:5" x14ac:dyDescent="0.2">
      <c r="A2325">
        <v>2318</v>
      </c>
      <c r="B2325">
        <v>2254</v>
      </c>
      <c r="C2325">
        <v>12</v>
      </c>
      <c r="D2325">
        <v>-0.2</v>
      </c>
      <c r="E2325">
        <v>1.6</v>
      </c>
    </row>
    <row r="2326" spans="1:5" x14ac:dyDescent="0.2">
      <c r="A2326">
        <v>2319</v>
      </c>
      <c r="B2326">
        <v>2255</v>
      </c>
      <c r="C2326">
        <v>12</v>
      </c>
      <c r="D2326">
        <v>-0.2</v>
      </c>
      <c r="E2326">
        <v>1.5</v>
      </c>
    </row>
    <row r="2327" spans="1:5" x14ac:dyDescent="0.2">
      <c r="A2327">
        <v>2320</v>
      </c>
      <c r="B2327">
        <v>2256</v>
      </c>
      <c r="C2327">
        <v>12</v>
      </c>
      <c r="D2327">
        <v>-0.2</v>
      </c>
      <c r="E2327">
        <v>1.5</v>
      </c>
    </row>
    <row r="2328" spans="1:5" x14ac:dyDescent="0.2">
      <c r="A2328">
        <v>2321</v>
      </c>
      <c r="B2328">
        <v>2257</v>
      </c>
      <c r="C2328">
        <v>12</v>
      </c>
      <c r="D2328">
        <v>-0.2</v>
      </c>
      <c r="E2328">
        <v>1.5</v>
      </c>
    </row>
    <row r="2329" spans="1:5" x14ac:dyDescent="0.2">
      <c r="A2329">
        <v>2322</v>
      </c>
      <c r="B2329">
        <v>2258</v>
      </c>
      <c r="C2329">
        <v>12</v>
      </c>
      <c r="D2329">
        <v>-0.2</v>
      </c>
      <c r="E2329">
        <v>1.5</v>
      </c>
    </row>
    <row r="2330" spans="1:5" x14ac:dyDescent="0.2">
      <c r="A2330">
        <v>2323</v>
      </c>
      <c r="B2330">
        <v>2259</v>
      </c>
      <c r="C2330">
        <v>12</v>
      </c>
      <c r="D2330">
        <v>-0.2</v>
      </c>
      <c r="E2330">
        <v>1.5</v>
      </c>
    </row>
    <row r="2331" spans="1:5" x14ac:dyDescent="0.2">
      <c r="A2331">
        <v>2324</v>
      </c>
      <c r="B2331">
        <v>2259</v>
      </c>
      <c r="C2331">
        <v>12</v>
      </c>
      <c r="D2331">
        <v>-0.2</v>
      </c>
      <c r="E2331">
        <v>1.6</v>
      </c>
    </row>
    <row r="2332" spans="1:5" x14ac:dyDescent="0.2">
      <c r="A2332">
        <v>2325</v>
      </c>
      <c r="B2332">
        <v>2261</v>
      </c>
      <c r="C2332">
        <v>13</v>
      </c>
      <c r="D2332">
        <v>-0.2</v>
      </c>
      <c r="E2332">
        <v>1.6</v>
      </c>
    </row>
    <row r="2333" spans="1:5" x14ac:dyDescent="0.2">
      <c r="A2333">
        <v>2326</v>
      </c>
      <c r="B2333">
        <v>2262</v>
      </c>
      <c r="C2333">
        <v>13</v>
      </c>
      <c r="D2333">
        <v>-0.2</v>
      </c>
      <c r="E2333">
        <v>1.6</v>
      </c>
    </row>
    <row r="2334" spans="1:5" x14ac:dyDescent="0.2">
      <c r="A2334">
        <v>2327</v>
      </c>
      <c r="B2334">
        <v>2263</v>
      </c>
      <c r="C2334">
        <v>13</v>
      </c>
      <c r="D2334">
        <v>-0.2</v>
      </c>
      <c r="E2334">
        <v>1.6</v>
      </c>
    </row>
    <row r="2335" spans="1:5" x14ac:dyDescent="0.2">
      <c r="A2335">
        <v>2328</v>
      </c>
      <c r="B2335">
        <v>2264</v>
      </c>
      <c r="C2335">
        <v>13</v>
      </c>
      <c r="D2335">
        <v>-0.3</v>
      </c>
      <c r="E2335">
        <v>1.6</v>
      </c>
    </row>
    <row r="2336" spans="1:5" x14ac:dyDescent="0.2">
      <c r="A2336">
        <v>2329</v>
      </c>
      <c r="B2336">
        <v>2266</v>
      </c>
      <c r="C2336">
        <v>13</v>
      </c>
      <c r="D2336">
        <v>-0.4</v>
      </c>
      <c r="E2336">
        <v>1.6</v>
      </c>
    </row>
    <row r="2337" spans="1:5" x14ac:dyDescent="0.2">
      <c r="A2337">
        <v>2330</v>
      </c>
      <c r="B2337">
        <v>2268</v>
      </c>
      <c r="C2337">
        <v>13</v>
      </c>
      <c r="D2337">
        <v>-0.5</v>
      </c>
      <c r="E2337">
        <v>1.7</v>
      </c>
    </row>
    <row r="2338" spans="1:5" x14ac:dyDescent="0.2">
      <c r="A2338">
        <v>2331</v>
      </c>
      <c r="B2338">
        <v>2270</v>
      </c>
      <c r="C2338">
        <v>13</v>
      </c>
      <c r="D2338">
        <v>-0.6</v>
      </c>
      <c r="E2338">
        <v>1.7</v>
      </c>
    </row>
    <row r="2339" spans="1:5" x14ac:dyDescent="0.2">
      <c r="A2339">
        <v>2332</v>
      </c>
      <c r="B2339">
        <v>2272</v>
      </c>
      <c r="C2339">
        <v>14</v>
      </c>
      <c r="D2339">
        <v>-0.8</v>
      </c>
      <c r="E2339">
        <v>1.7</v>
      </c>
    </row>
    <row r="2340" spans="1:5" x14ac:dyDescent="0.2">
      <c r="A2340">
        <v>2333</v>
      </c>
      <c r="B2340">
        <v>2275</v>
      </c>
      <c r="C2340">
        <v>14</v>
      </c>
      <c r="D2340">
        <v>-1</v>
      </c>
      <c r="E2340">
        <v>1.7</v>
      </c>
    </row>
    <row r="2341" spans="1:5" x14ac:dyDescent="0.2">
      <c r="A2341">
        <v>2334</v>
      </c>
      <c r="B2341">
        <v>2278</v>
      </c>
      <c r="C2341">
        <v>14</v>
      </c>
      <c r="D2341">
        <v>-1.2</v>
      </c>
      <c r="E2341">
        <v>1.7</v>
      </c>
    </row>
    <row r="2342" spans="1:5" x14ac:dyDescent="0.2">
      <c r="A2342">
        <v>2335</v>
      </c>
      <c r="B2342">
        <v>2281</v>
      </c>
      <c r="C2342">
        <v>14</v>
      </c>
      <c r="D2342">
        <v>-1.5</v>
      </c>
      <c r="E2342">
        <v>1.7</v>
      </c>
    </row>
    <row r="2343" spans="1:5" x14ac:dyDescent="0.2">
      <c r="A2343">
        <v>2336</v>
      </c>
      <c r="B2343">
        <v>2285</v>
      </c>
      <c r="C2343">
        <v>13</v>
      </c>
      <c r="D2343">
        <v>-1.9</v>
      </c>
      <c r="E2343">
        <v>1.7</v>
      </c>
    </row>
    <row r="2344" spans="1:5" x14ac:dyDescent="0.2">
      <c r="A2344">
        <v>2337</v>
      </c>
      <c r="B2344">
        <v>2289</v>
      </c>
      <c r="C2344">
        <v>13</v>
      </c>
      <c r="D2344">
        <v>-2.2000000000000002</v>
      </c>
      <c r="E2344">
        <v>1.7</v>
      </c>
    </row>
    <row r="2345" spans="1:5" x14ac:dyDescent="0.2">
      <c r="A2345">
        <v>2338</v>
      </c>
      <c r="B2345">
        <v>2293</v>
      </c>
      <c r="C2345">
        <v>13</v>
      </c>
      <c r="D2345">
        <v>-2.6</v>
      </c>
      <c r="E2345">
        <v>1.6</v>
      </c>
    </row>
    <row r="2346" spans="1:5" x14ac:dyDescent="0.2">
      <c r="A2346">
        <v>2339</v>
      </c>
      <c r="B2346">
        <v>2297</v>
      </c>
      <c r="C2346">
        <v>13</v>
      </c>
      <c r="D2346">
        <v>-3</v>
      </c>
      <c r="E2346">
        <v>1.6</v>
      </c>
    </row>
    <row r="2347" spans="1:5" x14ac:dyDescent="0.2">
      <c r="A2347">
        <v>2340</v>
      </c>
      <c r="B2347">
        <v>2301</v>
      </c>
      <c r="C2347">
        <v>13</v>
      </c>
      <c r="D2347">
        <v>-3.4</v>
      </c>
      <c r="E2347">
        <v>1.6</v>
      </c>
    </row>
    <row r="2348" spans="1:5" x14ac:dyDescent="0.2">
      <c r="A2348">
        <v>2341</v>
      </c>
      <c r="B2348">
        <v>2306</v>
      </c>
      <c r="C2348">
        <v>13</v>
      </c>
      <c r="D2348">
        <v>-3.9</v>
      </c>
      <c r="E2348">
        <v>1.6</v>
      </c>
    </row>
    <row r="2349" spans="1:5" x14ac:dyDescent="0.2">
      <c r="A2349">
        <v>2342</v>
      </c>
      <c r="B2349">
        <v>2311</v>
      </c>
      <c r="C2349">
        <v>13</v>
      </c>
      <c r="D2349">
        <v>-4.4000000000000004</v>
      </c>
      <c r="E2349">
        <v>1.6</v>
      </c>
    </row>
    <row r="2350" spans="1:5" x14ac:dyDescent="0.2">
      <c r="A2350">
        <v>2343</v>
      </c>
      <c r="B2350">
        <v>2316</v>
      </c>
      <c r="C2350">
        <v>13</v>
      </c>
      <c r="D2350">
        <v>-4.9000000000000004</v>
      </c>
      <c r="E2350">
        <v>1.6</v>
      </c>
    </row>
    <row r="2351" spans="1:5" x14ac:dyDescent="0.2">
      <c r="A2351">
        <v>2344</v>
      </c>
      <c r="B2351">
        <v>2321</v>
      </c>
      <c r="C2351">
        <v>12</v>
      </c>
      <c r="D2351">
        <v>-5.3</v>
      </c>
      <c r="E2351">
        <v>1.5</v>
      </c>
    </row>
    <row r="2352" spans="1:5" x14ac:dyDescent="0.2">
      <c r="A2352">
        <v>2345</v>
      </c>
      <c r="B2352">
        <v>2326</v>
      </c>
      <c r="C2352">
        <v>12</v>
      </c>
      <c r="D2352">
        <v>-5.9</v>
      </c>
      <c r="E2352">
        <v>1.5</v>
      </c>
    </row>
    <row r="2353" spans="1:5" x14ac:dyDescent="0.2">
      <c r="A2353">
        <v>2346</v>
      </c>
      <c r="B2353">
        <v>2331</v>
      </c>
      <c r="C2353">
        <v>12</v>
      </c>
      <c r="D2353">
        <v>-6.4</v>
      </c>
      <c r="E2353">
        <v>1.5</v>
      </c>
    </row>
    <row r="2354" spans="1:5" x14ac:dyDescent="0.2">
      <c r="A2354">
        <v>2347</v>
      </c>
      <c r="B2354">
        <v>2336</v>
      </c>
      <c r="C2354">
        <v>12</v>
      </c>
      <c r="D2354">
        <v>-6.9</v>
      </c>
      <c r="E2354">
        <v>1.5</v>
      </c>
    </row>
    <row r="2355" spans="1:5" x14ac:dyDescent="0.2">
      <c r="A2355">
        <v>2348</v>
      </c>
      <c r="B2355">
        <v>2341</v>
      </c>
      <c r="C2355">
        <v>12</v>
      </c>
      <c r="D2355">
        <v>-7.4</v>
      </c>
      <c r="E2355">
        <v>1.5</v>
      </c>
    </row>
    <row r="2356" spans="1:5" x14ac:dyDescent="0.2">
      <c r="A2356">
        <v>2349</v>
      </c>
      <c r="B2356">
        <v>2346</v>
      </c>
      <c r="C2356">
        <v>13</v>
      </c>
      <c r="D2356">
        <v>-7.9</v>
      </c>
      <c r="E2356">
        <v>1.6</v>
      </c>
    </row>
    <row r="2357" spans="1:5" x14ac:dyDescent="0.2">
      <c r="A2357">
        <v>2350</v>
      </c>
      <c r="B2357">
        <v>2352</v>
      </c>
      <c r="C2357">
        <v>13</v>
      </c>
      <c r="D2357">
        <v>-8.4</v>
      </c>
      <c r="E2357">
        <v>1.6</v>
      </c>
    </row>
    <row r="2358" spans="1:5" x14ac:dyDescent="0.2">
      <c r="A2358">
        <v>2351</v>
      </c>
      <c r="B2358">
        <v>2357</v>
      </c>
      <c r="C2358">
        <v>13</v>
      </c>
      <c r="D2358">
        <v>-8.9</v>
      </c>
      <c r="E2358">
        <v>1.6</v>
      </c>
    </row>
    <row r="2359" spans="1:5" x14ac:dyDescent="0.2">
      <c r="A2359">
        <v>2352</v>
      </c>
      <c r="B2359">
        <v>2362</v>
      </c>
      <c r="C2359">
        <v>13</v>
      </c>
      <c r="D2359">
        <v>-9.4</v>
      </c>
      <c r="E2359">
        <v>1.6</v>
      </c>
    </row>
    <row r="2360" spans="1:5" x14ac:dyDescent="0.2">
      <c r="A2360">
        <v>2353</v>
      </c>
      <c r="B2360">
        <v>2366</v>
      </c>
      <c r="C2360">
        <v>13</v>
      </c>
      <c r="D2360">
        <v>-9.9</v>
      </c>
      <c r="E2360">
        <v>1.6</v>
      </c>
    </row>
    <row r="2361" spans="1:5" x14ac:dyDescent="0.2">
      <c r="A2361">
        <v>2354</v>
      </c>
      <c r="B2361">
        <v>2371</v>
      </c>
      <c r="C2361">
        <v>13</v>
      </c>
      <c r="D2361">
        <v>-10.4</v>
      </c>
      <c r="E2361">
        <v>1.6</v>
      </c>
    </row>
    <row r="2362" spans="1:5" x14ac:dyDescent="0.2">
      <c r="A2362">
        <v>2355</v>
      </c>
      <c r="B2362">
        <v>2376</v>
      </c>
      <c r="C2362">
        <v>13</v>
      </c>
      <c r="D2362">
        <v>-10.8</v>
      </c>
      <c r="E2362">
        <v>1.6</v>
      </c>
    </row>
    <row r="2363" spans="1:5" x14ac:dyDescent="0.2">
      <c r="A2363">
        <v>2356</v>
      </c>
      <c r="B2363">
        <v>2380</v>
      </c>
      <c r="C2363">
        <v>14</v>
      </c>
      <c r="D2363">
        <v>-11.3</v>
      </c>
      <c r="E2363">
        <v>1.7</v>
      </c>
    </row>
    <row r="2364" spans="1:5" x14ac:dyDescent="0.2">
      <c r="A2364">
        <v>2357</v>
      </c>
      <c r="B2364">
        <v>2385</v>
      </c>
      <c r="C2364">
        <v>14</v>
      </c>
      <c r="D2364">
        <v>-11.7</v>
      </c>
      <c r="E2364">
        <v>1.7</v>
      </c>
    </row>
    <row r="2365" spans="1:5" x14ac:dyDescent="0.2">
      <c r="A2365">
        <v>2358</v>
      </c>
      <c r="B2365">
        <v>2389</v>
      </c>
      <c r="C2365">
        <v>14</v>
      </c>
      <c r="D2365">
        <v>-12</v>
      </c>
      <c r="E2365">
        <v>1.7</v>
      </c>
    </row>
    <row r="2366" spans="1:5" x14ac:dyDescent="0.2">
      <c r="A2366">
        <v>2359</v>
      </c>
      <c r="B2366">
        <v>2392</v>
      </c>
      <c r="C2366">
        <v>14</v>
      </c>
      <c r="D2366">
        <v>-12.4</v>
      </c>
      <c r="E2366">
        <v>1.7</v>
      </c>
    </row>
    <row r="2367" spans="1:5" x14ac:dyDescent="0.2">
      <c r="A2367">
        <v>2360</v>
      </c>
      <c r="B2367">
        <v>2396</v>
      </c>
      <c r="C2367">
        <v>14</v>
      </c>
      <c r="D2367">
        <v>-12.7</v>
      </c>
      <c r="E2367">
        <v>1.7</v>
      </c>
    </row>
    <row r="2368" spans="1:5" x14ac:dyDescent="0.2">
      <c r="A2368">
        <v>2361</v>
      </c>
      <c r="B2368">
        <v>2399</v>
      </c>
      <c r="C2368">
        <v>13</v>
      </c>
      <c r="D2368">
        <v>-13</v>
      </c>
      <c r="E2368">
        <v>1.6</v>
      </c>
    </row>
    <row r="2369" spans="1:5" x14ac:dyDescent="0.2">
      <c r="A2369">
        <v>2362</v>
      </c>
      <c r="B2369">
        <v>2402</v>
      </c>
      <c r="C2369">
        <v>13</v>
      </c>
      <c r="D2369">
        <v>-13.2</v>
      </c>
      <c r="E2369">
        <v>1.6</v>
      </c>
    </row>
    <row r="2370" spans="1:5" x14ac:dyDescent="0.2">
      <c r="A2370">
        <v>2363</v>
      </c>
      <c r="B2370">
        <v>2405</v>
      </c>
      <c r="C2370">
        <v>13</v>
      </c>
      <c r="D2370">
        <v>-13.5</v>
      </c>
      <c r="E2370">
        <v>1.6</v>
      </c>
    </row>
    <row r="2371" spans="1:5" x14ac:dyDescent="0.2">
      <c r="A2371">
        <v>2364</v>
      </c>
      <c r="B2371">
        <v>2407</v>
      </c>
      <c r="C2371">
        <v>13</v>
      </c>
      <c r="D2371">
        <v>-13.6</v>
      </c>
      <c r="E2371">
        <v>1.6</v>
      </c>
    </row>
    <row r="2372" spans="1:5" x14ac:dyDescent="0.2">
      <c r="A2372">
        <v>2365</v>
      </c>
      <c r="B2372">
        <v>2410</v>
      </c>
      <c r="C2372">
        <v>13</v>
      </c>
      <c r="D2372">
        <v>-13.8</v>
      </c>
      <c r="E2372">
        <v>1.6</v>
      </c>
    </row>
    <row r="2373" spans="1:5" x14ac:dyDescent="0.2">
      <c r="A2373">
        <v>2366</v>
      </c>
      <c r="B2373">
        <v>2412</v>
      </c>
      <c r="C2373">
        <v>13</v>
      </c>
      <c r="D2373">
        <v>-14</v>
      </c>
      <c r="E2373">
        <v>1.6</v>
      </c>
    </row>
    <row r="2374" spans="1:5" x14ac:dyDescent="0.2">
      <c r="A2374">
        <v>2367</v>
      </c>
      <c r="B2374">
        <v>2414</v>
      </c>
      <c r="C2374">
        <v>13</v>
      </c>
      <c r="D2374">
        <v>-14.1</v>
      </c>
      <c r="E2374">
        <v>1.6</v>
      </c>
    </row>
    <row r="2375" spans="1:5" x14ac:dyDescent="0.2">
      <c r="A2375">
        <v>2368</v>
      </c>
      <c r="B2375">
        <v>2416</v>
      </c>
      <c r="C2375">
        <v>13</v>
      </c>
      <c r="D2375">
        <v>-14.2</v>
      </c>
      <c r="E2375">
        <v>1.6</v>
      </c>
    </row>
    <row r="2376" spans="1:5" x14ac:dyDescent="0.2">
      <c r="A2376">
        <v>2369</v>
      </c>
      <c r="B2376">
        <v>2417</v>
      </c>
      <c r="C2376">
        <v>13</v>
      </c>
      <c r="D2376">
        <v>-14.3</v>
      </c>
      <c r="E2376">
        <v>1.6</v>
      </c>
    </row>
    <row r="2377" spans="1:5" x14ac:dyDescent="0.2">
      <c r="A2377">
        <v>2370</v>
      </c>
      <c r="B2377">
        <v>2419</v>
      </c>
      <c r="C2377">
        <v>13</v>
      </c>
      <c r="D2377">
        <v>-14.3</v>
      </c>
      <c r="E2377">
        <v>1.6</v>
      </c>
    </row>
    <row r="2378" spans="1:5" x14ac:dyDescent="0.2">
      <c r="A2378">
        <v>2371</v>
      </c>
      <c r="B2378">
        <v>2420</v>
      </c>
      <c r="C2378">
        <v>13</v>
      </c>
      <c r="D2378">
        <v>-14.3</v>
      </c>
      <c r="E2378">
        <v>1.6</v>
      </c>
    </row>
    <row r="2379" spans="1:5" x14ac:dyDescent="0.2">
      <c r="A2379">
        <v>2372</v>
      </c>
      <c r="B2379">
        <v>2421</v>
      </c>
      <c r="C2379">
        <v>13</v>
      </c>
      <c r="D2379">
        <v>-14.3</v>
      </c>
      <c r="E2379">
        <v>1.6</v>
      </c>
    </row>
    <row r="2380" spans="1:5" x14ac:dyDescent="0.2">
      <c r="A2380">
        <v>2373</v>
      </c>
      <c r="B2380">
        <v>2422</v>
      </c>
      <c r="C2380">
        <v>13</v>
      </c>
      <c r="D2380">
        <v>-14.3</v>
      </c>
      <c r="E2380">
        <v>1.6</v>
      </c>
    </row>
    <row r="2381" spans="1:5" x14ac:dyDescent="0.2">
      <c r="A2381">
        <v>2374</v>
      </c>
      <c r="B2381">
        <v>2422</v>
      </c>
      <c r="C2381">
        <v>13</v>
      </c>
      <c r="D2381">
        <v>-14.3</v>
      </c>
      <c r="E2381">
        <v>1.6</v>
      </c>
    </row>
    <row r="2382" spans="1:5" x14ac:dyDescent="0.2">
      <c r="A2382">
        <v>2375</v>
      </c>
      <c r="B2382">
        <v>2423</v>
      </c>
      <c r="C2382">
        <v>13</v>
      </c>
      <c r="D2382">
        <v>-14.2</v>
      </c>
      <c r="E2382">
        <v>1.6</v>
      </c>
    </row>
    <row r="2383" spans="1:5" x14ac:dyDescent="0.2">
      <c r="A2383">
        <v>2376</v>
      </c>
      <c r="B2383">
        <v>2423</v>
      </c>
      <c r="C2383">
        <v>13</v>
      </c>
      <c r="D2383">
        <v>-14.1</v>
      </c>
      <c r="E2383">
        <v>1.6</v>
      </c>
    </row>
    <row r="2384" spans="1:5" x14ac:dyDescent="0.2">
      <c r="A2384">
        <v>2377</v>
      </c>
      <c r="B2384">
        <v>2423</v>
      </c>
      <c r="C2384">
        <v>13</v>
      </c>
      <c r="D2384">
        <v>-14</v>
      </c>
      <c r="E2384">
        <v>1.7</v>
      </c>
    </row>
    <row r="2385" spans="1:5" x14ac:dyDescent="0.2">
      <c r="A2385">
        <v>2378</v>
      </c>
      <c r="B2385">
        <v>2423</v>
      </c>
      <c r="C2385">
        <v>14</v>
      </c>
      <c r="D2385">
        <v>-13.9</v>
      </c>
      <c r="E2385">
        <v>1.7</v>
      </c>
    </row>
    <row r="2386" spans="1:5" x14ac:dyDescent="0.2">
      <c r="A2386">
        <v>2379</v>
      </c>
      <c r="B2386">
        <v>2423</v>
      </c>
      <c r="C2386">
        <v>14</v>
      </c>
      <c r="D2386">
        <v>-13.8</v>
      </c>
      <c r="E2386">
        <v>1.7</v>
      </c>
    </row>
    <row r="2387" spans="1:5" x14ac:dyDescent="0.2">
      <c r="A2387">
        <v>2380</v>
      </c>
      <c r="B2387">
        <v>2423</v>
      </c>
      <c r="C2387">
        <v>14</v>
      </c>
      <c r="D2387">
        <v>-13.6</v>
      </c>
      <c r="E2387">
        <v>1.7</v>
      </c>
    </row>
    <row r="2388" spans="1:5" x14ac:dyDescent="0.2">
      <c r="A2388">
        <v>2381</v>
      </c>
      <c r="B2388">
        <v>2422</v>
      </c>
      <c r="C2388">
        <v>14</v>
      </c>
      <c r="D2388">
        <v>-13.4</v>
      </c>
      <c r="E2388">
        <v>1.7</v>
      </c>
    </row>
    <row r="2389" spans="1:5" x14ac:dyDescent="0.2">
      <c r="A2389">
        <v>2382</v>
      </c>
      <c r="B2389">
        <v>2422</v>
      </c>
      <c r="C2389">
        <v>13</v>
      </c>
      <c r="D2389">
        <v>-13.2</v>
      </c>
      <c r="E2389">
        <v>1.7</v>
      </c>
    </row>
    <row r="2390" spans="1:5" x14ac:dyDescent="0.2">
      <c r="A2390">
        <v>2383</v>
      </c>
      <c r="B2390">
        <v>2421</v>
      </c>
      <c r="C2390">
        <v>13</v>
      </c>
      <c r="D2390">
        <v>-13</v>
      </c>
      <c r="E2390">
        <v>1.6</v>
      </c>
    </row>
    <row r="2391" spans="1:5" x14ac:dyDescent="0.2">
      <c r="A2391">
        <v>2384</v>
      </c>
      <c r="B2391">
        <v>2420</v>
      </c>
      <c r="C2391">
        <v>13</v>
      </c>
      <c r="D2391">
        <v>-12.8</v>
      </c>
      <c r="E2391">
        <v>1.6</v>
      </c>
    </row>
    <row r="2392" spans="1:5" x14ac:dyDescent="0.2">
      <c r="A2392">
        <v>2385</v>
      </c>
      <c r="B2392">
        <v>2419</v>
      </c>
      <c r="C2392">
        <v>13</v>
      </c>
      <c r="D2392">
        <v>-12.6</v>
      </c>
      <c r="E2392">
        <v>1.6</v>
      </c>
    </row>
    <row r="2393" spans="1:5" x14ac:dyDescent="0.2">
      <c r="A2393">
        <v>2386</v>
      </c>
      <c r="B2393">
        <v>2418</v>
      </c>
      <c r="C2393">
        <v>13</v>
      </c>
      <c r="D2393">
        <v>-12.3</v>
      </c>
      <c r="E2393">
        <v>1.6</v>
      </c>
    </row>
    <row r="2394" spans="1:5" x14ac:dyDescent="0.2">
      <c r="A2394">
        <v>2387</v>
      </c>
      <c r="B2394">
        <v>2417</v>
      </c>
      <c r="C2394">
        <v>13</v>
      </c>
      <c r="D2394">
        <v>-12.1</v>
      </c>
      <c r="E2394">
        <v>1.6</v>
      </c>
    </row>
    <row r="2395" spans="1:5" x14ac:dyDescent="0.2">
      <c r="A2395">
        <v>2388</v>
      </c>
      <c r="B2395">
        <v>2416</v>
      </c>
      <c r="C2395">
        <v>13</v>
      </c>
      <c r="D2395">
        <v>-11.8</v>
      </c>
      <c r="E2395">
        <v>1.6</v>
      </c>
    </row>
    <row r="2396" spans="1:5" x14ac:dyDescent="0.2">
      <c r="A2396">
        <v>2389</v>
      </c>
      <c r="B2396">
        <v>2415</v>
      </c>
      <c r="C2396">
        <v>13</v>
      </c>
      <c r="D2396">
        <v>-11.6</v>
      </c>
      <c r="E2396">
        <v>1.6</v>
      </c>
    </row>
    <row r="2397" spans="1:5" x14ac:dyDescent="0.2">
      <c r="A2397">
        <v>2390</v>
      </c>
      <c r="B2397">
        <v>2414</v>
      </c>
      <c r="C2397">
        <v>13</v>
      </c>
      <c r="D2397">
        <v>-11.3</v>
      </c>
      <c r="E2397">
        <v>1.6</v>
      </c>
    </row>
    <row r="2398" spans="1:5" x14ac:dyDescent="0.2">
      <c r="A2398">
        <v>2391</v>
      </c>
      <c r="B2398">
        <v>2413</v>
      </c>
      <c r="C2398">
        <v>13</v>
      </c>
      <c r="D2398">
        <v>-11.1</v>
      </c>
      <c r="E2398">
        <v>1.6</v>
      </c>
    </row>
    <row r="2399" spans="1:5" x14ac:dyDescent="0.2">
      <c r="A2399">
        <v>2392</v>
      </c>
      <c r="B2399">
        <v>2412</v>
      </c>
      <c r="C2399">
        <v>13</v>
      </c>
      <c r="D2399">
        <v>-10.8</v>
      </c>
      <c r="E2399">
        <v>1.7</v>
      </c>
    </row>
    <row r="2400" spans="1:5" x14ac:dyDescent="0.2">
      <c r="A2400">
        <v>2393</v>
      </c>
      <c r="B2400">
        <v>2411</v>
      </c>
      <c r="C2400">
        <v>14</v>
      </c>
      <c r="D2400">
        <v>-10.6</v>
      </c>
      <c r="E2400">
        <v>1.7</v>
      </c>
    </row>
    <row r="2401" spans="1:5" x14ac:dyDescent="0.2">
      <c r="A2401">
        <v>2394</v>
      </c>
      <c r="B2401">
        <v>2410</v>
      </c>
      <c r="C2401">
        <v>14</v>
      </c>
      <c r="D2401">
        <v>-10.4</v>
      </c>
      <c r="E2401">
        <v>1.7</v>
      </c>
    </row>
    <row r="2402" spans="1:5" x14ac:dyDescent="0.2">
      <c r="A2402">
        <v>2395</v>
      </c>
      <c r="B2402">
        <v>2409</v>
      </c>
      <c r="C2402">
        <v>14</v>
      </c>
      <c r="D2402">
        <v>-10.199999999999999</v>
      </c>
      <c r="E2402">
        <v>1.7</v>
      </c>
    </row>
    <row r="2403" spans="1:5" x14ac:dyDescent="0.2">
      <c r="A2403">
        <v>2396</v>
      </c>
      <c r="B2403">
        <v>2409</v>
      </c>
      <c r="C2403">
        <v>14</v>
      </c>
      <c r="D2403">
        <v>-10</v>
      </c>
      <c r="E2403">
        <v>1.7</v>
      </c>
    </row>
    <row r="2404" spans="1:5" x14ac:dyDescent="0.2">
      <c r="A2404">
        <v>2397</v>
      </c>
      <c r="B2404">
        <v>2408</v>
      </c>
      <c r="C2404">
        <v>14</v>
      </c>
      <c r="D2404">
        <v>-9.8000000000000007</v>
      </c>
      <c r="E2404">
        <v>1.7</v>
      </c>
    </row>
    <row r="2405" spans="1:5" x14ac:dyDescent="0.2">
      <c r="A2405">
        <v>2398</v>
      </c>
      <c r="B2405">
        <v>2408</v>
      </c>
      <c r="C2405">
        <v>14</v>
      </c>
      <c r="D2405">
        <v>-9.6999999999999993</v>
      </c>
      <c r="E2405">
        <v>1.7</v>
      </c>
    </row>
    <row r="2406" spans="1:5" x14ac:dyDescent="0.2">
      <c r="A2406">
        <v>2399</v>
      </c>
      <c r="B2406">
        <v>2408</v>
      </c>
      <c r="C2406">
        <v>14</v>
      </c>
      <c r="D2406">
        <v>-9.6</v>
      </c>
      <c r="E2406">
        <v>1.7</v>
      </c>
    </row>
    <row r="2407" spans="1:5" x14ac:dyDescent="0.2">
      <c r="A2407">
        <v>2400</v>
      </c>
      <c r="B2407">
        <v>2409</v>
      </c>
      <c r="C2407">
        <v>14</v>
      </c>
      <c r="D2407">
        <v>-9.5</v>
      </c>
      <c r="E2407">
        <v>1.7</v>
      </c>
    </row>
    <row r="2408" spans="1:5" x14ac:dyDescent="0.2">
      <c r="A2408">
        <v>2401</v>
      </c>
      <c r="B2408">
        <v>2409</v>
      </c>
      <c r="C2408">
        <v>13</v>
      </c>
      <c r="D2408">
        <v>-9.4</v>
      </c>
      <c r="E2408">
        <v>1.7</v>
      </c>
    </row>
    <row r="2409" spans="1:5" x14ac:dyDescent="0.2">
      <c r="A2409">
        <v>2402</v>
      </c>
      <c r="B2409">
        <v>2410</v>
      </c>
      <c r="C2409">
        <v>13</v>
      </c>
      <c r="D2409">
        <v>-9.4</v>
      </c>
      <c r="E2409">
        <v>1.6</v>
      </c>
    </row>
    <row r="2410" spans="1:5" x14ac:dyDescent="0.2">
      <c r="A2410">
        <v>2403</v>
      </c>
      <c r="B2410">
        <v>2410</v>
      </c>
      <c r="C2410">
        <v>13</v>
      </c>
      <c r="D2410">
        <v>-9.3000000000000007</v>
      </c>
      <c r="E2410">
        <v>1.6</v>
      </c>
    </row>
    <row r="2411" spans="1:5" x14ac:dyDescent="0.2">
      <c r="A2411">
        <v>2404</v>
      </c>
      <c r="B2411">
        <v>2411</v>
      </c>
      <c r="C2411">
        <v>13</v>
      </c>
      <c r="D2411">
        <v>-9.3000000000000007</v>
      </c>
      <c r="E2411">
        <v>1.6</v>
      </c>
    </row>
    <row r="2412" spans="1:5" x14ac:dyDescent="0.2">
      <c r="A2412">
        <v>2405</v>
      </c>
      <c r="B2412">
        <v>2412</v>
      </c>
      <c r="C2412">
        <v>13</v>
      </c>
      <c r="D2412">
        <v>-9.3000000000000007</v>
      </c>
      <c r="E2412">
        <v>1.6</v>
      </c>
    </row>
    <row r="2413" spans="1:5" x14ac:dyDescent="0.2">
      <c r="A2413">
        <v>2406</v>
      </c>
      <c r="B2413">
        <v>2413</v>
      </c>
      <c r="C2413">
        <v>13</v>
      </c>
      <c r="D2413">
        <v>-9.3000000000000007</v>
      </c>
      <c r="E2413">
        <v>1.6</v>
      </c>
    </row>
    <row r="2414" spans="1:5" x14ac:dyDescent="0.2">
      <c r="A2414">
        <v>2407</v>
      </c>
      <c r="B2414">
        <v>2414</v>
      </c>
      <c r="C2414">
        <v>14</v>
      </c>
      <c r="D2414">
        <v>-9.3000000000000007</v>
      </c>
      <c r="E2414">
        <v>1.7</v>
      </c>
    </row>
    <row r="2415" spans="1:5" x14ac:dyDescent="0.2">
      <c r="A2415">
        <v>2408</v>
      </c>
      <c r="B2415">
        <v>2415</v>
      </c>
      <c r="C2415">
        <v>14</v>
      </c>
      <c r="D2415">
        <v>-9.3000000000000007</v>
      </c>
      <c r="E2415">
        <v>1.7</v>
      </c>
    </row>
    <row r="2416" spans="1:5" x14ac:dyDescent="0.2">
      <c r="A2416">
        <v>2409</v>
      </c>
      <c r="B2416">
        <v>2416</v>
      </c>
      <c r="C2416">
        <v>14</v>
      </c>
      <c r="D2416">
        <v>-9.4</v>
      </c>
      <c r="E2416">
        <v>1.7</v>
      </c>
    </row>
    <row r="2417" spans="1:5" x14ac:dyDescent="0.2">
      <c r="A2417">
        <v>2410</v>
      </c>
      <c r="B2417">
        <v>2417</v>
      </c>
      <c r="C2417">
        <v>14</v>
      </c>
      <c r="D2417">
        <v>-9.3000000000000007</v>
      </c>
      <c r="E2417">
        <v>1.8</v>
      </c>
    </row>
    <row r="2418" spans="1:5" x14ac:dyDescent="0.2">
      <c r="A2418">
        <v>2411</v>
      </c>
      <c r="B2418">
        <v>2418</v>
      </c>
      <c r="C2418">
        <v>14</v>
      </c>
      <c r="D2418">
        <v>-9.3000000000000007</v>
      </c>
      <c r="E2418">
        <v>1.8</v>
      </c>
    </row>
    <row r="2419" spans="1:5" x14ac:dyDescent="0.2">
      <c r="A2419">
        <v>2412</v>
      </c>
      <c r="B2419">
        <v>2419</v>
      </c>
      <c r="C2419">
        <v>14</v>
      </c>
      <c r="D2419">
        <v>-9.3000000000000007</v>
      </c>
      <c r="E2419">
        <v>1.8</v>
      </c>
    </row>
    <row r="2420" spans="1:5" x14ac:dyDescent="0.2">
      <c r="A2420">
        <v>2413</v>
      </c>
      <c r="B2420">
        <v>2419</v>
      </c>
      <c r="C2420">
        <v>14</v>
      </c>
      <c r="D2420">
        <v>-9.1999999999999993</v>
      </c>
      <c r="E2420">
        <v>1.7</v>
      </c>
    </row>
    <row r="2421" spans="1:5" x14ac:dyDescent="0.2">
      <c r="A2421">
        <v>2414</v>
      </c>
      <c r="B2421">
        <v>2419</v>
      </c>
      <c r="C2421">
        <v>14</v>
      </c>
      <c r="D2421">
        <v>-9.1</v>
      </c>
      <c r="E2421">
        <v>1.7</v>
      </c>
    </row>
    <row r="2422" spans="1:5" x14ac:dyDescent="0.2">
      <c r="A2422">
        <v>2415</v>
      </c>
      <c r="B2422">
        <v>2420</v>
      </c>
      <c r="C2422">
        <v>13</v>
      </c>
      <c r="D2422">
        <v>-9.1</v>
      </c>
      <c r="E2422">
        <v>1.7</v>
      </c>
    </row>
    <row r="2423" spans="1:5" x14ac:dyDescent="0.2">
      <c r="A2423">
        <v>2416</v>
      </c>
      <c r="B2423">
        <v>2420</v>
      </c>
      <c r="C2423">
        <v>13</v>
      </c>
      <c r="D2423">
        <v>-9</v>
      </c>
      <c r="E2423">
        <v>1.6</v>
      </c>
    </row>
    <row r="2424" spans="1:5" x14ac:dyDescent="0.2">
      <c r="A2424">
        <v>2417</v>
      </c>
      <c r="B2424">
        <v>2420</v>
      </c>
      <c r="C2424">
        <v>13</v>
      </c>
      <c r="D2424">
        <v>-8.9</v>
      </c>
      <c r="E2424">
        <v>1.6</v>
      </c>
    </row>
    <row r="2425" spans="1:5" x14ac:dyDescent="0.2">
      <c r="A2425">
        <v>2418</v>
      </c>
      <c r="B2425">
        <v>2420</v>
      </c>
      <c r="C2425">
        <v>13</v>
      </c>
      <c r="D2425">
        <v>-8.8000000000000007</v>
      </c>
      <c r="E2425">
        <v>1.6</v>
      </c>
    </row>
    <row r="2426" spans="1:5" x14ac:dyDescent="0.2">
      <c r="A2426">
        <v>2419</v>
      </c>
      <c r="B2426">
        <v>2420</v>
      </c>
      <c r="C2426">
        <v>13</v>
      </c>
      <c r="D2426">
        <v>-8.6</v>
      </c>
      <c r="E2426">
        <v>1.6</v>
      </c>
    </row>
    <row r="2427" spans="1:5" x14ac:dyDescent="0.2">
      <c r="A2427">
        <v>2420</v>
      </c>
      <c r="B2427">
        <v>2420</v>
      </c>
      <c r="C2427">
        <v>13</v>
      </c>
      <c r="D2427">
        <v>-8.5</v>
      </c>
      <c r="E2427">
        <v>1.6</v>
      </c>
    </row>
    <row r="2428" spans="1:5" x14ac:dyDescent="0.2">
      <c r="A2428">
        <v>2421</v>
      </c>
      <c r="B2428">
        <v>2421</v>
      </c>
      <c r="C2428">
        <v>14</v>
      </c>
      <c r="D2428">
        <v>-8.4</v>
      </c>
      <c r="E2428">
        <v>1.7</v>
      </c>
    </row>
    <row r="2429" spans="1:5" x14ac:dyDescent="0.2">
      <c r="A2429">
        <v>2422</v>
      </c>
      <c r="B2429">
        <v>2421</v>
      </c>
      <c r="C2429">
        <v>14</v>
      </c>
      <c r="D2429">
        <v>-8.3000000000000007</v>
      </c>
      <c r="E2429">
        <v>1.7</v>
      </c>
    </row>
    <row r="2430" spans="1:5" x14ac:dyDescent="0.2">
      <c r="A2430">
        <v>2423</v>
      </c>
      <c r="B2430">
        <v>2421</v>
      </c>
      <c r="C2430">
        <v>14</v>
      </c>
      <c r="D2430">
        <v>-8.3000000000000007</v>
      </c>
      <c r="E2430">
        <v>1.7</v>
      </c>
    </row>
    <row r="2431" spans="1:5" x14ac:dyDescent="0.2">
      <c r="A2431">
        <v>2424</v>
      </c>
      <c r="B2431">
        <v>2421</v>
      </c>
      <c r="C2431">
        <v>14</v>
      </c>
      <c r="D2431">
        <v>-8.1999999999999993</v>
      </c>
      <c r="E2431">
        <v>1.8</v>
      </c>
    </row>
    <row r="2432" spans="1:5" x14ac:dyDescent="0.2">
      <c r="A2432">
        <v>2425</v>
      </c>
      <c r="B2432">
        <v>2422</v>
      </c>
      <c r="C2432">
        <v>14</v>
      </c>
      <c r="D2432">
        <v>-8.1</v>
      </c>
      <c r="E2432">
        <v>1.7</v>
      </c>
    </row>
    <row r="2433" spans="1:5" x14ac:dyDescent="0.2">
      <c r="A2433">
        <v>2426</v>
      </c>
      <c r="B2433">
        <v>2423</v>
      </c>
      <c r="C2433">
        <v>14</v>
      </c>
      <c r="D2433">
        <v>-8.1</v>
      </c>
      <c r="E2433">
        <v>1.7</v>
      </c>
    </row>
    <row r="2434" spans="1:5" x14ac:dyDescent="0.2">
      <c r="A2434">
        <v>2427</v>
      </c>
      <c r="B2434">
        <v>2423</v>
      </c>
      <c r="C2434">
        <v>14</v>
      </c>
      <c r="D2434">
        <v>-8</v>
      </c>
      <c r="E2434">
        <v>1.7</v>
      </c>
    </row>
    <row r="2435" spans="1:5" x14ac:dyDescent="0.2">
      <c r="A2435">
        <v>2428</v>
      </c>
      <c r="B2435">
        <v>2424</v>
      </c>
      <c r="C2435">
        <v>13</v>
      </c>
      <c r="D2435">
        <v>-8</v>
      </c>
      <c r="E2435">
        <v>1.7</v>
      </c>
    </row>
    <row r="2436" spans="1:5" x14ac:dyDescent="0.2">
      <c r="A2436">
        <v>2429</v>
      </c>
      <c r="B2436">
        <v>2425</v>
      </c>
      <c r="C2436">
        <v>13</v>
      </c>
      <c r="D2436">
        <v>-8</v>
      </c>
      <c r="E2436">
        <v>1.6</v>
      </c>
    </row>
    <row r="2437" spans="1:5" x14ac:dyDescent="0.2">
      <c r="A2437">
        <v>2430</v>
      </c>
      <c r="B2437">
        <v>2425</v>
      </c>
      <c r="C2437">
        <v>13</v>
      </c>
      <c r="D2437">
        <v>-7.9</v>
      </c>
      <c r="E2437">
        <v>1.6</v>
      </c>
    </row>
    <row r="2438" spans="1:5" x14ac:dyDescent="0.2">
      <c r="A2438">
        <v>2431</v>
      </c>
      <c r="B2438">
        <v>2426</v>
      </c>
      <c r="C2438">
        <v>13</v>
      </c>
      <c r="D2438">
        <v>-7.9</v>
      </c>
      <c r="E2438">
        <v>1.6</v>
      </c>
    </row>
    <row r="2439" spans="1:5" x14ac:dyDescent="0.2">
      <c r="A2439">
        <v>2432</v>
      </c>
      <c r="B2439">
        <v>2427</v>
      </c>
      <c r="C2439">
        <v>13</v>
      </c>
      <c r="D2439">
        <v>-7.9</v>
      </c>
      <c r="E2439">
        <v>1.6</v>
      </c>
    </row>
    <row r="2440" spans="1:5" x14ac:dyDescent="0.2">
      <c r="A2440">
        <v>2433</v>
      </c>
      <c r="B2440">
        <v>2428</v>
      </c>
      <c r="C2440">
        <v>14</v>
      </c>
      <c r="D2440">
        <v>-7.9</v>
      </c>
      <c r="E2440">
        <v>1.7</v>
      </c>
    </row>
    <row r="2441" spans="1:5" x14ac:dyDescent="0.2">
      <c r="A2441">
        <v>2434</v>
      </c>
      <c r="B2441">
        <v>2428</v>
      </c>
      <c r="C2441">
        <v>14</v>
      </c>
      <c r="D2441">
        <v>-7.8</v>
      </c>
      <c r="E2441">
        <v>1.7</v>
      </c>
    </row>
    <row r="2442" spans="1:5" x14ac:dyDescent="0.2">
      <c r="A2442">
        <v>2435</v>
      </c>
      <c r="B2442">
        <v>2429</v>
      </c>
      <c r="C2442">
        <v>14</v>
      </c>
      <c r="D2442">
        <v>-7.8</v>
      </c>
      <c r="E2442">
        <v>1.7</v>
      </c>
    </row>
    <row r="2443" spans="1:5" x14ac:dyDescent="0.2">
      <c r="A2443">
        <v>2436</v>
      </c>
      <c r="B2443">
        <v>2429</v>
      </c>
      <c r="C2443">
        <v>14</v>
      </c>
      <c r="D2443">
        <v>-7.7</v>
      </c>
      <c r="E2443">
        <v>1.7</v>
      </c>
    </row>
    <row r="2444" spans="1:5" x14ac:dyDescent="0.2">
      <c r="A2444">
        <v>2437</v>
      </c>
      <c r="B2444">
        <v>2430</v>
      </c>
      <c r="C2444">
        <v>14</v>
      </c>
      <c r="D2444">
        <v>-7.7</v>
      </c>
      <c r="E2444">
        <v>1.7</v>
      </c>
    </row>
    <row r="2445" spans="1:5" x14ac:dyDescent="0.2">
      <c r="A2445">
        <v>2438</v>
      </c>
      <c r="B2445">
        <v>2430</v>
      </c>
      <c r="C2445">
        <v>14</v>
      </c>
      <c r="D2445">
        <v>-7.6</v>
      </c>
      <c r="E2445">
        <v>1.7</v>
      </c>
    </row>
    <row r="2446" spans="1:5" x14ac:dyDescent="0.2">
      <c r="A2446">
        <v>2439</v>
      </c>
      <c r="B2446">
        <v>2431</v>
      </c>
      <c r="C2446">
        <v>13</v>
      </c>
      <c r="D2446">
        <v>-7.5</v>
      </c>
      <c r="E2446">
        <v>1.6</v>
      </c>
    </row>
    <row r="2447" spans="1:5" x14ac:dyDescent="0.2">
      <c r="A2447">
        <v>2440</v>
      </c>
      <c r="B2447">
        <v>2431</v>
      </c>
      <c r="C2447">
        <v>13</v>
      </c>
      <c r="D2447">
        <v>-7.4</v>
      </c>
      <c r="E2447">
        <v>1.6</v>
      </c>
    </row>
    <row r="2448" spans="1:5" x14ac:dyDescent="0.2">
      <c r="A2448">
        <v>2441</v>
      </c>
      <c r="B2448">
        <v>2431</v>
      </c>
      <c r="C2448">
        <v>13</v>
      </c>
      <c r="D2448">
        <v>-7.3</v>
      </c>
      <c r="E2448">
        <v>1.6</v>
      </c>
    </row>
    <row r="2449" spans="1:5" x14ac:dyDescent="0.2">
      <c r="A2449">
        <v>2442</v>
      </c>
      <c r="B2449">
        <v>2431</v>
      </c>
      <c r="C2449">
        <v>13</v>
      </c>
      <c r="D2449">
        <v>-7.2</v>
      </c>
      <c r="E2449">
        <v>1.6</v>
      </c>
    </row>
    <row r="2450" spans="1:5" x14ac:dyDescent="0.2">
      <c r="A2450">
        <v>2443</v>
      </c>
      <c r="B2450">
        <v>2431</v>
      </c>
      <c r="C2450">
        <v>13</v>
      </c>
      <c r="D2450">
        <v>-7.1</v>
      </c>
      <c r="E2450">
        <v>1.6</v>
      </c>
    </row>
    <row r="2451" spans="1:5" x14ac:dyDescent="0.2">
      <c r="A2451">
        <v>2444</v>
      </c>
      <c r="B2451">
        <v>2431</v>
      </c>
      <c r="C2451">
        <v>13</v>
      </c>
      <c r="D2451">
        <v>-7</v>
      </c>
      <c r="E2451">
        <v>1.6</v>
      </c>
    </row>
    <row r="2452" spans="1:5" x14ac:dyDescent="0.2">
      <c r="A2452">
        <v>2445</v>
      </c>
      <c r="B2452">
        <v>2431</v>
      </c>
      <c r="C2452">
        <v>13</v>
      </c>
      <c r="D2452">
        <v>-6.8</v>
      </c>
      <c r="E2452">
        <v>1.7</v>
      </c>
    </row>
    <row r="2453" spans="1:5" x14ac:dyDescent="0.2">
      <c r="A2453">
        <v>2446</v>
      </c>
      <c r="B2453">
        <v>2430</v>
      </c>
      <c r="C2453">
        <v>14</v>
      </c>
      <c r="D2453">
        <v>-6.6</v>
      </c>
      <c r="E2453">
        <v>1.7</v>
      </c>
    </row>
    <row r="2454" spans="1:5" x14ac:dyDescent="0.2">
      <c r="A2454">
        <v>2447</v>
      </c>
      <c r="B2454">
        <v>2430</v>
      </c>
      <c r="C2454">
        <v>14</v>
      </c>
      <c r="D2454">
        <v>-6.5</v>
      </c>
      <c r="E2454">
        <v>1.7</v>
      </c>
    </row>
    <row r="2455" spans="1:5" x14ac:dyDescent="0.2">
      <c r="A2455">
        <v>2448</v>
      </c>
      <c r="B2455">
        <v>2430</v>
      </c>
      <c r="C2455">
        <v>14</v>
      </c>
      <c r="D2455">
        <v>-6.3</v>
      </c>
      <c r="E2455">
        <v>1.8</v>
      </c>
    </row>
    <row r="2456" spans="1:5" x14ac:dyDescent="0.2">
      <c r="A2456">
        <v>2449</v>
      </c>
      <c r="B2456">
        <v>2429</v>
      </c>
      <c r="C2456">
        <v>14</v>
      </c>
      <c r="D2456">
        <v>-6.1</v>
      </c>
      <c r="E2456">
        <v>1.8</v>
      </c>
    </row>
    <row r="2457" spans="1:5" x14ac:dyDescent="0.2">
      <c r="A2457">
        <v>2450</v>
      </c>
      <c r="B2457">
        <v>2428</v>
      </c>
      <c r="C2457">
        <v>14</v>
      </c>
      <c r="D2457">
        <v>-5.9</v>
      </c>
      <c r="E2457">
        <v>1.8</v>
      </c>
    </row>
    <row r="2458" spans="1:5" x14ac:dyDescent="0.2">
      <c r="A2458">
        <v>2451</v>
      </c>
      <c r="B2458">
        <v>2427</v>
      </c>
      <c r="C2458">
        <v>14</v>
      </c>
      <c r="D2458">
        <v>-5.7</v>
      </c>
      <c r="E2458">
        <v>1.7</v>
      </c>
    </row>
    <row r="2459" spans="1:5" x14ac:dyDescent="0.2">
      <c r="A2459">
        <v>2452</v>
      </c>
      <c r="B2459">
        <v>2427</v>
      </c>
      <c r="C2459">
        <v>14</v>
      </c>
      <c r="D2459">
        <v>-5.5</v>
      </c>
      <c r="E2459">
        <v>1.7</v>
      </c>
    </row>
    <row r="2460" spans="1:5" x14ac:dyDescent="0.2">
      <c r="A2460">
        <v>2453</v>
      </c>
      <c r="B2460">
        <v>2426</v>
      </c>
      <c r="C2460">
        <v>13</v>
      </c>
      <c r="D2460">
        <v>-5.3</v>
      </c>
      <c r="E2460">
        <v>1.7</v>
      </c>
    </row>
    <row r="2461" spans="1:5" x14ac:dyDescent="0.2">
      <c r="A2461">
        <v>2454</v>
      </c>
      <c r="B2461">
        <v>2425</v>
      </c>
      <c r="C2461">
        <v>13</v>
      </c>
      <c r="D2461">
        <v>-5.0999999999999996</v>
      </c>
      <c r="E2461">
        <v>1.6</v>
      </c>
    </row>
    <row r="2462" spans="1:5" x14ac:dyDescent="0.2">
      <c r="A2462">
        <v>2455</v>
      </c>
      <c r="B2462">
        <v>2425</v>
      </c>
      <c r="C2462">
        <v>13</v>
      </c>
      <c r="D2462">
        <v>-4.9000000000000004</v>
      </c>
      <c r="E2462">
        <v>1.6</v>
      </c>
    </row>
    <row r="2463" spans="1:5" x14ac:dyDescent="0.2">
      <c r="A2463">
        <v>2456</v>
      </c>
      <c r="B2463">
        <v>2425</v>
      </c>
      <c r="C2463">
        <v>13</v>
      </c>
      <c r="D2463">
        <v>-4.7</v>
      </c>
      <c r="E2463">
        <v>1.6</v>
      </c>
    </row>
    <row r="2464" spans="1:5" x14ac:dyDescent="0.2">
      <c r="A2464">
        <v>2457</v>
      </c>
      <c r="B2464">
        <v>2424</v>
      </c>
      <c r="C2464">
        <v>13</v>
      </c>
      <c r="D2464">
        <v>-4.5999999999999996</v>
      </c>
      <c r="E2464">
        <v>1.7</v>
      </c>
    </row>
    <row r="2465" spans="1:5" x14ac:dyDescent="0.2">
      <c r="A2465">
        <v>2458</v>
      </c>
      <c r="B2465">
        <v>2424</v>
      </c>
      <c r="C2465">
        <v>14</v>
      </c>
      <c r="D2465">
        <v>-4.5</v>
      </c>
      <c r="E2465">
        <v>1.7</v>
      </c>
    </row>
    <row r="2466" spans="1:5" x14ac:dyDescent="0.2">
      <c r="A2466">
        <v>2459</v>
      </c>
      <c r="B2466">
        <v>2425</v>
      </c>
      <c r="C2466">
        <v>14</v>
      </c>
      <c r="D2466">
        <v>-4.4000000000000004</v>
      </c>
      <c r="E2466">
        <v>1.7</v>
      </c>
    </row>
    <row r="2467" spans="1:5" x14ac:dyDescent="0.2">
      <c r="A2467">
        <v>2460</v>
      </c>
      <c r="B2467">
        <v>2425</v>
      </c>
      <c r="C2467">
        <v>14</v>
      </c>
      <c r="D2467">
        <v>-4.3</v>
      </c>
      <c r="E2467">
        <v>1.7</v>
      </c>
    </row>
    <row r="2468" spans="1:5" x14ac:dyDescent="0.2">
      <c r="A2468">
        <v>2461</v>
      </c>
      <c r="B2468">
        <v>2426</v>
      </c>
      <c r="C2468">
        <v>14</v>
      </c>
      <c r="D2468">
        <v>-4.3</v>
      </c>
      <c r="E2468">
        <v>1.7</v>
      </c>
    </row>
    <row r="2469" spans="1:5" x14ac:dyDescent="0.2">
      <c r="A2469">
        <v>2462</v>
      </c>
      <c r="B2469">
        <v>2427</v>
      </c>
      <c r="C2469">
        <v>14</v>
      </c>
      <c r="D2469">
        <v>-4.4000000000000004</v>
      </c>
      <c r="E2469">
        <v>1.7</v>
      </c>
    </row>
    <row r="2470" spans="1:5" x14ac:dyDescent="0.2">
      <c r="A2470">
        <v>2463</v>
      </c>
      <c r="B2470">
        <v>2429</v>
      </c>
      <c r="C2470">
        <v>14</v>
      </c>
      <c r="D2470">
        <v>-4.4000000000000004</v>
      </c>
      <c r="E2470">
        <v>1.7</v>
      </c>
    </row>
    <row r="2471" spans="1:5" x14ac:dyDescent="0.2">
      <c r="A2471">
        <v>2464</v>
      </c>
      <c r="B2471">
        <v>2431</v>
      </c>
      <c r="C2471">
        <v>14</v>
      </c>
      <c r="D2471">
        <v>-4.5</v>
      </c>
      <c r="E2471">
        <v>1.7</v>
      </c>
    </row>
    <row r="2472" spans="1:5" x14ac:dyDescent="0.2">
      <c r="A2472">
        <v>2465</v>
      </c>
      <c r="B2472">
        <v>2432</v>
      </c>
      <c r="C2472">
        <v>13</v>
      </c>
      <c r="D2472">
        <v>-4.5999999999999996</v>
      </c>
      <c r="E2472">
        <v>1.6</v>
      </c>
    </row>
    <row r="2473" spans="1:5" x14ac:dyDescent="0.2">
      <c r="A2473">
        <v>2466</v>
      </c>
      <c r="B2473">
        <v>2434</v>
      </c>
      <c r="C2473">
        <v>13</v>
      </c>
      <c r="D2473">
        <v>-4.7</v>
      </c>
      <c r="E2473">
        <v>1.6</v>
      </c>
    </row>
    <row r="2474" spans="1:5" x14ac:dyDescent="0.2">
      <c r="A2474">
        <v>2467</v>
      </c>
      <c r="B2474">
        <v>2436</v>
      </c>
      <c r="C2474">
        <v>13</v>
      </c>
      <c r="D2474">
        <v>-4.9000000000000004</v>
      </c>
      <c r="E2474">
        <v>1.6</v>
      </c>
    </row>
    <row r="2475" spans="1:5" x14ac:dyDescent="0.2">
      <c r="A2475">
        <v>2468</v>
      </c>
      <c r="B2475">
        <v>2438</v>
      </c>
      <c r="C2475">
        <v>13</v>
      </c>
      <c r="D2475">
        <v>-5</v>
      </c>
      <c r="E2475">
        <v>1.6</v>
      </c>
    </row>
    <row r="2476" spans="1:5" x14ac:dyDescent="0.2">
      <c r="A2476">
        <v>2469</v>
      </c>
      <c r="B2476">
        <v>2440</v>
      </c>
      <c r="C2476">
        <v>13</v>
      </c>
      <c r="D2476">
        <v>-5</v>
      </c>
      <c r="E2476">
        <v>1.6</v>
      </c>
    </row>
    <row r="2477" spans="1:5" x14ac:dyDescent="0.2">
      <c r="A2477">
        <v>2470</v>
      </c>
      <c r="B2477">
        <v>2441</v>
      </c>
      <c r="C2477">
        <v>13</v>
      </c>
      <c r="D2477">
        <v>-5.0999999999999996</v>
      </c>
      <c r="E2477">
        <v>1.6</v>
      </c>
    </row>
    <row r="2478" spans="1:5" x14ac:dyDescent="0.2">
      <c r="A2478">
        <v>2471</v>
      </c>
      <c r="B2478">
        <v>2442</v>
      </c>
      <c r="C2478">
        <v>13</v>
      </c>
      <c r="D2478">
        <v>-5.0999999999999996</v>
      </c>
      <c r="E2478">
        <v>1.7</v>
      </c>
    </row>
    <row r="2479" spans="1:5" x14ac:dyDescent="0.2">
      <c r="A2479">
        <v>2472</v>
      </c>
      <c r="B2479">
        <v>2443</v>
      </c>
      <c r="C2479">
        <v>14</v>
      </c>
      <c r="D2479">
        <v>-5.0999999999999996</v>
      </c>
      <c r="E2479">
        <v>1.7</v>
      </c>
    </row>
    <row r="2480" spans="1:5" x14ac:dyDescent="0.2">
      <c r="A2480">
        <v>2473</v>
      </c>
      <c r="B2480">
        <v>2443</v>
      </c>
      <c r="C2480">
        <v>14</v>
      </c>
      <c r="D2480">
        <v>-5</v>
      </c>
      <c r="E2480">
        <v>1.7</v>
      </c>
    </row>
    <row r="2481" spans="1:5" x14ac:dyDescent="0.2">
      <c r="A2481">
        <v>2474</v>
      </c>
      <c r="B2481">
        <v>2443</v>
      </c>
      <c r="C2481">
        <v>14</v>
      </c>
      <c r="D2481">
        <v>-4.8</v>
      </c>
      <c r="E2481">
        <v>1.7</v>
      </c>
    </row>
    <row r="2482" spans="1:5" x14ac:dyDescent="0.2">
      <c r="A2482">
        <v>2475</v>
      </c>
      <c r="B2482">
        <v>2442</v>
      </c>
      <c r="C2482">
        <v>13</v>
      </c>
      <c r="D2482">
        <v>-4.5999999999999996</v>
      </c>
      <c r="E2482">
        <v>1.7</v>
      </c>
    </row>
    <row r="2483" spans="1:5" x14ac:dyDescent="0.2">
      <c r="A2483">
        <v>2476</v>
      </c>
      <c r="B2483">
        <v>2441</v>
      </c>
      <c r="C2483">
        <v>13</v>
      </c>
      <c r="D2483">
        <v>-4.3</v>
      </c>
      <c r="E2483">
        <v>1.6</v>
      </c>
    </row>
    <row r="2484" spans="1:5" x14ac:dyDescent="0.2">
      <c r="A2484">
        <v>2477</v>
      </c>
      <c r="B2484">
        <v>2439</v>
      </c>
      <c r="C2484">
        <v>13</v>
      </c>
      <c r="D2484">
        <v>-4</v>
      </c>
      <c r="E2484">
        <v>1.6</v>
      </c>
    </row>
    <row r="2485" spans="1:5" x14ac:dyDescent="0.2">
      <c r="A2485">
        <v>2478</v>
      </c>
      <c r="B2485">
        <v>2437</v>
      </c>
      <c r="C2485">
        <v>13</v>
      </c>
      <c r="D2485">
        <v>-3.7</v>
      </c>
      <c r="E2485">
        <v>1.6</v>
      </c>
    </row>
    <row r="2486" spans="1:5" x14ac:dyDescent="0.2">
      <c r="A2486">
        <v>2479</v>
      </c>
      <c r="B2486">
        <v>2436</v>
      </c>
      <c r="C2486">
        <v>13</v>
      </c>
      <c r="D2486">
        <v>-3.3</v>
      </c>
      <c r="E2486">
        <v>1.6</v>
      </c>
    </row>
    <row r="2487" spans="1:5" x14ac:dyDescent="0.2">
      <c r="A2487">
        <v>2480</v>
      </c>
      <c r="B2487">
        <v>2434</v>
      </c>
      <c r="C2487">
        <v>13</v>
      </c>
      <c r="D2487">
        <v>-3</v>
      </c>
      <c r="E2487">
        <v>1.6</v>
      </c>
    </row>
    <row r="2488" spans="1:5" x14ac:dyDescent="0.2">
      <c r="A2488">
        <v>2481</v>
      </c>
      <c r="B2488">
        <v>2433</v>
      </c>
      <c r="C2488">
        <v>13</v>
      </c>
      <c r="D2488">
        <v>-2.7</v>
      </c>
      <c r="E2488">
        <v>1.6</v>
      </c>
    </row>
    <row r="2489" spans="1:5" x14ac:dyDescent="0.2">
      <c r="A2489">
        <v>2482</v>
      </c>
      <c r="B2489">
        <v>2432</v>
      </c>
      <c r="C2489">
        <v>13</v>
      </c>
      <c r="D2489">
        <v>-2.5</v>
      </c>
      <c r="E2489">
        <v>1.6</v>
      </c>
    </row>
    <row r="2490" spans="1:5" x14ac:dyDescent="0.2">
      <c r="A2490">
        <v>2483</v>
      </c>
      <c r="B2490">
        <v>2431</v>
      </c>
      <c r="C2490">
        <v>13</v>
      </c>
      <c r="D2490">
        <v>-2.2999999999999998</v>
      </c>
      <c r="E2490">
        <v>1.7</v>
      </c>
    </row>
    <row r="2491" spans="1:5" x14ac:dyDescent="0.2">
      <c r="A2491">
        <v>2484</v>
      </c>
      <c r="B2491">
        <v>2431</v>
      </c>
      <c r="C2491">
        <v>14</v>
      </c>
      <c r="D2491">
        <v>-2.2000000000000002</v>
      </c>
      <c r="E2491">
        <v>1.7</v>
      </c>
    </row>
    <row r="2492" spans="1:5" x14ac:dyDescent="0.2">
      <c r="A2492">
        <v>2485</v>
      </c>
      <c r="B2492">
        <v>2432</v>
      </c>
      <c r="C2492">
        <v>14</v>
      </c>
      <c r="D2492">
        <v>-2.1</v>
      </c>
      <c r="E2492">
        <v>1.7</v>
      </c>
    </row>
    <row r="2493" spans="1:5" x14ac:dyDescent="0.2">
      <c r="A2493">
        <v>2486</v>
      </c>
      <c r="B2493">
        <v>2433</v>
      </c>
      <c r="C2493">
        <v>14</v>
      </c>
      <c r="D2493">
        <v>-2.2000000000000002</v>
      </c>
      <c r="E2493">
        <v>1.7</v>
      </c>
    </row>
    <row r="2494" spans="1:5" x14ac:dyDescent="0.2">
      <c r="A2494">
        <v>2487</v>
      </c>
      <c r="B2494">
        <v>2435</v>
      </c>
      <c r="C2494">
        <v>14</v>
      </c>
      <c r="D2494">
        <v>-2.2999999999999998</v>
      </c>
      <c r="E2494">
        <v>1.7</v>
      </c>
    </row>
    <row r="2495" spans="1:5" x14ac:dyDescent="0.2">
      <c r="A2495">
        <v>2488</v>
      </c>
      <c r="B2495">
        <v>2438</v>
      </c>
      <c r="C2495">
        <v>14</v>
      </c>
      <c r="D2495">
        <v>-2.6</v>
      </c>
      <c r="E2495">
        <v>1.7</v>
      </c>
    </row>
    <row r="2496" spans="1:5" x14ac:dyDescent="0.2">
      <c r="A2496">
        <v>2489</v>
      </c>
      <c r="B2496">
        <v>2442</v>
      </c>
      <c r="C2496">
        <v>13</v>
      </c>
      <c r="D2496">
        <v>-2.9</v>
      </c>
      <c r="E2496">
        <v>1.6</v>
      </c>
    </row>
    <row r="2497" spans="1:5" x14ac:dyDescent="0.2">
      <c r="A2497">
        <v>2490</v>
      </c>
      <c r="B2497">
        <v>2446</v>
      </c>
      <c r="C2497">
        <v>13</v>
      </c>
      <c r="D2497">
        <v>-3.3</v>
      </c>
      <c r="E2497">
        <v>1.6</v>
      </c>
    </row>
    <row r="2498" spans="1:5" x14ac:dyDescent="0.2">
      <c r="A2498">
        <v>2491</v>
      </c>
      <c r="B2498">
        <v>2450</v>
      </c>
      <c r="C2498">
        <v>13</v>
      </c>
      <c r="D2498">
        <v>-3.7</v>
      </c>
      <c r="E2498">
        <v>1.6</v>
      </c>
    </row>
    <row r="2499" spans="1:5" x14ac:dyDescent="0.2">
      <c r="A2499">
        <v>2492</v>
      </c>
      <c r="B2499">
        <v>2455</v>
      </c>
      <c r="C2499">
        <v>13</v>
      </c>
      <c r="D2499">
        <v>-4.0999999999999996</v>
      </c>
      <c r="E2499">
        <v>1.6</v>
      </c>
    </row>
    <row r="2500" spans="1:5" x14ac:dyDescent="0.2">
      <c r="A2500">
        <v>2493</v>
      </c>
      <c r="B2500">
        <v>2459</v>
      </c>
      <c r="C2500">
        <v>13</v>
      </c>
      <c r="D2500">
        <v>-4.5999999999999996</v>
      </c>
      <c r="E2500">
        <v>1.6</v>
      </c>
    </row>
    <row r="2501" spans="1:5" x14ac:dyDescent="0.2">
      <c r="A2501">
        <v>2494</v>
      </c>
      <c r="B2501">
        <v>2464</v>
      </c>
      <c r="C2501">
        <v>13</v>
      </c>
      <c r="D2501">
        <v>-5</v>
      </c>
      <c r="E2501">
        <v>1.6</v>
      </c>
    </row>
    <row r="2502" spans="1:5" x14ac:dyDescent="0.2">
      <c r="A2502">
        <v>2495</v>
      </c>
      <c r="B2502">
        <v>2468</v>
      </c>
      <c r="C2502">
        <v>13</v>
      </c>
      <c r="D2502">
        <v>-5.4</v>
      </c>
      <c r="E2502">
        <v>1.7</v>
      </c>
    </row>
    <row r="2503" spans="1:5" x14ac:dyDescent="0.2">
      <c r="A2503">
        <v>2496</v>
      </c>
      <c r="B2503">
        <v>2472</v>
      </c>
      <c r="C2503">
        <v>14</v>
      </c>
      <c r="D2503">
        <v>-5.8</v>
      </c>
      <c r="E2503">
        <v>1.7</v>
      </c>
    </row>
    <row r="2504" spans="1:5" x14ac:dyDescent="0.2">
      <c r="A2504">
        <v>2497</v>
      </c>
      <c r="B2504">
        <v>2476</v>
      </c>
      <c r="C2504">
        <v>14</v>
      </c>
      <c r="D2504">
        <v>-6.1</v>
      </c>
      <c r="E2504">
        <v>1.7</v>
      </c>
    </row>
    <row r="2505" spans="1:5" x14ac:dyDescent="0.2">
      <c r="A2505">
        <v>2498</v>
      </c>
      <c r="B2505">
        <v>2479</v>
      </c>
      <c r="C2505">
        <v>14</v>
      </c>
      <c r="D2505">
        <v>-6.4</v>
      </c>
      <c r="E2505">
        <v>1.7</v>
      </c>
    </row>
    <row r="2506" spans="1:5" x14ac:dyDescent="0.2">
      <c r="A2506">
        <v>2499</v>
      </c>
      <c r="B2506">
        <v>2481</v>
      </c>
      <c r="C2506">
        <v>14</v>
      </c>
      <c r="D2506">
        <v>-6.5</v>
      </c>
      <c r="E2506">
        <v>1.7</v>
      </c>
    </row>
    <row r="2507" spans="1:5" x14ac:dyDescent="0.2">
      <c r="A2507">
        <v>2500</v>
      </c>
      <c r="B2507">
        <v>2482</v>
      </c>
      <c r="C2507">
        <v>14</v>
      </c>
      <c r="D2507">
        <v>-6.6</v>
      </c>
      <c r="E2507">
        <v>1.7</v>
      </c>
    </row>
    <row r="2508" spans="1:5" x14ac:dyDescent="0.2">
      <c r="A2508">
        <v>2501</v>
      </c>
      <c r="B2508">
        <v>2483</v>
      </c>
      <c r="C2508">
        <v>13</v>
      </c>
      <c r="D2508">
        <v>-6.6</v>
      </c>
      <c r="E2508">
        <v>1.7</v>
      </c>
    </row>
    <row r="2509" spans="1:5" x14ac:dyDescent="0.2">
      <c r="A2509">
        <v>2502</v>
      </c>
      <c r="B2509">
        <v>2483</v>
      </c>
      <c r="C2509">
        <v>13</v>
      </c>
      <c r="D2509">
        <v>-6.5</v>
      </c>
      <c r="E2509">
        <v>1.6</v>
      </c>
    </row>
    <row r="2510" spans="1:5" x14ac:dyDescent="0.2">
      <c r="A2510">
        <v>2503</v>
      </c>
      <c r="B2510">
        <v>2483</v>
      </c>
      <c r="C2510">
        <v>13</v>
      </c>
      <c r="D2510">
        <v>-6.4</v>
      </c>
      <c r="E2510">
        <v>1.6</v>
      </c>
    </row>
    <row r="2511" spans="1:5" x14ac:dyDescent="0.2">
      <c r="A2511">
        <v>2504</v>
      </c>
      <c r="B2511">
        <v>2483</v>
      </c>
      <c r="C2511">
        <v>13</v>
      </c>
      <c r="D2511">
        <v>-6.2</v>
      </c>
      <c r="E2511">
        <v>1.6</v>
      </c>
    </row>
    <row r="2512" spans="1:5" x14ac:dyDescent="0.2">
      <c r="A2512">
        <v>2505</v>
      </c>
      <c r="B2512">
        <v>2483</v>
      </c>
      <c r="C2512">
        <v>13</v>
      </c>
      <c r="D2512">
        <v>-6</v>
      </c>
      <c r="E2512">
        <v>1.6</v>
      </c>
    </row>
    <row r="2513" spans="1:5" x14ac:dyDescent="0.2">
      <c r="A2513">
        <v>2506</v>
      </c>
      <c r="B2513">
        <v>2482</v>
      </c>
      <c r="C2513">
        <v>13</v>
      </c>
      <c r="D2513">
        <v>-5.8</v>
      </c>
      <c r="E2513">
        <v>1.6</v>
      </c>
    </row>
    <row r="2514" spans="1:5" x14ac:dyDescent="0.2">
      <c r="A2514">
        <v>2507</v>
      </c>
      <c r="B2514">
        <v>2481</v>
      </c>
      <c r="C2514">
        <v>13</v>
      </c>
      <c r="D2514">
        <v>-5.6</v>
      </c>
      <c r="E2514">
        <v>1.7</v>
      </c>
    </row>
    <row r="2515" spans="1:5" x14ac:dyDescent="0.2">
      <c r="A2515">
        <v>2508</v>
      </c>
      <c r="B2515">
        <v>2481</v>
      </c>
      <c r="C2515">
        <v>14</v>
      </c>
      <c r="D2515">
        <v>-5.4</v>
      </c>
      <c r="E2515">
        <v>1.7</v>
      </c>
    </row>
    <row r="2516" spans="1:5" x14ac:dyDescent="0.2">
      <c r="A2516">
        <v>2509</v>
      </c>
      <c r="B2516">
        <v>2480</v>
      </c>
      <c r="C2516">
        <v>14</v>
      </c>
      <c r="D2516">
        <v>-5.3</v>
      </c>
      <c r="E2516">
        <v>1.7</v>
      </c>
    </row>
    <row r="2517" spans="1:5" x14ac:dyDescent="0.2">
      <c r="A2517">
        <v>2510</v>
      </c>
      <c r="B2517">
        <v>2480</v>
      </c>
      <c r="C2517">
        <v>14</v>
      </c>
      <c r="D2517">
        <v>-5.0999999999999996</v>
      </c>
      <c r="E2517">
        <v>1.7</v>
      </c>
    </row>
    <row r="2518" spans="1:5" x14ac:dyDescent="0.2">
      <c r="A2518">
        <v>2511</v>
      </c>
      <c r="B2518">
        <v>2481</v>
      </c>
      <c r="C2518">
        <v>14</v>
      </c>
      <c r="D2518">
        <v>-5</v>
      </c>
      <c r="E2518">
        <v>1.7</v>
      </c>
    </row>
    <row r="2519" spans="1:5" x14ac:dyDescent="0.2">
      <c r="A2519">
        <v>2512</v>
      </c>
      <c r="B2519">
        <v>2481</v>
      </c>
      <c r="C2519">
        <v>14</v>
      </c>
      <c r="D2519">
        <v>-5</v>
      </c>
      <c r="E2519">
        <v>1.7</v>
      </c>
    </row>
    <row r="2520" spans="1:5" x14ac:dyDescent="0.2">
      <c r="A2520">
        <v>2513</v>
      </c>
      <c r="B2520">
        <v>2482</v>
      </c>
      <c r="C2520">
        <v>14</v>
      </c>
      <c r="D2520">
        <v>-5</v>
      </c>
      <c r="E2520">
        <v>1.7</v>
      </c>
    </row>
    <row r="2521" spans="1:5" x14ac:dyDescent="0.2">
      <c r="A2521">
        <v>2514</v>
      </c>
      <c r="B2521">
        <v>2483</v>
      </c>
      <c r="C2521">
        <v>13</v>
      </c>
      <c r="D2521">
        <v>-5</v>
      </c>
      <c r="E2521">
        <v>1.7</v>
      </c>
    </row>
    <row r="2522" spans="1:5" x14ac:dyDescent="0.2">
      <c r="A2522">
        <v>2515</v>
      </c>
      <c r="B2522">
        <v>2485</v>
      </c>
      <c r="C2522">
        <v>13</v>
      </c>
      <c r="D2522">
        <v>-5.0999999999999996</v>
      </c>
      <c r="E2522">
        <v>1.6</v>
      </c>
    </row>
    <row r="2523" spans="1:5" x14ac:dyDescent="0.2">
      <c r="A2523">
        <v>2516</v>
      </c>
      <c r="B2523">
        <v>2486</v>
      </c>
      <c r="C2523">
        <v>13</v>
      </c>
      <c r="D2523">
        <v>-5.0999999999999996</v>
      </c>
      <c r="E2523">
        <v>1.6</v>
      </c>
    </row>
    <row r="2524" spans="1:5" x14ac:dyDescent="0.2">
      <c r="A2524">
        <v>2517</v>
      </c>
      <c r="B2524">
        <v>2488</v>
      </c>
      <c r="C2524">
        <v>13</v>
      </c>
      <c r="D2524">
        <v>-5.2</v>
      </c>
      <c r="E2524">
        <v>1.6</v>
      </c>
    </row>
    <row r="2525" spans="1:5" x14ac:dyDescent="0.2">
      <c r="A2525">
        <v>2518</v>
      </c>
      <c r="B2525">
        <v>2489</v>
      </c>
      <c r="C2525">
        <v>13</v>
      </c>
      <c r="D2525">
        <v>-5.3</v>
      </c>
      <c r="E2525">
        <v>1.6</v>
      </c>
    </row>
    <row r="2526" spans="1:5" x14ac:dyDescent="0.2">
      <c r="A2526">
        <v>2519</v>
      </c>
      <c r="B2526">
        <v>2491</v>
      </c>
      <c r="C2526">
        <v>13</v>
      </c>
      <c r="D2526">
        <v>-5.3</v>
      </c>
      <c r="E2526">
        <v>1.7</v>
      </c>
    </row>
    <row r="2527" spans="1:5" x14ac:dyDescent="0.2">
      <c r="A2527">
        <v>2520</v>
      </c>
      <c r="B2527">
        <v>2492</v>
      </c>
      <c r="C2527">
        <v>14</v>
      </c>
      <c r="D2527">
        <v>-5.4</v>
      </c>
      <c r="E2527">
        <v>1.7</v>
      </c>
    </row>
    <row r="2528" spans="1:5" x14ac:dyDescent="0.2">
      <c r="A2528">
        <v>2521</v>
      </c>
      <c r="B2528">
        <v>2493</v>
      </c>
      <c r="C2528">
        <v>14</v>
      </c>
      <c r="D2528">
        <v>-5.4</v>
      </c>
      <c r="E2528">
        <v>1.7</v>
      </c>
    </row>
    <row r="2529" spans="1:5" x14ac:dyDescent="0.2">
      <c r="A2529">
        <v>2522</v>
      </c>
      <c r="B2529">
        <v>2494</v>
      </c>
      <c r="C2529">
        <v>14</v>
      </c>
      <c r="D2529">
        <v>-5.4</v>
      </c>
      <c r="E2529">
        <v>1.8</v>
      </c>
    </row>
    <row r="2530" spans="1:5" x14ac:dyDescent="0.2">
      <c r="A2530">
        <v>2523</v>
      </c>
      <c r="B2530">
        <v>2495</v>
      </c>
      <c r="C2530">
        <v>14</v>
      </c>
      <c r="D2530">
        <v>-5.3</v>
      </c>
      <c r="E2530">
        <v>1.8</v>
      </c>
    </row>
    <row r="2531" spans="1:5" x14ac:dyDescent="0.2">
      <c r="A2531">
        <v>2524</v>
      </c>
      <c r="B2531">
        <v>2494</v>
      </c>
      <c r="C2531">
        <v>14</v>
      </c>
      <c r="D2531">
        <v>-5.2</v>
      </c>
      <c r="E2531">
        <v>1.8</v>
      </c>
    </row>
    <row r="2532" spans="1:5" x14ac:dyDescent="0.2">
      <c r="A2532">
        <v>2525</v>
      </c>
      <c r="B2532">
        <v>2494</v>
      </c>
      <c r="C2532">
        <v>14</v>
      </c>
      <c r="D2532">
        <v>-5</v>
      </c>
      <c r="E2532">
        <v>1.8</v>
      </c>
    </row>
    <row r="2533" spans="1:5" x14ac:dyDescent="0.2">
      <c r="A2533">
        <v>2526</v>
      </c>
      <c r="B2533">
        <v>2494</v>
      </c>
      <c r="C2533">
        <v>14</v>
      </c>
      <c r="D2533">
        <v>-4.9000000000000004</v>
      </c>
      <c r="E2533">
        <v>1.7</v>
      </c>
    </row>
    <row r="2534" spans="1:5" x14ac:dyDescent="0.2">
      <c r="A2534">
        <v>2527</v>
      </c>
      <c r="B2534">
        <v>2493</v>
      </c>
      <c r="C2534">
        <v>14</v>
      </c>
      <c r="D2534">
        <v>-4.5999999999999996</v>
      </c>
      <c r="E2534">
        <v>1.7</v>
      </c>
    </row>
    <row r="2535" spans="1:5" x14ac:dyDescent="0.2">
      <c r="A2535">
        <v>2528</v>
      </c>
      <c r="B2535">
        <v>2492</v>
      </c>
      <c r="C2535">
        <v>13</v>
      </c>
      <c r="D2535">
        <v>-4.4000000000000004</v>
      </c>
      <c r="E2535">
        <v>1.7</v>
      </c>
    </row>
    <row r="2536" spans="1:5" x14ac:dyDescent="0.2">
      <c r="A2536">
        <v>2529</v>
      </c>
      <c r="B2536">
        <v>2491</v>
      </c>
      <c r="C2536">
        <v>13</v>
      </c>
      <c r="D2536">
        <v>-4.2</v>
      </c>
      <c r="E2536">
        <v>1.6</v>
      </c>
    </row>
    <row r="2537" spans="1:5" x14ac:dyDescent="0.2">
      <c r="A2537">
        <v>2530</v>
      </c>
      <c r="B2537">
        <v>2490</v>
      </c>
      <c r="C2537">
        <v>13</v>
      </c>
      <c r="D2537">
        <v>-3.9</v>
      </c>
      <c r="E2537">
        <v>1.6</v>
      </c>
    </row>
    <row r="2538" spans="1:5" x14ac:dyDescent="0.2">
      <c r="A2538">
        <v>2531</v>
      </c>
      <c r="B2538">
        <v>2489</v>
      </c>
      <c r="C2538">
        <v>13</v>
      </c>
      <c r="D2538">
        <v>-3.7</v>
      </c>
      <c r="E2538">
        <v>1.6</v>
      </c>
    </row>
    <row r="2539" spans="1:5" x14ac:dyDescent="0.2">
      <c r="A2539">
        <v>2532</v>
      </c>
      <c r="B2539">
        <v>2489</v>
      </c>
      <c r="C2539">
        <v>13</v>
      </c>
      <c r="D2539">
        <v>-3.5</v>
      </c>
      <c r="E2539">
        <v>1.6</v>
      </c>
    </row>
    <row r="2540" spans="1:5" x14ac:dyDescent="0.2">
      <c r="A2540">
        <v>2533</v>
      </c>
      <c r="B2540">
        <v>2488</v>
      </c>
      <c r="C2540">
        <v>13</v>
      </c>
      <c r="D2540">
        <v>-3.4</v>
      </c>
      <c r="E2540">
        <v>1.7</v>
      </c>
    </row>
    <row r="2541" spans="1:5" x14ac:dyDescent="0.2">
      <c r="A2541">
        <v>2534</v>
      </c>
      <c r="B2541">
        <v>2488</v>
      </c>
      <c r="C2541">
        <v>14</v>
      </c>
      <c r="D2541">
        <v>-3.2</v>
      </c>
      <c r="E2541">
        <v>1.7</v>
      </c>
    </row>
    <row r="2542" spans="1:5" x14ac:dyDescent="0.2">
      <c r="A2542">
        <v>2535</v>
      </c>
      <c r="B2542">
        <v>2489</v>
      </c>
      <c r="C2542">
        <v>14</v>
      </c>
      <c r="D2542">
        <v>-3.2</v>
      </c>
      <c r="E2542">
        <v>1.7</v>
      </c>
    </row>
    <row r="2543" spans="1:5" x14ac:dyDescent="0.2">
      <c r="A2543">
        <v>2536</v>
      </c>
      <c r="B2543">
        <v>2489</v>
      </c>
      <c r="C2543">
        <v>14</v>
      </c>
      <c r="D2543">
        <v>-3.1</v>
      </c>
      <c r="E2543">
        <v>1.7</v>
      </c>
    </row>
    <row r="2544" spans="1:5" x14ac:dyDescent="0.2">
      <c r="A2544">
        <v>2537</v>
      </c>
      <c r="B2544">
        <v>2491</v>
      </c>
      <c r="C2544">
        <v>13</v>
      </c>
      <c r="D2544">
        <v>-3.2</v>
      </c>
      <c r="E2544">
        <v>1.7</v>
      </c>
    </row>
    <row r="2545" spans="1:5" x14ac:dyDescent="0.2">
      <c r="A2545">
        <v>2538</v>
      </c>
      <c r="B2545">
        <v>2492</v>
      </c>
      <c r="C2545">
        <v>13</v>
      </c>
      <c r="D2545">
        <v>-3.2</v>
      </c>
      <c r="E2545">
        <v>1.6</v>
      </c>
    </row>
    <row r="2546" spans="1:5" x14ac:dyDescent="0.2">
      <c r="A2546">
        <v>2539</v>
      </c>
      <c r="B2546">
        <v>2494</v>
      </c>
      <c r="C2546">
        <v>13</v>
      </c>
      <c r="D2546">
        <v>-3.4</v>
      </c>
      <c r="E2546">
        <v>1.6</v>
      </c>
    </row>
    <row r="2547" spans="1:5" x14ac:dyDescent="0.2">
      <c r="A2547">
        <v>2540</v>
      </c>
      <c r="B2547">
        <v>2496</v>
      </c>
      <c r="C2547">
        <v>13</v>
      </c>
      <c r="D2547">
        <v>-3.5</v>
      </c>
      <c r="E2547">
        <v>1.6</v>
      </c>
    </row>
    <row r="2548" spans="1:5" x14ac:dyDescent="0.2">
      <c r="A2548">
        <v>2541</v>
      </c>
      <c r="B2548">
        <v>2498</v>
      </c>
      <c r="C2548">
        <v>13</v>
      </c>
      <c r="D2548">
        <v>-3.7</v>
      </c>
      <c r="E2548">
        <v>1.6</v>
      </c>
    </row>
    <row r="2549" spans="1:5" x14ac:dyDescent="0.2">
      <c r="A2549">
        <v>2542</v>
      </c>
      <c r="B2549">
        <v>2501</v>
      </c>
      <c r="C2549">
        <v>13</v>
      </c>
      <c r="D2549">
        <v>-3.8</v>
      </c>
      <c r="E2549">
        <v>1.6</v>
      </c>
    </row>
    <row r="2550" spans="1:5" x14ac:dyDescent="0.2">
      <c r="A2550">
        <v>2543</v>
      </c>
      <c r="B2550">
        <v>2503</v>
      </c>
      <c r="C2550">
        <v>13</v>
      </c>
      <c r="D2550">
        <v>-4</v>
      </c>
      <c r="E2550">
        <v>1.7</v>
      </c>
    </row>
    <row r="2551" spans="1:5" x14ac:dyDescent="0.2">
      <c r="A2551">
        <v>2544</v>
      </c>
      <c r="B2551">
        <v>2505</v>
      </c>
      <c r="C2551">
        <v>14</v>
      </c>
      <c r="D2551">
        <v>-4.0999999999999996</v>
      </c>
      <c r="E2551">
        <v>1.7</v>
      </c>
    </row>
    <row r="2552" spans="1:5" x14ac:dyDescent="0.2">
      <c r="A2552">
        <v>2545</v>
      </c>
      <c r="B2552">
        <v>2507</v>
      </c>
      <c r="C2552">
        <v>14</v>
      </c>
      <c r="D2552">
        <v>-4.3</v>
      </c>
      <c r="E2552">
        <v>1.7</v>
      </c>
    </row>
    <row r="2553" spans="1:5" x14ac:dyDescent="0.2">
      <c r="A2553">
        <v>2546</v>
      </c>
      <c r="B2553">
        <v>2509</v>
      </c>
      <c r="C2553">
        <v>14</v>
      </c>
      <c r="D2553">
        <v>-4.4000000000000004</v>
      </c>
      <c r="E2553">
        <v>1.8</v>
      </c>
    </row>
    <row r="2554" spans="1:5" x14ac:dyDescent="0.2">
      <c r="A2554">
        <v>2547</v>
      </c>
      <c r="B2554">
        <v>2511</v>
      </c>
      <c r="C2554">
        <v>14</v>
      </c>
      <c r="D2554">
        <v>-4.4000000000000004</v>
      </c>
      <c r="E2554">
        <v>1.8</v>
      </c>
    </row>
    <row r="2555" spans="1:5" x14ac:dyDescent="0.2">
      <c r="A2555">
        <v>2548</v>
      </c>
      <c r="B2555">
        <v>2512</v>
      </c>
      <c r="C2555">
        <v>14</v>
      </c>
      <c r="D2555">
        <v>-4.4000000000000004</v>
      </c>
      <c r="E2555">
        <v>1.7</v>
      </c>
    </row>
    <row r="2556" spans="1:5" x14ac:dyDescent="0.2">
      <c r="A2556">
        <v>2549</v>
      </c>
      <c r="B2556">
        <v>2512</v>
      </c>
      <c r="C2556">
        <v>14</v>
      </c>
      <c r="D2556">
        <v>-4.4000000000000004</v>
      </c>
      <c r="E2556">
        <v>1.7</v>
      </c>
    </row>
    <row r="2557" spans="1:5" x14ac:dyDescent="0.2">
      <c r="A2557">
        <v>2550</v>
      </c>
      <c r="B2557">
        <v>2512</v>
      </c>
      <c r="C2557">
        <v>14</v>
      </c>
      <c r="D2557">
        <v>-4.3</v>
      </c>
      <c r="E2557">
        <v>1.7</v>
      </c>
    </row>
    <row r="2558" spans="1:5" x14ac:dyDescent="0.2">
      <c r="A2558">
        <v>2551</v>
      </c>
      <c r="B2558">
        <v>2512</v>
      </c>
      <c r="C2558">
        <v>13</v>
      </c>
      <c r="D2558">
        <v>-4.0999999999999996</v>
      </c>
      <c r="E2558">
        <v>1.6</v>
      </c>
    </row>
    <row r="2559" spans="1:5" x14ac:dyDescent="0.2">
      <c r="A2559">
        <v>2552</v>
      </c>
      <c r="B2559">
        <v>2511</v>
      </c>
      <c r="C2559">
        <v>13</v>
      </c>
      <c r="D2559">
        <v>-3.9</v>
      </c>
      <c r="E2559">
        <v>1.6</v>
      </c>
    </row>
    <row r="2560" spans="1:5" x14ac:dyDescent="0.2">
      <c r="A2560">
        <v>2553</v>
      </c>
      <c r="B2560">
        <v>2510</v>
      </c>
      <c r="C2560">
        <v>13</v>
      </c>
      <c r="D2560">
        <v>-3.7</v>
      </c>
      <c r="E2560">
        <v>1.6</v>
      </c>
    </row>
    <row r="2561" spans="1:5" x14ac:dyDescent="0.2">
      <c r="A2561">
        <v>2554</v>
      </c>
      <c r="B2561">
        <v>2509</v>
      </c>
      <c r="C2561">
        <v>13</v>
      </c>
      <c r="D2561">
        <v>-3.4</v>
      </c>
      <c r="E2561">
        <v>1.7</v>
      </c>
    </row>
    <row r="2562" spans="1:5" x14ac:dyDescent="0.2">
      <c r="A2562">
        <v>2555</v>
      </c>
      <c r="B2562">
        <v>2508</v>
      </c>
      <c r="C2562">
        <v>13</v>
      </c>
      <c r="D2562">
        <v>-3.1</v>
      </c>
      <c r="E2562">
        <v>1.7</v>
      </c>
    </row>
    <row r="2563" spans="1:5" x14ac:dyDescent="0.2">
      <c r="A2563">
        <v>2556</v>
      </c>
      <c r="B2563">
        <v>2506</v>
      </c>
      <c r="C2563">
        <v>13</v>
      </c>
      <c r="D2563">
        <v>-2.8</v>
      </c>
      <c r="E2563">
        <v>1.7</v>
      </c>
    </row>
    <row r="2564" spans="1:5" x14ac:dyDescent="0.2">
      <c r="A2564">
        <v>2557</v>
      </c>
      <c r="B2564">
        <v>2504</v>
      </c>
      <c r="C2564">
        <v>13</v>
      </c>
      <c r="D2564">
        <v>-2.4</v>
      </c>
      <c r="E2564">
        <v>1.6</v>
      </c>
    </row>
    <row r="2565" spans="1:5" x14ac:dyDescent="0.2">
      <c r="A2565">
        <v>2558</v>
      </c>
      <c r="B2565">
        <v>2502</v>
      </c>
      <c r="C2565">
        <v>13</v>
      </c>
      <c r="D2565">
        <v>-2</v>
      </c>
      <c r="E2565">
        <v>1.6</v>
      </c>
    </row>
    <row r="2566" spans="1:5" x14ac:dyDescent="0.2">
      <c r="A2566">
        <v>2559</v>
      </c>
      <c r="B2566">
        <v>2500</v>
      </c>
      <c r="C2566">
        <v>13</v>
      </c>
      <c r="D2566">
        <v>-1.7</v>
      </c>
      <c r="E2566">
        <v>1.6</v>
      </c>
    </row>
    <row r="2567" spans="1:5" x14ac:dyDescent="0.2">
      <c r="A2567">
        <v>2560</v>
      </c>
      <c r="B2567">
        <v>2498</v>
      </c>
      <c r="C2567">
        <v>13</v>
      </c>
      <c r="D2567">
        <v>-1.3</v>
      </c>
      <c r="E2567">
        <v>1.6</v>
      </c>
    </row>
    <row r="2568" spans="1:5" x14ac:dyDescent="0.2">
      <c r="A2568">
        <v>2561</v>
      </c>
      <c r="B2568">
        <v>2497</v>
      </c>
      <c r="C2568">
        <v>13</v>
      </c>
      <c r="D2568">
        <v>-1</v>
      </c>
      <c r="E2568">
        <v>1.7</v>
      </c>
    </row>
    <row r="2569" spans="1:5" x14ac:dyDescent="0.2">
      <c r="A2569">
        <v>2562</v>
      </c>
      <c r="B2569">
        <v>2495</v>
      </c>
      <c r="C2569">
        <v>14</v>
      </c>
      <c r="D2569">
        <v>-0.7</v>
      </c>
      <c r="E2569">
        <v>1.7</v>
      </c>
    </row>
    <row r="2570" spans="1:5" x14ac:dyDescent="0.2">
      <c r="A2570">
        <v>2563</v>
      </c>
      <c r="B2570">
        <v>2494</v>
      </c>
      <c r="C2570">
        <v>14</v>
      </c>
      <c r="D2570">
        <v>-0.4</v>
      </c>
      <c r="E2570">
        <v>1.7</v>
      </c>
    </row>
    <row r="2571" spans="1:5" x14ac:dyDescent="0.2">
      <c r="A2571">
        <v>2564</v>
      </c>
      <c r="B2571">
        <v>2493</v>
      </c>
      <c r="C2571">
        <v>14</v>
      </c>
      <c r="D2571">
        <v>-0.2</v>
      </c>
      <c r="E2571">
        <v>1.7</v>
      </c>
    </row>
    <row r="2572" spans="1:5" x14ac:dyDescent="0.2">
      <c r="A2572">
        <v>2565</v>
      </c>
      <c r="B2572">
        <v>2492</v>
      </c>
      <c r="C2572">
        <v>13</v>
      </c>
      <c r="D2572">
        <v>0</v>
      </c>
      <c r="E2572">
        <v>1.7</v>
      </c>
    </row>
    <row r="2573" spans="1:5" x14ac:dyDescent="0.2">
      <c r="A2573">
        <v>2566</v>
      </c>
      <c r="B2573">
        <v>2492</v>
      </c>
      <c r="C2573">
        <v>13</v>
      </c>
      <c r="D2573">
        <v>0.1</v>
      </c>
      <c r="E2573">
        <v>1.6</v>
      </c>
    </row>
    <row r="2574" spans="1:5" x14ac:dyDescent="0.2">
      <c r="A2574">
        <v>2567</v>
      </c>
      <c r="B2574">
        <v>2492</v>
      </c>
      <c r="C2574">
        <v>13</v>
      </c>
      <c r="D2574">
        <v>0.2</v>
      </c>
      <c r="E2574">
        <v>1.6</v>
      </c>
    </row>
    <row r="2575" spans="1:5" x14ac:dyDescent="0.2">
      <c r="A2575">
        <v>2568</v>
      </c>
      <c r="B2575">
        <v>2493</v>
      </c>
      <c r="C2575">
        <v>13</v>
      </c>
      <c r="D2575">
        <v>0.3</v>
      </c>
      <c r="E2575">
        <v>1.6</v>
      </c>
    </row>
    <row r="2576" spans="1:5" x14ac:dyDescent="0.2">
      <c r="A2576">
        <v>2569</v>
      </c>
      <c r="B2576">
        <v>2494</v>
      </c>
      <c r="C2576">
        <v>13</v>
      </c>
      <c r="D2576">
        <v>0.3</v>
      </c>
      <c r="E2576">
        <v>1.7</v>
      </c>
    </row>
    <row r="2577" spans="1:5" x14ac:dyDescent="0.2">
      <c r="A2577">
        <v>2570</v>
      </c>
      <c r="B2577">
        <v>2495</v>
      </c>
      <c r="C2577">
        <v>13</v>
      </c>
      <c r="D2577">
        <v>0.3</v>
      </c>
      <c r="E2577">
        <v>1.7</v>
      </c>
    </row>
    <row r="2578" spans="1:5" x14ac:dyDescent="0.2">
      <c r="A2578">
        <v>2571</v>
      </c>
      <c r="B2578">
        <v>2496</v>
      </c>
      <c r="C2578">
        <v>13</v>
      </c>
      <c r="D2578">
        <v>0.3</v>
      </c>
      <c r="E2578">
        <v>1.6</v>
      </c>
    </row>
    <row r="2579" spans="1:5" x14ac:dyDescent="0.2">
      <c r="A2579">
        <v>2572</v>
      </c>
      <c r="B2579">
        <v>2498</v>
      </c>
      <c r="C2579">
        <v>13</v>
      </c>
      <c r="D2579">
        <v>0.2</v>
      </c>
      <c r="E2579">
        <v>1.6</v>
      </c>
    </row>
    <row r="2580" spans="1:5" x14ac:dyDescent="0.2">
      <c r="A2580">
        <v>2573</v>
      </c>
      <c r="B2580">
        <v>2499</v>
      </c>
      <c r="C2580">
        <v>12</v>
      </c>
      <c r="D2580">
        <v>0.1</v>
      </c>
      <c r="E2580">
        <v>1.5</v>
      </c>
    </row>
    <row r="2581" spans="1:5" x14ac:dyDescent="0.2">
      <c r="A2581">
        <v>2574</v>
      </c>
      <c r="B2581">
        <v>2501</v>
      </c>
      <c r="C2581">
        <v>12</v>
      </c>
      <c r="D2581">
        <v>0</v>
      </c>
      <c r="E2581">
        <v>1.5</v>
      </c>
    </row>
    <row r="2582" spans="1:5" x14ac:dyDescent="0.2">
      <c r="A2582">
        <v>2575</v>
      </c>
      <c r="B2582">
        <v>2502</v>
      </c>
      <c r="C2582">
        <v>12</v>
      </c>
      <c r="D2582">
        <v>0</v>
      </c>
      <c r="E2582">
        <v>1.5</v>
      </c>
    </row>
    <row r="2583" spans="1:5" x14ac:dyDescent="0.2">
      <c r="A2583">
        <v>2576</v>
      </c>
      <c r="B2583">
        <v>2503</v>
      </c>
      <c r="C2583">
        <v>12</v>
      </c>
      <c r="D2583">
        <v>0</v>
      </c>
      <c r="E2583">
        <v>1.5</v>
      </c>
    </row>
    <row r="2584" spans="1:5" x14ac:dyDescent="0.2">
      <c r="A2584">
        <v>2577</v>
      </c>
      <c r="B2584">
        <v>2503</v>
      </c>
      <c r="C2584">
        <v>12</v>
      </c>
      <c r="D2584">
        <v>0.1</v>
      </c>
      <c r="E2584">
        <v>1.4</v>
      </c>
    </row>
    <row r="2585" spans="1:5" x14ac:dyDescent="0.2">
      <c r="A2585">
        <v>2578</v>
      </c>
      <c r="B2585">
        <v>2502</v>
      </c>
      <c r="C2585">
        <v>12</v>
      </c>
      <c r="D2585">
        <v>0.3</v>
      </c>
      <c r="E2585">
        <v>1.4</v>
      </c>
    </row>
    <row r="2586" spans="1:5" x14ac:dyDescent="0.2">
      <c r="A2586">
        <v>2579</v>
      </c>
      <c r="B2586">
        <v>2501</v>
      </c>
      <c r="C2586">
        <v>12</v>
      </c>
      <c r="D2586">
        <v>0.6</v>
      </c>
      <c r="E2586">
        <v>1.4</v>
      </c>
    </row>
    <row r="2587" spans="1:5" x14ac:dyDescent="0.2">
      <c r="A2587">
        <v>2580</v>
      </c>
      <c r="B2587">
        <v>2500</v>
      </c>
      <c r="C2587">
        <v>12</v>
      </c>
      <c r="D2587">
        <v>0.8</v>
      </c>
      <c r="E2587">
        <v>1.4</v>
      </c>
    </row>
    <row r="2588" spans="1:5" x14ac:dyDescent="0.2">
      <c r="A2588">
        <v>2581</v>
      </c>
      <c r="B2588">
        <v>2499</v>
      </c>
      <c r="C2588">
        <v>12</v>
      </c>
      <c r="D2588">
        <v>1.1000000000000001</v>
      </c>
      <c r="E2588">
        <v>1.4</v>
      </c>
    </row>
    <row r="2589" spans="1:5" x14ac:dyDescent="0.2">
      <c r="A2589">
        <v>2582</v>
      </c>
      <c r="B2589">
        <v>2497</v>
      </c>
      <c r="C2589">
        <v>12</v>
      </c>
      <c r="D2589">
        <v>1.5</v>
      </c>
      <c r="E2589">
        <v>1.4</v>
      </c>
    </row>
    <row r="2590" spans="1:5" x14ac:dyDescent="0.2">
      <c r="A2590">
        <v>2583</v>
      </c>
      <c r="B2590">
        <v>2495</v>
      </c>
      <c r="C2590">
        <v>11</v>
      </c>
      <c r="D2590">
        <v>1.8</v>
      </c>
      <c r="E2590">
        <v>1.4</v>
      </c>
    </row>
    <row r="2591" spans="1:5" x14ac:dyDescent="0.2">
      <c r="A2591">
        <v>2584</v>
      </c>
      <c r="B2591">
        <v>2493</v>
      </c>
      <c r="C2591">
        <v>12</v>
      </c>
      <c r="D2591">
        <v>2.2000000000000002</v>
      </c>
      <c r="E2591">
        <v>1.4</v>
      </c>
    </row>
    <row r="2592" spans="1:5" x14ac:dyDescent="0.2">
      <c r="A2592">
        <v>2585</v>
      </c>
      <c r="B2592">
        <v>2492</v>
      </c>
      <c r="C2592">
        <v>12</v>
      </c>
      <c r="D2592">
        <v>2.5</v>
      </c>
      <c r="E2592">
        <v>1.4</v>
      </c>
    </row>
    <row r="2593" spans="1:5" x14ac:dyDescent="0.2">
      <c r="A2593">
        <v>2586</v>
      </c>
      <c r="B2593">
        <v>2491</v>
      </c>
      <c r="C2593">
        <v>12</v>
      </c>
      <c r="D2593">
        <v>2.8</v>
      </c>
      <c r="E2593">
        <v>1.4</v>
      </c>
    </row>
    <row r="2594" spans="1:5" x14ac:dyDescent="0.2">
      <c r="A2594">
        <v>2587</v>
      </c>
      <c r="B2594">
        <v>2490</v>
      </c>
      <c r="C2594">
        <v>12</v>
      </c>
      <c r="D2594">
        <v>3</v>
      </c>
      <c r="E2594">
        <v>1.5</v>
      </c>
    </row>
    <row r="2595" spans="1:5" x14ac:dyDescent="0.2">
      <c r="A2595">
        <v>2588</v>
      </c>
      <c r="B2595">
        <v>2489</v>
      </c>
      <c r="C2595">
        <v>12</v>
      </c>
      <c r="D2595">
        <v>3.2</v>
      </c>
      <c r="E2595">
        <v>1.5</v>
      </c>
    </row>
    <row r="2596" spans="1:5" x14ac:dyDescent="0.2">
      <c r="A2596">
        <v>2589</v>
      </c>
      <c r="B2596">
        <v>2489</v>
      </c>
      <c r="C2596">
        <v>12</v>
      </c>
      <c r="D2596">
        <v>3.4</v>
      </c>
      <c r="E2596">
        <v>1.5</v>
      </c>
    </row>
    <row r="2597" spans="1:5" x14ac:dyDescent="0.2">
      <c r="A2597">
        <v>2590</v>
      </c>
      <c r="B2597">
        <v>2488</v>
      </c>
      <c r="C2597">
        <v>12</v>
      </c>
      <c r="D2597">
        <v>3.6</v>
      </c>
      <c r="E2597">
        <v>1.5</v>
      </c>
    </row>
    <row r="2598" spans="1:5" x14ac:dyDescent="0.2">
      <c r="A2598">
        <v>2591</v>
      </c>
      <c r="B2598">
        <v>2487</v>
      </c>
      <c r="C2598">
        <v>12</v>
      </c>
      <c r="D2598">
        <v>3.8</v>
      </c>
      <c r="E2598">
        <v>1.5</v>
      </c>
    </row>
    <row r="2599" spans="1:5" x14ac:dyDescent="0.2">
      <c r="A2599">
        <v>2592</v>
      </c>
      <c r="B2599">
        <v>2485</v>
      </c>
      <c r="C2599">
        <v>12</v>
      </c>
      <c r="D2599">
        <v>4.2</v>
      </c>
      <c r="E2599">
        <v>1.4</v>
      </c>
    </row>
    <row r="2600" spans="1:5" x14ac:dyDescent="0.2">
      <c r="A2600">
        <v>2593</v>
      </c>
      <c r="B2600">
        <v>2483</v>
      </c>
      <c r="C2600">
        <v>11</v>
      </c>
      <c r="D2600">
        <v>4.5999999999999996</v>
      </c>
      <c r="E2600">
        <v>1.4</v>
      </c>
    </row>
    <row r="2601" spans="1:5" x14ac:dyDescent="0.2">
      <c r="A2601">
        <v>2594</v>
      </c>
      <c r="B2601">
        <v>2480</v>
      </c>
      <c r="C2601">
        <v>11</v>
      </c>
      <c r="D2601">
        <v>5.0999999999999996</v>
      </c>
      <c r="E2601">
        <v>1.4</v>
      </c>
    </row>
    <row r="2602" spans="1:5" x14ac:dyDescent="0.2">
      <c r="A2602">
        <v>2595</v>
      </c>
      <c r="B2602">
        <v>2477</v>
      </c>
      <c r="C2602">
        <v>11</v>
      </c>
      <c r="D2602">
        <v>5.5</v>
      </c>
      <c r="E2602">
        <v>1.4</v>
      </c>
    </row>
    <row r="2603" spans="1:5" x14ac:dyDescent="0.2">
      <c r="A2603">
        <v>2596</v>
      </c>
      <c r="B2603">
        <v>2474</v>
      </c>
      <c r="C2603">
        <v>11</v>
      </c>
      <c r="D2603">
        <v>6</v>
      </c>
      <c r="E2603">
        <v>1.4</v>
      </c>
    </row>
    <row r="2604" spans="1:5" x14ac:dyDescent="0.2">
      <c r="A2604">
        <v>2597</v>
      </c>
      <c r="B2604">
        <v>2471</v>
      </c>
      <c r="C2604">
        <v>11</v>
      </c>
      <c r="D2604">
        <v>6.5</v>
      </c>
      <c r="E2604">
        <v>1.4</v>
      </c>
    </row>
    <row r="2605" spans="1:5" x14ac:dyDescent="0.2">
      <c r="A2605">
        <v>2598</v>
      </c>
      <c r="B2605">
        <v>2468</v>
      </c>
      <c r="C2605">
        <v>11</v>
      </c>
      <c r="D2605">
        <v>7</v>
      </c>
      <c r="E2605">
        <v>1.4</v>
      </c>
    </row>
    <row r="2606" spans="1:5" x14ac:dyDescent="0.2">
      <c r="A2606">
        <v>2599</v>
      </c>
      <c r="B2606">
        <v>2465</v>
      </c>
      <c r="C2606">
        <v>12</v>
      </c>
      <c r="D2606">
        <v>7.5</v>
      </c>
      <c r="E2606">
        <v>1.5</v>
      </c>
    </row>
    <row r="2607" spans="1:5" x14ac:dyDescent="0.2">
      <c r="A2607">
        <v>2600</v>
      </c>
      <c r="B2607">
        <v>2462</v>
      </c>
      <c r="C2607">
        <v>12</v>
      </c>
      <c r="D2607">
        <v>8.1</v>
      </c>
      <c r="E2607">
        <v>1.5</v>
      </c>
    </row>
    <row r="2608" spans="1:5" x14ac:dyDescent="0.2">
      <c r="A2608">
        <v>2601</v>
      </c>
      <c r="B2608">
        <v>2458</v>
      </c>
      <c r="C2608">
        <v>12</v>
      </c>
      <c r="D2608">
        <v>8.6999999999999993</v>
      </c>
      <c r="E2608">
        <v>1.5</v>
      </c>
    </row>
    <row r="2609" spans="1:5" x14ac:dyDescent="0.2">
      <c r="A2609">
        <v>2602</v>
      </c>
      <c r="B2609">
        <v>2454</v>
      </c>
      <c r="C2609">
        <v>11</v>
      </c>
      <c r="D2609">
        <v>9.3000000000000007</v>
      </c>
      <c r="E2609">
        <v>1.4</v>
      </c>
    </row>
    <row r="2610" spans="1:5" x14ac:dyDescent="0.2">
      <c r="A2610">
        <v>2603</v>
      </c>
      <c r="B2610">
        <v>2451</v>
      </c>
      <c r="C2610">
        <v>11</v>
      </c>
      <c r="D2610">
        <v>9.9</v>
      </c>
      <c r="E2610">
        <v>1.4</v>
      </c>
    </row>
    <row r="2611" spans="1:5" x14ac:dyDescent="0.2">
      <c r="A2611">
        <v>2604</v>
      </c>
      <c r="B2611">
        <v>2447</v>
      </c>
      <c r="C2611">
        <v>11</v>
      </c>
      <c r="D2611">
        <v>10.4</v>
      </c>
      <c r="E2611">
        <v>1.4</v>
      </c>
    </row>
    <row r="2612" spans="1:5" x14ac:dyDescent="0.2">
      <c r="A2612">
        <v>2605</v>
      </c>
      <c r="B2612">
        <v>2444</v>
      </c>
      <c r="C2612">
        <v>11</v>
      </c>
      <c r="D2612">
        <v>10.9</v>
      </c>
      <c r="E2612">
        <v>1.4</v>
      </c>
    </row>
    <row r="2613" spans="1:5" x14ac:dyDescent="0.2">
      <c r="A2613">
        <v>2606</v>
      </c>
      <c r="B2613">
        <v>2442</v>
      </c>
      <c r="C2613">
        <v>11</v>
      </c>
      <c r="D2613">
        <v>11.3</v>
      </c>
      <c r="E2613">
        <v>1.4</v>
      </c>
    </row>
    <row r="2614" spans="1:5" x14ac:dyDescent="0.2">
      <c r="A2614">
        <v>2607</v>
      </c>
      <c r="B2614">
        <v>2441</v>
      </c>
      <c r="C2614">
        <v>11</v>
      </c>
      <c r="D2614">
        <v>11.5</v>
      </c>
      <c r="E2614">
        <v>1.4</v>
      </c>
    </row>
    <row r="2615" spans="1:5" x14ac:dyDescent="0.2">
      <c r="A2615">
        <v>2608</v>
      </c>
      <c r="B2615">
        <v>2442</v>
      </c>
      <c r="C2615">
        <v>11</v>
      </c>
      <c r="D2615">
        <v>11.5</v>
      </c>
      <c r="E2615">
        <v>1.4</v>
      </c>
    </row>
    <row r="2616" spans="1:5" x14ac:dyDescent="0.2">
      <c r="A2616">
        <v>2609</v>
      </c>
      <c r="B2616">
        <v>2445</v>
      </c>
      <c r="C2616">
        <v>11</v>
      </c>
      <c r="D2616">
        <v>11.2</v>
      </c>
      <c r="E2616">
        <v>1.4</v>
      </c>
    </row>
    <row r="2617" spans="1:5" x14ac:dyDescent="0.2">
      <c r="A2617">
        <v>2610</v>
      </c>
      <c r="B2617">
        <v>2451</v>
      </c>
      <c r="C2617">
        <v>11</v>
      </c>
      <c r="D2617">
        <v>10.7</v>
      </c>
      <c r="E2617">
        <v>1.4</v>
      </c>
    </row>
    <row r="2618" spans="1:5" x14ac:dyDescent="0.2">
      <c r="A2618">
        <v>2611</v>
      </c>
      <c r="B2618">
        <v>2458</v>
      </c>
      <c r="C2618">
        <v>11</v>
      </c>
      <c r="D2618">
        <v>9.9</v>
      </c>
      <c r="E2618">
        <v>1.4</v>
      </c>
    </row>
    <row r="2619" spans="1:5" x14ac:dyDescent="0.2">
      <c r="A2619">
        <v>2612</v>
      </c>
      <c r="B2619">
        <v>2467</v>
      </c>
      <c r="C2619">
        <v>11</v>
      </c>
      <c r="D2619">
        <v>8.9</v>
      </c>
      <c r="E2619">
        <v>1.4</v>
      </c>
    </row>
    <row r="2620" spans="1:5" x14ac:dyDescent="0.2">
      <c r="A2620">
        <v>2613</v>
      </c>
      <c r="B2620">
        <v>2475</v>
      </c>
      <c r="C2620">
        <v>11</v>
      </c>
      <c r="D2620">
        <v>8</v>
      </c>
      <c r="E2620">
        <v>1.4</v>
      </c>
    </row>
    <row r="2621" spans="1:5" x14ac:dyDescent="0.2">
      <c r="A2621">
        <v>2614</v>
      </c>
      <c r="B2621">
        <v>2483</v>
      </c>
      <c r="C2621">
        <v>11</v>
      </c>
      <c r="D2621">
        <v>7.1</v>
      </c>
      <c r="E2621">
        <v>1.4</v>
      </c>
    </row>
    <row r="2622" spans="1:5" x14ac:dyDescent="0.2">
      <c r="A2622">
        <v>2615</v>
      </c>
      <c r="B2622">
        <v>2490</v>
      </c>
      <c r="C2622">
        <v>11</v>
      </c>
      <c r="D2622">
        <v>6.4</v>
      </c>
      <c r="E2622">
        <v>1.4</v>
      </c>
    </row>
    <row r="2623" spans="1:5" x14ac:dyDescent="0.2">
      <c r="A2623">
        <v>2616</v>
      </c>
      <c r="B2623">
        <v>2495</v>
      </c>
      <c r="C2623">
        <v>11</v>
      </c>
      <c r="D2623">
        <v>5.8</v>
      </c>
      <c r="E2623">
        <v>1.4</v>
      </c>
    </row>
    <row r="2624" spans="1:5" x14ac:dyDescent="0.2">
      <c r="A2624">
        <v>2617</v>
      </c>
      <c r="B2624">
        <v>2500</v>
      </c>
      <c r="C2624">
        <v>11</v>
      </c>
      <c r="D2624">
        <v>5.4</v>
      </c>
      <c r="E2624">
        <v>1.4</v>
      </c>
    </row>
    <row r="2625" spans="1:5" x14ac:dyDescent="0.2">
      <c r="A2625">
        <v>2618</v>
      </c>
      <c r="B2625">
        <v>2503</v>
      </c>
      <c r="C2625">
        <v>11</v>
      </c>
      <c r="D2625">
        <v>5.0999999999999996</v>
      </c>
      <c r="E2625">
        <v>1.4</v>
      </c>
    </row>
    <row r="2626" spans="1:5" x14ac:dyDescent="0.2">
      <c r="A2626">
        <v>2619</v>
      </c>
      <c r="B2626">
        <v>2506</v>
      </c>
      <c r="C2626">
        <v>11</v>
      </c>
      <c r="D2626">
        <v>4.8</v>
      </c>
      <c r="E2626">
        <v>1.4</v>
      </c>
    </row>
    <row r="2627" spans="1:5" x14ac:dyDescent="0.2">
      <c r="A2627">
        <v>2620</v>
      </c>
      <c r="B2627">
        <v>2510</v>
      </c>
      <c r="C2627">
        <v>11</v>
      </c>
      <c r="D2627">
        <v>4.5</v>
      </c>
      <c r="E2627">
        <v>1.4</v>
      </c>
    </row>
    <row r="2628" spans="1:5" x14ac:dyDescent="0.2">
      <c r="A2628">
        <v>2621</v>
      </c>
      <c r="B2628">
        <v>2513</v>
      </c>
      <c r="C2628">
        <v>11</v>
      </c>
      <c r="D2628">
        <v>4.3</v>
      </c>
      <c r="E2628">
        <v>1.4</v>
      </c>
    </row>
    <row r="2629" spans="1:5" x14ac:dyDescent="0.2">
      <c r="A2629">
        <v>2622</v>
      </c>
      <c r="B2629">
        <v>2515</v>
      </c>
      <c r="C2629">
        <v>11</v>
      </c>
      <c r="D2629">
        <v>4.0999999999999996</v>
      </c>
      <c r="E2629">
        <v>1.4</v>
      </c>
    </row>
    <row r="2630" spans="1:5" x14ac:dyDescent="0.2">
      <c r="A2630">
        <v>2623</v>
      </c>
      <c r="B2630">
        <v>2517</v>
      </c>
      <c r="C2630">
        <v>11</v>
      </c>
      <c r="D2630">
        <v>4</v>
      </c>
      <c r="E2630">
        <v>1.4</v>
      </c>
    </row>
    <row r="2631" spans="1:5" x14ac:dyDescent="0.2">
      <c r="A2631">
        <v>2624</v>
      </c>
      <c r="B2631">
        <v>2518</v>
      </c>
      <c r="C2631">
        <v>11</v>
      </c>
      <c r="D2631">
        <v>4</v>
      </c>
      <c r="E2631">
        <v>1.4</v>
      </c>
    </row>
    <row r="2632" spans="1:5" x14ac:dyDescent="0.2">
      <c r="A2632">
        <v>2625</v>
      </c>
      <c r="B2632">
        <v>2517</v>
      </c>
      <c r="C2632">
        <v>11</v>
      </c>
      <c r="D2632">
        <v>4.0999999999999996</v>
      </c>
      <c r="E2632">
        <v>1.4</v>
      </c>
    </row>
    <row r="2633" spans="1:5" x14ac:dyDescent="0.2">
      <c r="A2633">
        <v>2626</v>
      </c>
      <c r="B2633">
        <v>2516</v>
      </c>
      <c r="C2633">
        <v>11</v>
      </c>
      <c r="D2633">
        <v>4.5</v>
      </c>
      <c r="E2633">
        <v>1.4</v>
      </c>
    </row>
    <row r="2634" spans="1:5" x14ac:dyDescent="0.2">
      <c r="A2634">
        <v>2627</v>
      </c>
      <c r="B2634">
        <v>2514</v>
      </c>
      <c r="C2634">
        <v>11</v>
      </c>
      <c r="D2634">
        <v>4.9000000000000004</v>
      </c>
      <c r="E2634">
        <v>1.4</v>
      </c>
    </row>
    <row r="2635" spans="1:5" x14ac:dyDescent="0.2">
      <c r="A2635">
        <v>2628</v>
      </c>
      <c r="B2635">
        <v>2511</v>
      </c>
      <c r="C2635">
        <v>12</v>
      </c>
      <c r="D2635">
        <v>5.4</v>
      </c>
      <c r="E2635">
        <v>1.4</v>
      </c>
    </row>
    <row r="2636" spans="1:5" x14ac:dyDescent="0.2">
      <c r="A2636">
        <v>2629</v>
      </c>
      <c r="B2636">
        <v>2507</v>
      </c>
      <c r="C2636">
        <v>12</v>
      </c>
      <c r="D2636">
        <v>6</v>
      </c>
      <c r="E2636">
        <v>1.5</v>
      </c>
    </row>
    <row r="2637" spans="1:5" x14ac:dyDescent="0.2">
      <c r="A2637">
        <v>2630</v>
      </c>
      <c r="B2637">
        <v>2503</v>
      </c>
      <c r="C2637">
        <v>12</v>
      </c>
      <c r="D2637">
        <v>6.5</v>
      </c>
      <c r="E2637">
        <v>1.4</v>
      </c>
    </row>
    <row r="2638" spans="1:5" x14ac:dyDescent="0.2">
      <c r="A2638">
        <v>2631</v>
      </c>
      <c r="B2638">
        <v>2500</v>
      </c>
      <c r="C2638">
        <v>12</v>
      </c>
      <c r="D2638">
        <v>7.1</v>
      </c>
      <c r="E2638">
        <v>1.5</v>
      </c>
    </row>
    <row r="2639" spans="1:5" x14ac:dyDescent="0.2">
      <c r="A2639">
        <v>2632</v>
      </c>
      <c r="B2639">
        <v>2496</v>
      </c>
      <c r="C2639">
        <v>11</v>
      </c>
      <c r="D2639">
        <v>7.6</v>
      </c>
      <c r="E2639">
        <v>1.4</v>
      </c>
    </row>
    <row r="2640" spans="1:5" x14ac:dyDescent="0.2">
      <c r="A2640">
        <v>2633</v>
      </c>
      <c r="B2640">
        <v>2494</v>
      </c>
      <c r="C2640">
        <v>11</v>
      </c>
      <c r="D2640">
        <v>8.1</v>
      </c>
      <c r="E2640">
        <v>1.4</v>
      </c>
    </row>
    <row r="2641" spans="1:5" x14ac:dyDescent="0.2">
      <c r="A2641">
        <v>2634</v>
      </c>
      <c r="B2641">
        <v>2491</v>
      </c>
      <c r="C2641">
        <v>11</v>
      </c>
      <c r="D2641">
        <v>8.5</v>
      </c>
      <c r="E2641">
        <v>1.4</v>
      </c>
    </row>
    <row r="2642" spans="1:5" x14ac:dyDescent="0.2">
      <c r="A2642">
        <v>2635</v>
      </c>
      <c r="B2642">
        <v>2489</v>
      </c>
      <c r="C2642">
        <v>11</v>
      </c>
      <c r="D2642">
        <v>8.9</v>
      </c>
      <c r="E2642">
        <v>1.4</v>
      </c>
    </row>
    <row r="2643" spans="1:5" x14ac:dyDescent="0.2">
      <c r="A2643">
        <v>2636</v>
      </c>
      <c r="B2643">
        <v>2487</v>
      </c>
      <c r="C2643">
        <v>11</v>
      </c>
      <c r="D2643">
        <v>9.3000000000000007</v>
      </c>
      <c r="E2643">
        <v>1.4</v>
      </c>
    </row>
    <row r="2644" spans="1:5" x14ac:dyDescent="0.2">
      <c r="A2644">
        <v>2637</v>
      </c>
      <c r="B2644">
        <v>2485</v>
      </c>
      <c r="C2644">
        <v>12</v>
      </c>
      <c r="D2644">
        <v>9.6999999999999993</v>
      </c>
      <c r="E2644">
        <v>1.5</v>
      </c>
    </row>
    <row r="2645" spans="1:5" x14ac:dyDescent="0.2">
      <c r="A2645">
        <v>2638</v>
      </c>
      <c r="B2645">
        <v>2483</v>
      </c>
      <c r="C2645">
        <v>12</v>
      </c>
      <c r="D2645">
        <v>10.1</v>
      </c>
      <c r="E2645">
        <v>1.5</v>
      </c>
    </row>
    <row r="2646" spans="1:5" x14ac:dyDescent="0.2">
      <c r="A2646">
        <v>2639</v>
      </c>
      <c r="B2646">
        <v>2480</v>
      </c>
      <c r="C2646">
        <v>11</v>
      </c>
      <c r="D2646">
        <v>10.6</v>
      </c>
      <c r="E2646">
        <v>1.4</v>
      </c>
    </row>
    <row r="2647" spans="1:5" x14ac:dyDescent="0.2">
      <c r="A2647">
        <v>2640</v>
      </c>
      <c r="B2647">
        <v>2477</v>
      </c>
      <c r="C2647">
        <v>11</v>
      </c>
      <c r="D2647">
        <v>11</v>
      </c>
      <c r="E2647">
        <v>1.4</v>
      </c>
    </row>
    <row r="2648" spans="1:5" x14ac:dyDescent="0.2">
      <c r="A2648">
        <v>2641</v>
      </c>
      <c r="B2648">
        <v>2475</v>
      </c>
      <c r="C2648">
        <v>11</v>
      </c>
      <c r="D2648">
        <v>11.5</v>
      </c>
      <c r="E2648">
        <v>1.4</v>
      </c>
    </row>
    <row r="2649" spans="1:5" x14ac:dyDescent="0.2">
      <c r="A2649">
        <v>2642</v>
      </c>
      <c r="B2649">
        <v>2472</v>
      </c>
      <c r="C2649">
        <v>11</v>
      </c>
      <c r="D2649">
        <v>11.9</v>
      </c>
      <c r="E2649">
        <v>1.4</v>
      </c>
    </row>
    <row r="2650" spans="1:5" x14ac:dyDescent="0.2">
      <c r="A2650">
        <v>2643</v>
      </c>
      <c r="B2650">
        <v>2469</v>
      </c>
      <c r="C2650">
        <v>11</v>
      </c>
      <c r="D2650">
        <v>12.4</v>
      </c>
      <c r="E2650">
        <v>1.4</v>
      </c>
    </row>
    <row r="2651" spans="1:5" x14ac:dyDescent="0.2">
      <c r="A2651">
        <v>2644</v>
      </c>
      <c r="B2651">
        <v>2467</v>
      </c>
      <c r="C2651">
        <v>11</v>
      </c>
      <c r="D2651">
        <v>12.8</v>
      </c>
      <c r="E2651">
        <v>1.4</v>
      </c>
    </row>
    <row r="2652" spans="1:5" x14ac:dyDescent="0.2">
      <c r="A2652">
        <v>2645</v>
      </c>
      <c r="B2652">
        <v>2465</v>
      </c>
      <c r="C2652">
        <v>11</v>
      </c>
      <c r="D2652">
        <v>13.1</v>
      </c>
      <c r="E2652">
        <v>1.4</v>
      </c>
    </row>
    <row r="2653" spans="1:5" x14ac:dyDescent="0.2">
      <c r="A2653">
        <v>2646</v>
      </c>
      <c r="B2653">
        <v>2464</v>
      </c>
      <c r="C2653">
        <v>11</v>
      </c>
      <c r="D2653">
        <v>13.4</v>
      </c>
      <c r="E2653">
        <v>1.4</v>
      </c>
    </row>
    <row r="2654" spans="1:5" x14ac:dyDescent="0.2">
      <c r="A2654">
        <v>2647</v>
      </c>
      <c r="B2654">
        <v>2462</v>
      </c>
      <c r="C2654">
        <v>11</v>
      </c>
      <c r="D2654">
        <v>13.7</v>
      </c>
      <c r="E2654">
        <v>1.4</v>
      </c>
    </row>
    <row r="2655" spans="1:5" x14ac:dyDescent="0.2">
      <c r="A2655">
        <v>2648</v>
      </c>
      <c r="B2655">
        <v>2462</v>
      </c>
      <c r="C2655">
        <v>11</v>
      </c>
      <c r="D2655">
        <v>14</v>
      </c>
      <c r="E2655">
        <v>1.4</v>
      </c>
    </row>
    <row r="2656" spans="1:5" x14ac:dyDescent="0.2">
      <c r="A2656">
        <v>2649</v>
      </c>
      <c r="B2656">
        <v>2461</v>
      </c>
      <c r="C2656">
        <v>11</v>
      </c>
      <c r="D2656">
        <v>14.1</v>
      </c>
      <c r="E2656">
        <v>1.4</v>
      </c>
    </row>
    <row r="2657" spans="1:5" x14ac:dyDescent="0.2">
      <c r="A2657">
        <v>2650</v>
      </c>
      <c r="B2657">
        <v>2462</v>
      </c>
      <c r="C2657">
        <v>11</v>
      </c>
      <c r="D2657">
        <v>14.2</v>
      </c>
      <c r="E2657">
        <v>1.4</v>
      </c>
    </row>
    <row r="2658" spans="1:5" x14ac:dyDescent="0.2">
      <c r="A2658">
        <v>2651</v>
      </c>
      <c r="B2658">
        <v>2462</v>
      </c>
      <c r="C2658">
        <v>11</v>
      </c>
      <c r="D2658">
        <v>14.2</v>
      </c>
      <c r="E2658">
        <v>1.4</v>
      </c>
    </row>
    <row r="2659" spans="1:5" x14ac:dyDescent="0.2">
      <c r="A2659">
        <v>2652</v>
      </c>
      <c r="B2659">
        <v>2463</v>
      </c>
      <c r="C2659">
        <v>11</v>
      </c>
      <c r="D2659">
        <v>14.3</v>
      </c>
      <c r="E2659">
        <v>1.4</v>
      </c>
    </row>
    <row r="2660" spans="1:5" x14ac:dyDescent="0.2">
      <c r="A2660">
        <v>2653</v>
      </c>
      <c r="B2660">
        <v>2464</v>
      </c>
      <c r="C2660">
        <v>11</v>
      </c>
      <c r="D2660">
        <v>14.3</v>
      </c>
      <c r="E2660">
        <v>1.4</v>
      </c>
    </row>
    <row r="2661" spans="1:5" x14ac:dyDescent="0.2">
      <c r="A2661">
        <v>2654</v>
      </c>
      <c r="B2661">
        <v>2463</v>
      </c>
      <c r="C2661">
        <v>11</v>
      </c>
      <c r="D2661">
        <v>14.5</v>
      </c>
      <c r="E2661">
        <v>1.4</v>
      </c>
    </row>
    <row r="2662" spans="1:5" x14ac:dyDescent="0.2">
      <c r="A2662">
        <v>2655</v>
      </c>
      <c r="B2662">
        <v>2462</v>
      </c>
      <c r="C2662">
        <v>11</v>
      </c>
      <c r="D2662">
        <v>14.8</v>
      </c>
      <c r="E2662">
        <v>1.4</v>
      </c>
    </row>
    <row r="2663" spans="1:5" x14ac:dyDescent="0.2">
      <c r="A2663">
        <v>2656</v>
      </c>
      <c r="B2663">
        <v>2460</v>
      </c>
      <c r="C2663">
        <v>11</v>
      </c>
      <c r="D2663">
        <v>15.2</v>
      </c>
      <c r="E2663">
        <v>1.4</v>
      </c>
    </row>
    <row r="2664" spans="1:5" x14ac:dyDescent="0.2">
      <c r="A2664">
        <v>2657</v>
      </c>
      <c r="B2664">
        <v>2457</v>
      </c>
      <c r="C2664">
        <v>11</v>
      </c>
      <c r="D2664">
        <v>15.7</v>
      </c>
      <c r="E2664">
        <v>1.4</v>
      </c>
    </row>
    <row r="2665" spans="1:5" x14ac:dyDescent="0.2">
      <c r="A2665">
        <v>2658</v>
      </c>
      <c r="B2665">
        <v>2453</v>
      </c>
      <c r="C2665">
        <v>11</v>
      </c>
      <c r="D2665">
        <v>16.3</v>
      </c>
      <c r="E2665">
        <v>1.4</v>
      </c>
    </row>
    <row r="2666" spans="1:5" x14ac:dyDescent="0.2">
      <c r="A2666">
        <v>2659</v>
      </c>
      <c r="B2666">
        <v>2449</v>
      </c>
      <c r="C2666">
        <v>11</v>
      </c>
      <c r="D2666">
        <v>16.899999999999999</v>
      </c>
      <c r="E2666">
        <v>1.4</v>
      </c>
    </row>
    <row r="2667" spans="1:5" x14ac:dyDescent="0.2">
      <c r="A2667">
        <v>2660</v>
      </c>
      <c r="B2667">
        <v>2446</v>
      </c>
      <c r="C2667">
        <v>11</v>
      </c>
      <c r="D2667">
        <v>17.399999999999999</v>
      </c>
      <c r="E2667">
        <v>1.4</v>
      </c>
    </row>
    <row r="2668" spans="1:5" x14ac:dyDescent="0.2">
      <c r="A2668">
        <v>2661</v>
      </c>
      <c r="B2668">
        <v>2444</v>
      </c>
      <c r="C2668">
        <v>11</v>
      </c>
      <c r="D2668">
        <v>17.8</v>
      </c>
      <c r="E2668">
        <v>1.4</v>
      </c>
    </row>
    <row r="2669" spans="1:5" x14ac:dyDescent="0.2">
      <c r="A2669">
        <v>2662</v>
      </c>
      <c r="B2669">
        <v>2443</v>
      </c>
      <c r="C2669">
        <v>11</v>
      </c>
      <c r="D2669">
        <v>18.100000000000001</v>
      </c>
      <c r="E2669">
        <v>1.4</v>
      </c>
    </row>
    <row r="2670" spans="1:5" x14ac:dyDescent="0.2">
      <c r="A2670">
        <v>2663</v>
      </c>
      <c r="B2670">
        <v>2443</v>
      </c>
      <c r="C2670">
        <v>11</v>
      </c>
      <c r="D2670">
        <v>18.2</v>
      </c>
      <c r="E2670">
        <v>1.4</v>
      </c>
    </row>
    <row r="2671" spans="1:5" x14ac:dyDescent="0.2">
      <c r="A2671">
        <v>2664</v>
      </c>
      <c r="B2671">
        <v>2445</v>
      </c>
      <c r="C2671">
        <v>11</v>
      </c>
      <c r="D2671">
        <v>18.100000000000001</v>
      </c>
      <c r="E2671">
        <v>1.4</v>
      </c>
    </row>
    <row r="2672" spans="1:5" x14ac:dyDescent="0.2">
      <c r="A2672">
        <v>2665</v>
      </c>
      <c r="B2672">
        <v>2447</v>
      </c>
      <c r="C2672">
        <v>11</v>
      </c>
      <c r="D2672">
        <v>17.899999999999999</v>
      </c>
      <c r="E2672">
        <v>1.4</v>
      </c>
    </row>
    <row r="2673" spans="1:5" x14ac:dyDescent="0.2">
      <c r="A2673">
        <v>2666</v>
      </c>
      <c r="B2673">
        <v>2450</v>
      </c>
      <c r="C2673">
        <v>11</v>
      </c>
      <c r="D2673">
        <v>17.600000000000001</v>
      </c>
      <c r="E2673">
        <v>1.4</v>
      </c>
    </row>
    <row r="2674" spans="1:5" x14ac:dyDescent="0.2">
      <c r="A2674">
        <v>2667</v>
      </c>
      <c r="B2674">
        <v>2454</v>
      </c>
      <c r="C2674">
        <v>11</v>
      </c>
      <c r="D2674">
        <v>17.3</v>
      </c>
      <c r="E2674">
        <v>1.4</v>
      </c>
    </row>
    <row r="2675" spans="1:5" x14ac:dyDescent="0.2">
      <c r="A2675">
        <v>2668</v>
      </c>
      <c r="B2675">
        <v>2456</v>
      </c>
      <c r="C2675">
        <v>11</v>
      </c>
      <c r="D2675">
        <v>17.100000000000001</v>
      </c>
      <c r="E2675">
        <v>1.4</v>
      </c>
    </row>
    <row r="2676" spans="1:5" x14ac:dyDescent="0.2">
      <c r="A2676">
        <v>2669</v>
      </c>
      <c r="B2676">
        <v>2458</v>
      </c>
      <c r="C2676">
        <v>11</v>
      </c>
      <c r="D2676">
        <v>17</v>
      </c>
      <c r="E2676">
        <v>1.4</v>
      </c>
    </row>
    <row r="2677" spans="1:5" x14ac:dyDescent="0.2">
      <c r="A2677">
        <v>2670</v>
      </c>
      <c r="B2677">
        <v>2459</v>
      </c>
      <c r="C2677">
        <v>11</v>
      </c>
      <c r="D2677">
        <v>16.899999999999999</v>
      </c>
      <c r="E2677">
        <v>1.4</v>
      </c>
    </row>
    <row r="2678" spans="1:5" x14ac:dyDescent="0.2">
      <c r="A2678">
        <v>2671</v>
      </c>
      <c r="B2678">
        <v>2460</v>
      </c>
      <c r="C2678">
        <v>11</v>
      </c>
      <c r="D2678">
        <v>17</v>
      </c>
      <c r="E2678">
        <v>1.4</v>
      </c>
    </row>
    <row r="2679" spans="1:5" x14ac:dyDescent="0.2">
      <c r="A2679">
        <v>2672</v>
      </c>
      <c r="B2679">
        <v>2461</v>
      </c>
      <c r="C2679">
        <v>11</v>
      </c>
      <c r="D2679">
        <v>17</v>
      </c>
      <c r="E2679">
        <v>1.4</v>
      </c>
    </row>
    <row r="2680" spans="1:5" x14ac:dyDescent="0.2">
      <c r="A2680">
        <v>2673</v>
      </c>
      <c r="B2680">
        <v>2462</v>
      </c>
      <c r="C2680">
        <v>11</v>
      </c>
      <c r="D2680">
        <v>17</v>
      </c>
      <c r="E2680">
        <v>1.4</v>
      </c>
    </row>
    <row r="2681" spans="1:5" x14ac:dyDescent="0.2">
      <c r="A2681">
        <v>2674</v>
      </c>
      <c r="B2681">
        <v>2462</v>
      </c>
      <c r="C2681">
        <v>11</v>
      </c>
      <c r="D2681">
        <v>17.100000000000001</v>
      </c>
      <c r="E2681">
        <v>1.4</v>
      </c>
    </row>
    <row r="2682" spans="1:5" x14ac:dyDescent="0.2">
      <c r="A2682">
        <v>2675</v>
      </c>
      <c r="B2682">
        <v>2463</v>
      </c>
      <c r="C2682">
        <v>11</v>
      </c>
      <c r="D2682">
        <v>17.2</v>
      </c>
      <c r="E2682">
        <v>1.4</v>
      </c>
    </row>
    <row r="2683" spans="1:5" x14ac:dyDescent="0.2">
      <c r="A2683">
        <v>2676</v>
      </c>
      <c r="B2683">
        <v>2462</v>
      </c>
      <c r="C2683">
        <v>11</v>
      </c>
      <c r="D2683">
        <v>17.3</v>
      </c>
      <c r="E2683">
        <v>1.4</v>
      </c>
    </row>
    <row r="2684" spans="1:5" x14ac:dyDescent="0.2">
      <c r="A2684">
        <v>2677</v>
      </c>
      <c r="B2684">
        <v>2462</v>
      </c>
      <c r="C2684">
        <v>11</v>
      </c>
      <c r="D2684">
        <v>17.5</v>
      </c>
      <c r="E2684">
        <v>1.4</v>
      </c>
    </row>
    <row r="2685" spans="1:5" x14ac:dyDescent="0.2">
      <c r="A2685">
        <v>2678</v>
      </c>
      <c r="B2685">
        <v>2462</v>
      </c>
      <c r="C2685">
        <v>11</v>
      </c>
      <c r="D2685">
        <v>17.600000000000001</v>
      </c>
      <c r="E2685">
        <v>1.4</v>
      </c>
    </row>
    <row r="2686" spans="1:5" x14ac:dyDescent="0.2">
      <c r="A2686">
        <v>2679</v>
      </c>
      <c r="B2686">
        <v>2462</v>
      </c>
      <c r="C2686">
        <v>11</v>
      </c>
      <c r="D2686">
        <v>17.7</v>
      </c>
      <c r="E2686">
        <v>1.4</v>
      </c>
    </row>
    <row r="2687" spans="1:5" x14ac:dyDescent="0.2">
      <c r="A2687">
        <v>2680</v>
      </c>
      <c r="B2687">
        <v>2463</v>
      </c>
      <c r="C2687">
        <v>11</v>
      </c>
      <c r="D2687">
        <v>17.8</v>
      </c>
      <c r="E2687">
        <v>1.4</v>
      </c>
    </row>
    <row r="2688" spans="1:5" x14ac:dyDescent="0.2">
      <c r="A2688">
        <v>2681</v>
      </c>
      <c r="B2688">
        <v>2464</v>
      </c>
      <c r="C2688">
        <v>11</v>
      </c>
      <c r="D2688">
        <v>17.8</v>
      </c>
      <c r="E2688">
        <v>1.4</v>
      </c>
    </row>
    <row r="2689" spans="1:5" x14ac:dyDescent="0.2">
      <c r="A2689">
        <v>2682</v>
      </c>
      <c r="B2689">
        <v>2465</v>
      </c>
      <c r="C2689">
        <v>11</v>
      </c>
      <c r="D2689">
        <v>17.7</v>
      </c>
      <c r="E2689">
        <v>1.4</v>
      </c>
    </row>
    <row r="2690" spans="1:5" x14ac:dyDescent="0.2">
      <c r="A2690">
        <v>2683</v>
      </c>
      <c r="B2690">
        <v>2466</v>
      </c>
      <c r="C2690">
        <v>11</v>
      </c>
      <c r="D2690">
        <v>17.7</v>
      </c>
      <c r="E2690">
        <v>1.4</v>
      </c>
    </row>
    <row r="2691" spans="1:5" x14ac:dyDescent="0.2">
      <c r="A2691">
        <v>2684</v>
      </c>
      <c r="B2691">
        <v>2467</v>
      </c>
      <c r="C2691">
        <v>11</v>
      </c>
      <c r="D2691">
        <v>17.7</v>
      </c>
      <c r="E2691">
        <v>1.4</v>
      </c>
    </row>
    <row r="2692" spans="1:5" x14ac:dyDescent="0.2">
      <c r="A2692">
        <v>2685</v>
      </c>
      <c r="B2692">
        <v>2468</v>
      </c>
      <c r="C2692">
        <v>11</v>
      </c>
      <c r="D2692">
        <v>17.7</v>
      </c>
      <c r="E2692">
        <v>1.4</v>
      </c>
    </row>
    <row r="2693" spans="1:5" x14ac:dyDescent="0.2">
      <c r="A2693">
        <v>2686</v>
      </c>
      <c r="B2693">
        <v>2470</v>
      </c>
      <c r="C2693">
        <v>11</v>
      </c>
      <c r="D2693">
        <v>17.600000000000001</v>
      </c>
      <c r="E2693">
        <v>1.4</v>
      </c>
    </row>
    <row r="2694" spans="1:5" x14ac:dyDescent="0.2">
      <c r="A2694">
        <v>2687</v>
      </c>
      <c r="B2694">
        <v>2471</v>
      </c>
      <c r="C2694">
        <v>11</v>
      </c>
      <c r="D2694">
        <v>17.600000000000001</v>
      </c>
      <c r="E2694">
        <v>1.4</v>
      </c>
    </row>
    <row r="2695" spans="1:5" x14ac:dyDescent="0.2">
      <c r="A2695">
        <v>2688</v>
      </c>
      <c r="B2695">
        <v>2472</v>
      </c>
      <c r="C2695">
        <v>11</v>
      </c>
      <c r="D2695">
        <v>17.600000000000001</v>
      </c>
      <c r="E2695">
        <v>1.4</v>
      </c>
    </row>
    <row r="2696" spans="1:5" x14ac:dyDescent="0.2">
      <c r="A2696">
        <v>2689</v>
      </c>
      <c r="B2696">
        <v>2473</v>
      </c>
      <c r="C2696">
        <v>11</v>
      </c>
      <c r="D2696">
        <v>17.600000000000001</v>
      </c>
      <c r="E2696">
        <v>1.4</v>
      </c>
    </row>
    <row r="2697" spans="1:5" x14ac:dyDescent="0.2">
      <c r="A2697">
        <v>2690</v>
      </c>
      <c r="B2697">
        <v>2474</v>
      </c>
      <c r="C2697">
        <v>11</v>
      </c>
      <c r="D2697">
        <v>17.600000000000001</v>
      </c>
      <c r="E2697">
        <v>1.4</v>
      </c>
    </row>
    <row r="2698" spans="1:5" x14ac:dyDescent="0.2">
      <c r="A2698">
        <v>2691</v>
      </c>
      <c r="B2698">
        <v>2475</v>
      </c>
      <c r="C2698">
        <v>11</v>
      </c>
      <c r="D2698">
        <v>17.600000000000001</v>
      </c>
      <c r="E2698">
        <v>1.4</v>
      </c>
    </row>
    <row r="2699" spans="1:5" x14ac:dyDescent="0.2">
      <c r="A2699">
        <v>2692</v>
      </c>
      <c r="B2699">
        <v>2476</v>
      </c>
      <c r="C2699">
        <v>11</v>
      </c>
      <c r="D2699">
        <v>17.600000000000001</v>
      </c>
      <c r="E2699">
        <v>1.4</v>
      </c>
    </row>
    <row r="2700" spans="1:5" x14ac:dyDescent="0.2">
      <c r="A2700">
        <v>2693</v>
      </c>
      <c r="B2700">
        <v>2477</v>
      </c>
      <c r="C2700">
        <v>11</v>
      </c>
      <c r="D2700">
        <v>17.600000000000001</v>
      </c>
      <c r="E2700">
        <v>1.4</v>
      </c>
    </row>
    <row r="2701" spans="1:5" x14ac:dyDescent="0.2">
      <c r="A2701">
        <v>2694</v>
      </c>
      <c r="B2701">
        <v>2478</v>
      </c>
      <c r="C2701">
        <v>11</v>
      </c>
      <c r="D2701">
        <v>17.5</v>
      </c>
      <c r="E2701">
        <v>1.4</v>
      </c>
    </row>
    <row r="2702" spans="1:5" x14ac:dyDescent="0.2">
      <c r="A2702">
        <v>2695</v>
      </c>
      <c r="B2702">
        <v>2480</v>
      </c>
      <c r="C2702">
        <v>11</v>
      </c>
      <c r="D2702">
        <v>17.399999999999999</v>
      </c>
      <c r="E2702">
        <v>1.4</v>
      </c>
    </row>
    <row r="2703" spans="1:5" x14ac:dyDescent="0.2">
      <c r="A2703">
        <v>2696</v>
      </c>
      <c r="B2703">
        <v>2483</v>
      </c>
      <c r="C2703">
        <v>11</v>
      </c>
      <c r="D2703">
        <v>17.2</v>
      </c>
      <c r="E2703">
        <v>1.4</v>
      </c>
    </row>
    <row r="2704" spans="1:5" x14ac:dyDescent="0.2">
      <c r="A2704">
        <v>2697</v>
      </c>
      <c r="B2704">
        <v>2486</v>
      </c>
      <c r="C2704">
        <v>11</v>
      </c>
      <c r="D2704">
        <v>16.899999999999999</v>
      </c>
      <c r="E2704">
        <v>1.4</v>
      </c>
    </row>
    <row r="2705" spans="1:5" x14ac:dyDescent="0.2">
      <c r="A2705">
        <v>2698</v>
      </c>
      <c r="B2705">
        <v>2489</v>
      </c>
      <c r="C2705">
        <v>11</v>
      </c>
      <c r="D2705">
        <v>16.600000000000001</v>
      </c>
      <c r="E2705">
        <v>1.4</v>
      </c>
    </row>
    <row r="2706" spans="1:5" x14ac:dyDescent="0.2">
      <c r="A2706">
        <v>2699</v>
      </c>
      <c r="B2706">
        <v>2493</v>
      </c>
      <c r="C2706">
        <v>11</v>
      </c>
      <c r="D2706">
        <v>16.3</v>
      </c>
      <c r="E2706">
        <v>1.4</v>
      </c>
    </row>
    <row r="2707" spans="1:5" x14ac:dyDescent="0.2">
      <c r="A2707">
        <v>2700</v>
      </c>
      <c r="B2707">
        <v>2496</v>
      </c>
      <c r="C2707">
        <v>11</v>
      </c>
      <c r="D2707">
        <v>16.100000000000001</v>
      </c>
      <c r="E2707">
        <v>1.4</v>
      </c>
    </row>
    <row r="2708" spans="1:5" x14ac:dyDescent="0.2">
      <c r="A2708">
        <v>2701</v>
      </c>
      <c r="B2708">
        <v>2498</v>
      </c>
      <c r="C2708">
        <v>11</v>
      </c>
      <c r="D2708">
        <v>15.8</v>
      </c>
      <c r="E2708">
        <v>1.4</v>
      </c>
    </row>
    <row r="2709" spans="1:5" x14ac:dyDescent="0.2">
      <c r="A2709">
        <v>2702</v>
      </c>
      <c r="B2709">
        <v>2501</v>
      </c>
      <c r="C2709">
        <v>11</v>
      </c>
      <c r="D2709">
        <v>15.6</v>
      </c>
      <c r="E2709">
        <v>1.4</v>
      </c>
    </row>
    <row r="2710" spans="1:5" x14ac:dyDescent="0.2">
      <c r="A2710">
        <v>2703</v>
      </c>
      <c r="B2710">
        <v>2503</v>
      </c>
      <c r="C2710">
        <v>11</v>
      </c>
      <c r="D2710">
        <v>15.5</v>
      </c>
      <c r="E2710">
        <v>1.4</v>
      </c>
    </row>
    <row r="2711" spans="1:5" x14ac:dyDescent="0.2">
      <c r="A2711">
        <v>2704</v>
      </c>
      <c r="B2711">
        <v>2505</v>
      </c>
      <c r="C2711">
        <v>11</v>
      </c>
      <c r="D2711">
        <v>15.3</v>
      </c>
      <c r="E2711">
        <v>1.4</v>
      </c>
    </row>
    <row r="2712" spans="1:5" x14ac:dyDescent="0.2">
      <c r="A2712">
        <v>2705</v>
      </c>
      <c r="B2712">
        <v>2508</v>
      </c>
      <c r="C2712">
        <v>11</v>
      </c>
      <c r="D2712">
        <v>15.2</v>
      </c>
      <c r="E2712">
        <v>1.4</v>
      </c>
    </row>
    <row r="2713" spans="1:5" x14ac:dyDescent="0.2">
      <c r="A2713">
        <v>2706</v>
      </c>
      <c r="B2713">
        <v>2510</v>
      </c>
      <c r="C2713">
        <v>11</v>
      </c>
      <c r="D2713">
        <v>15</v>
      </c>
      <c r="E2713">
        <v>1.4</v>
      </c>
    </row>
    <row r="2714" spans="1:5" x14ac:dyDescent="0.2">
      <c r="A2714">
        <v>2707</v>
      </c>
      <c r="B2714">
        <v>2512</v>
      </c>
      <c r="C2714">
        <v>11</v>
      </c>
      <c r="D2714">
        <v>14.8</v>
      </c>
      <c r="E2714">
        <v>1.4</v>
      </c>
    </row>
    <row r="2715" spans="1:5" x14ac:dyDescent="0.2">
      <c r="A2715">
        <v>2708</v>
      </c>
      <c r="B2715">
        <v>2514</v>
      </c>
      <c r="C2715">
        <v>12</v>
      </c>
      <c r="D2715">
        <v>14.7</v>
      </c>
      <c r="E2715">
        <v>1.5</v>
      </c>
    </row>
    <row r="2716" spans="1:5" x14ac:dyDescent="0.2">
      <c r="A2716">
        <v>2709</v>
      </c>
      <c r="B2716">
        <v>2516</v>
      </c>
      <c r="C2716">
        <v>12</v>
      </c>
      <c r="D2716">
        <v>14.6</v>
      </c>
      <c r="E2716">
        <v>1.5</v>
      </c>
    </row>
    <row r="2717" spans="1:5" x14ac:dyDescent="0.2">
      <c r="A2717">
        <v>2710</v>
      </c>
      <c r="B2717">
        <v>2517</v>
      </c>
      <c r="C2717">
        <v>12</v>
      </c>
      <c r="D2717">
        <v>14.6</v>
      </c>
      <c r="E2717">
        <v>1.5</v>
      </c>
    </row>
    <row r="2718" spans="1:5" x14ac:dyDescent="0.2">
      <c r="A2718">
        <v>2711</v>
      </c>
      <c r="B2718">
        <v>2518</v>
      </c>
      <c r="C2718">
        <v>12</v>
      </c>
      <c r="D2718">
        <v>14.6</v>
      </c>
      <c r="E2718">
        <v>1.5</v>
      </c>
    </row>
    <row r="2719" spans="1:5" x14ac:dyDescent="0.2">
      <c r="A2719">
        <v>2712</v>
      </c>
      <c r="B2719">
        <v>2518</v>
      </c>
      <c r="C2719">
        <v>12</v>
      </c>
      <c r="D2719">
        <v>14.7</v>
      </c>
      <c r="E2719">
        <v>1.5</v>
      </c>
    </row>
    <row r="2720" spans="1:5" x14ac:dyDescent="0.2">
      <c r="A2720">
        <v>2713</v>
      </c>
      <c r="B2720">
        <v>2518</v>
      </c>
      <c r="C2720">
        <v>12</v>
      </c>
      <c r="D2720">
        <v>14.8</v>
      </c>
      <c r="E2720">
        <v>1.5</v>
      </c>
    </row>
    <row r="2721" spans="1:5" x14ac:dyDescent="0.2">
      <c r="A2721">
        <v>2714</v>
      </c>
      <c r="B2721">
        <v>2519</v>
      </c>
      <c r="C2721">
        <v>12</v>
      </c>
      <c r="D2721">
        <v>14.8</v>
      </c>
      <c r="E2721">
        <v>1.5</v>
      </c>
    </row>
    <row r="2722" spans="1:5" x14ac:dyDescent="0.2">
      <c r="A2722">
        <v>2715</v>
      </c>
      <c r="B2722">
        <v>2520</v>
      </c>
      <c r="C2722">
        <v>12</v>
      </c>
      <c r="D2722">
        <v>14.8</v>
      </c>
      <c r="E2722">
        <v>1.5</v>
      </c>
    </row>
    <row r="2723" spans="1:5" x14ac:dyDescent="0.2">
      <c r="A2723">
        <v>2716</v>
      </c>
      <c r="B2723">
        <v>2522</v>
      </c>
      <c r="C2723">
        <v>12</v>
      </c>
      <c r="D2723">
        <v>14.7</v>
      </c>
      <c r="E2723">
        <v>1.5</v>
      </c>
    </row>
    <row r="2724" spans="1:5" x14ac:dyDescent="0.2">
      <c r="A2724">
        <v>2717</v>
      </c>
      <c r="B2724">
        <v>2524</v>
      </c>
      <c r="C2724">
        <v>12</v>
      </c>
      <c r="D2724">
        <v>14.6</v>
      </c>
      <c r="E2724">
        <v>1.5</v>
      </c>
    </row>
    <row r="2725" spans="1:5" x14ac:dyDescent="0.2">
      <c r="A2725">
        <v>2718</v>
      </c>
      <c r="B2725">
        <v>2526</v>
      </c>
      <c r="C2725">
        <v>12</v>
      </c>
      <c r="D2725">
        <v>14.4</v>
      </c>
      <c r="E2725">
        <v>1.5</v>
      </c>
    </row>
    <row r="2726" spans="1:5" x14ac:dyDescent="0.2">
      <c r="A2726">
        <v>2719</v>
      </c>
      <c r="B2726">
        <v>2530</v>
      </c>
      <c r="C2726">
        <v>12</v>
      </c>
      <c r="D2726">
        <v>14.1</v>
      </c>
      <c r="E2726">
        <v>1.5</v>
      </c>
    </row>
    <row r="2727" spans="1:5" x14ac:dyDescent="0.2">
      <c r="A2727">
        <v>2720</v>
      </c>
      <c r="B2727">
        <v>2534</v>
      </c>
      <c r="C2727">
        <v>12</v>
      </c>
      <c r="D2727">
        <v>13.7</v>
      </c>
      <c r="E2727">
        <v>1.5</v>
      </c>
    </row>
    <row r="2728" spans="1:5" x14ac:dyDescent="0.2">
      <c r="A2728">
        <v>2721</v>
      </c>
      <c r="B2728">
        <v>2538</v>
      </c>
      <c r="C2728">
        <v>12</v>
      </c>
      <c r="D2728">
        <v>13.3</v>
      </c>
      <c r="E2728">
        <v>1.5</v>
      </c>
    </row>
    <row r="2729" spans="1:5" x14ac:dyDescent="0.2">
      <c r="A2729">
        <v>2722</v>
      </c>
      <c r="B2729">
        <v>2542</v>
      </c>
      <c r="C2729">
        <v>12</v>
      </c>
      <c r="D2729">
        <v>12.9</v>
      </c>
      <c r="E2729">
        <v>1.5</v>
      </c>
    </row>
    <row r="2730" spans="1:5" x14ac:dyDescent="0.2">
      <c r="A2730">
        <v>2723</v>
      </c>
      <c r="B2730">
        <v>2547</v>
      </c>
      <c r="C2730">
        <v>12</v>
      </c>
      <c r="D2730">
        <v>12.4</v>
      </c>
      <c r="E2730">
        <v>1.5</v>
      </c>
    </row>
    <row r="2731" spans="1:5" x14ac:dyDescent="0.2">
      <c r="A2731">
        <v>2724</v>
      </c>
      <c r="B2731">
        <v>2552</v>
      </c>
      <c r="C2731">
        <v>12</v>
      </c>
      <c r="D2731">
        <v>11.9</v>
      </c>
      <c r="E2731">
        <v>1.5</v>
      </c>
    </row>
    <row r="2732" spans="1:5" x14ac:dyDescent="0.2">
      <c r="A2732">
        <v>2725</v>
      </c>
      <c r="B2732">
        <v>2557</v>
      </c>
      <c r="C2732">
        <v>11</v>
      </c>
      <c r="D2732">
        <v>11.4</v>
      </c>
      <c r="E2732">
        <v>1.4</v>
      </c>
    </row>
    <row r="2733" spans="1:5" x14ac:dyDescent="0.2">
      <c r="A2733">
        <v>2726</v>
      </c>
      <c r="B2733">
        <v>2561</v>
      </c>
      <c r="C2733">
        <v>11</v>
      </c>
      <c r="D2733">
        <v>11</v>
      </c>
      <c r="E2733">
        <v>1.4</v>
      </c>
    </row>
    <row r="2734" spans="1:5" x14ac:dyDescent="0.2">
      <c r="A2734">
        <v>2727</v>
      </c>
      <c r="B2734">
        <v>2565</v>
      </c>
      <c r="C2734">
        <v>11</v>
      </c>
      <c r="D2734">
        <v>10.6</v>
      </c>
      <c r="E2734">
        <v>1.4</v>
      </c>
    </row>
    <row r="2735" spans="1:5" x14ac:dyDescent="0.2">
      <c r="A2735">
        <v>2728</v>
      </c>
      <c r="B2735">
        <v>2569</v>
      </c>
      <c r="C2735">
        <v>11</v>
      </c>
      <c r="D2735">
        <v>10.199999999999999</v>
      </c>
      <c r="E2735">
        <v>1.4</v>
      </c>
    </row>
    <row r="2736" spans="1:5" x14ac:dyDescent="0.2">
      <c r="A2736">
        <v>2729</v>
      </c>
      <c r="B2736">
        <v>2572</v>
      </c>
      <c r="C2736">
        <v>11</v>
      </c>
      <c r="D2736">
        <v>10</v>
      </c>
      <c r="E2736">
        <v>1.4</v>
      </c>
    </row>
    <row r="2737" spans="1:5" x14ac:dyDescent="0.2">
      <c r="A2737">
        <v>2730</v>
      </c>
      <c r="B2737">
        <v>2573</v>
      </c>
      <c r="C2737">
        <v>11</v>
      </c>
      <c r="D2737">
        <v>10</v>
      </c>
      <c r="E2737">
        <v>1.4</v>
      </c>
    </row>
    <row r="2738" spans="1:5" x14ac:dyDescent="0.2">
      <c r="A2738">
        <v>2731</v>
      </c>
      <c r="B2738">
        <v>2573</v>
      </c>
      <c r="C2738">
        <v>11</v>
      </c>
      <c r="D2738">
        <v>10.1</v>
      </c>
      <c r="E2738">
        <v>1.4</v>
      </c>
    </row>
    <row r="2739" spans="1:5" x14ac:dyDescent="0.2">
      <c r="A2739">
        <v>2732</v>
      </c>
      <c r="B2739">
        <v>2572</v>
      </c>
      <c r="C2739">
        <v>11</v>
      </c>
      <c r="D2739">
        <v>10.3</v>
      </c>
      <c r="E2739">
        <v>1.4</v>
      </c>
    </row>
    <row r="2740" spans="1:5" x14ac:dyDescent="0.2">
      <c r="A2740">
        <v>2733</v>
      </c>
      <c r="B2740">
        <v>2572</v>
      </c>
      <c r="C2740">
        <v>11</v>
      </c>
      <c r="D2740">
        <v>10.5</v>
      </c>
      <c r="E2740">
        <v>1.4</v>
      </c>
    </row>
    <row r="2741" spans="1:5" x14ac:dyDescent="0.2">
      <c r="A2741">
        <v>2734</v>
      </c>
      <c r="B2741">
        <v>2571</v>
      </c>
      <c r="C2741">
        <v>11</v>
      </c>
      <c r="D2741">
        <v>10.7</v>
      </c>
      <c r="E2741">
        <v>1.4</v>
      </c>
    </row>
    <row r="2742" spans="1:5" x14ac:dyDescent="0.2">
      <c r="A2742">
        <v>2735</v>
      </c>
      <c r="B2742">
        <v>2572</v>
      </c>
      <c r="C2742">
        <v>11</v>
      </c>
      <c r="D2742">
        <v>10.7</v>
      </c>
      <c r="E2742">
        <v>1.4</v>
      </c>
    </row>
    <row r="2743" spans="1:5" x14ac:dyDescent="0.2">
      <c r="A2743">
        <v>2736</v>
      </c>
      <c r="B2743">
        <v>2574</v>
      </c>
      <c r="C2743">
        <v>11</v>
      </c>
      <c r="D2743">
        <v>10.6</v>
      </c>
      <c r="E2743">
        <v>1.4</v>
      </c>
    </row>
    <row r="2744" spans="1:5" x14ac:dyDescent="0.2">
      <c r="A2744">
        <v>2737</v>
      </c>
      <c r="B2744">
        <v>2577</v>
      </c>
      <c r="C2744">
        <v>11</v>
      </c>
      <c r="D2744">
        <v>10.3</v>
      </c>
      <c r="E2744">
        <v>1.4</v>
      </c>
    </row>
    <row r="2745" spans="1:5" x14ac:dyDescent="0.2">
      <c r="A2745">
        <v>2738</v>
      </c>
      <c r="B2745">
        <v>2580</v>
      </c>
      <c r="C2745">
        <v>11</v>
      </c>
      <c r="D2745">
        <v>10</v>
      </c>
      <c r="E2745">
        <v>1.4</v>
      </c>
    </row>
    <row r="2746" spans="1:5" x14ac:dyDescent="0.2">
      <c r="A2746">
        <v>2739</v>
      </c>
      <c r="B2746">
        <v>2584</v>
      </c>
      <c r="C2746">
        <v>11</v>
      </c>
      <c r="D2746">
        <v>9.6999999999999993</v>
      </c>
      <c r="E2746">
        <v>1.4</v>
      </c>
    </row>
    <row r="2747" spans="1:5" x14ac:dyDescent="0.2">
      <c r="A2747">
        <v>2740</v>
      </c>
      <c r="B2747">
        <v>2588</v>
      </c>
      <c r="C2747">
        <v>11</v>
      </c>
      <c r="D2747">
        <v>9.3000000000000007</v>
      </c>
      <c r="E2747">
        <v>1.4</v>
      </c>
    </row>
    <row r="2748" spans="1:5" x14ac:dyDescent="0.2">
      <c r="A2748">
        <v>2741</v>
      </c>
      <c r="B2748">
        <v>2592</v>
      </c>
      <c r="C2748">
        <v>11</v>
      </c>
      <c r="D2748">
        <v>8.9</v>
      </c>
      <c r="E2748">
        <v>1.4</v>
      </c>
    </row>
    <row r="2749" spans="1:5" x14ac:dyDescent="0.2">
      <c r="A2749">
        <v>2742</v>
      </c>
      <c r="B2749">
        <v>2597</v>
      </c>
      <c r="C2749">
        <v>11</v>
      </c>
      <c r="D2749">
        <v>8.5</v>
      </c>
      <c r="E2749">
        <v>1.4</v>
      </c>
    </row>
    <row r="2750" spans="1:5" x14ac:dyDescent="0.2">
      <c r="A2750">
        <v>2743</v>
      </c>
      <c r="B2750">
        <v>2601</v>
      </c>
      <c r="C2750">
        <v>11</v>
      </c>
      <c r="D2750">
        <v>8.1</v>
      </c>
      <c r="E2750">
        <v>1.4</v>
      </c>
    </row>
    <row r="2751" spans="1:5" x14ac:dyDescent="0.2">
      <c r="A2751">
        <v>2744</v>
      </c>
      <c r="B2751">
        <v>2605</v>
      </c>
      <c r="C2751">
        <v>11</v>
      </c>
      <c r="D2751">
        <v>7.7</v>
      </c>
      <c r="E2751">
        <v>1.4</v>
      </c>
    </row>
    <row r="2752" spans="1:5" x14ac:dyDescent="0.2">
      <c r="A2752">
        <v>2745</v>
      </c>
      <c r="B2752">
        <v>2608</v>
      </c>
      <c r="C2752">
        <v>11</v>
      </c>
      <c r="D2752">
        <v>7.4</v>
      </c>
      <c r="E2752">
        <v>1.4</v>
      </c>
    </row>
    <row r="2753" spans="1:5" x14ac:dyDescent="0.2">
      <c r="A2753">
        <v>2746</v>
      </c>
      <c r="B2753">
        <v>2611</v>
      </c>
      <c r="C2753">
        <v>11</v>
      </c>
      <c r="D2753">
        <v>7.2</v>
      </c>
      <c r="E2753">
        <v>1.4</v>
      </c>
    </row>
    <row r="2754" spans="1:5" x14ac:dyDescent="0.2">
      <c r="A2754">
        <v>2747</v>
      </c>
      <c r="B2754">
        <v>2614</v>
      </c>
      <c r="C2754">
        <v>11</v>
      </c>
      <c r="D2754">
        <v>7</v>
      </c>
      <c r="E2754">
        <v>1.4</v>
      </c>
    </row>
    <row r="2755" spans="1:5" x14ac:dyDescent="0.2">
      <c r="A2755">
        <v>2748</v>
      </c>
      <c r="B2755">
        <v>2616</v>
      </c>
      <c r="C2755">
        <v>11</v>
      </c>
      <c r="D2755">
        <v>6.8</v>
      </c>
      <c r="E2755">
        <v>1.4</v>
      </c>
    </row>
    <row r="2756" spans="1:5" x14ac:dyDescent="0.2">
      <c r="A2756">
        <v>2749</v>
      </c>
      <c r="B2756">
        <v>2618</v>
      </c>
      <c r="C2756">
        <v>11</v>
      </c>
      <c r="D2756">
        <v>6.6</v>
      </c>
      <c r="E2756">
        <v>1.4</v>
      </c>
    </row>
    <row r="2757" spans="1:5" x14ac:dyDescent="0.2">
      <c r="A2757">
        <v>2750</v>
      </c>
      <c r="B2757">
        <v>2621</v>
      </c>
      <c r="C2757">
        <v>11</v>
      </c>
      <c r="D2757">
        <v>6.4</v>
      </c>
      <c r="E2757">
        <v>1.4</v>
      </c>
    </row>
    <row r="2758" spans="1:5" x14ac:dyDescent="0.2">
      <c r="A2758">
        <v>2751</v>
      </c>
      <c r="B2758">
        <v>2624</v>
      </c>
      <c r="C2758">
        <v>12</v>
      </c>
      <c r="D2758">
        <v>6.1</v>
      </c>
      <c r="E2758">
        <v>1.4</v>
      </c>
    </row>
    <row r="2759" spans="1:5" x14ac:dyDescent="0.2">
      <c r="A2759">
        <v>2752</v>
      </c>
      <c r="B2759">
        <v>2629</v>
      </c>
      <c r="C2759">
        <v>11</v>
      </c>
      <c r="D2759">
        <v>5.7</v>
      </c>
      <c r="E2759">
        <v>1.4</v>
      </c>
    </row>
    <row r="2760" spans="1:5" x14ac:dyDescent="0.2">
      <c r="A2760">
        <v>2753</v>
      </c>
      <c r="B2760">
        <v>2633</v>
      </c>
      <c r="C2760">
        <v>11</v>
      </c>
      <c r="D2760">
        <v>5.2</v>
      </c>
      <c r="E2760">
        <v>1.4</v>
      </c>
    </row>
    <row r="2761" spans="1:5" x14ac:dyDescent="0.2">
      <c r="A2761">
        <v>2754</v>
      </c>
      <c r="B2761">
        <v>2639</v>
      </c>
      <c r="C2761">
        <v>11</v>
      </c>
      <c r="D2761">
        <v>4.5999999999999996</v>
      </c>
      <c r="E2761">
        <v>1.4</v>
      </c>
    </row>
    <row r="2762" spans="1:5" x14ac:dyDescent="0.2">
      <c r="A2762">
        <v>2755</v>
      </c>
      <c r="B2762">
        <v>2645</v>
      </c>
      <c r="C2762">
        <v>11</v>
      </c>
      <c r="D2762">
        <v>4</v>
      </c>
      <c r="E2762">
        <v>1.4</v>
      </c>
    </row>
    <row r="2763" spans="1:5" x14ac:dyDescent="0.2">
      <c r="A2763">
        <v>2756</v>
      </c>
      <c r="B2763">
        <v>2651</v>
      </c>
      <c r="C2763">
        <v>11</v>
      </c>
      <c r="D2763">
        <v>3.4</v>
      </c>
      <c r="E2763">
        <v>1.4</v>
      </c>
    </row>
    <row r="2764" spans="1:5" x14ac:dyDescent="0.2">
      <c r="A2764">
        <v>2757</v>
      </c>
      <c r="B2764">
        <v>2657</v>
      </c>
      <c r="C2764">
        <v>11</v>
      </c>
      <c r="D2764">
        <v>2.7</v>
      </c>
      <c r="E2764">
        <v>1.4</v>
      </c>
    </row>
    <row r="2765" spans="1:5" x14ac:dyDescent="0.2">
      <c r="A2765">
        <v>2758</v>
      </c>
      <c r="B2765">
        <v>2663</v>
      </c>
      <c r="C2765">
        <v>11</v>
      </c>
      <c r="D2765">
        <v>2.2000000000000002</v>
      </c>
      <c r="E2765">
        <v>1.4</v>
      </c>
    </row>
    <row r="2766" spans="1:5" x14ac:dyDescent="0.2">
      <c r="A2766">
        <v>2759</v>
      </c>
      <c r="B2766">
        <v>2668</v>
      </c>
      <c r="C2766">
        <v>11</v>
      </c>
      <c r="D2766">
        <v>1.7</v>
      </c>
      <c r="E2766">
        <v>1.4</v>
      </c>
    </row>
    <row r="2767" spans="1:5" x14ac:dyDescent="0.2">
      <c r="A2767">
        <v>2760</v>
      </c>
      <c r="B2767">
        <v>2672</v>
      </c>
      <c r="C2767">
        <v>11</v>
      </c>
      <c r="D2767">
        <v>1.3</v>
      </c>
      <c r="E2767">
        <v>1.4</v>
      </c>
    </row>
    <row r="2768" spans="1:5" x14ac:dyDescent="0.2">
      <c r="A2768">
        <v>2761</v>
      </c>
      <c r="B2768">
        <v>2675</v>
      </c>
      <c r="C2768">
        <v>11</v>
      </c>
      <c r="D2768">
        <v>1</v>
      </c>
      <c r="E2768">
        <v>1.4</v>
      </c>
    </row>
    <row r="2769" spans="1:5" x14ac:dyDescent="0.2">
      <c r="A2769">
        <v>2762</v>
      </c>
      <c r="B2769">
        <v>2678</v>
      </c>
      <c r="C2769">
        <v>11</v>
      </c>
      <c r="D2769">
        <v>0.8</v>
      </c>
      <c r="E2769">
        <v>1.4</v>
      </c>
    </row>
    <row r="2770" spans="1:5" x14ac:dyDescent="0.2">
      <c r="A2770">
        <v>2763</v>
      </c>
      <c r="B2770">
        <v>2679</v>
      </c>
      <c r="C2770">
        <v>11</v>
      </c>
      <c r="D2770">
        <v>0.7</v>
      </c>
      <c r="E2770">
        <v>1.4</v>
      </c>
    </row>
    <row r="2771" spans="1:5" x14ac:dyDescent="0.2">
      <c r="A2771">
        <v>2764</v>
      </c>
      <c r="B2771">
        <v>2681</v>
      </c>
      <c r="C2771">
        <v>11</v>
      </c>
      <c r="D2771">
        <v>0.6</v>
      </c>
      <c r="E2771">
        <v>1.4</v>
      </c>
    </row>
    <row r="2772" spans="1:5" x14ac:dyDescent="0.2">
      <c r="A2772">
        <v>2765</v>
      </c>
      <c r="B2772">
        <v>2683</v>
      </c>
      <c r="C2772">
        <v>11</v>
      </c>
      <c r="D2772">
        <v>0.5</v>
      </c>
      <c r="E2772">
        <v>1.4</v>
      </c>
    </row>
    <row r="2773" spans="1:5" x14ac:dyDescent="0.2">
      <c r="A2773">
        <v>2766</v>
      </c>
      <c r="B2773">
        <v>2684</v>
      </c>
      <c r="C2773">
        <v>11</v>
      </c>
      <c r="D2773">
        <v>0.4</v>
      </c>
      <c r="E2773">
        <v>1.4</v>
      </c>
    </row>
    <row r="2774" spans="1:5" x14ac:dyDescent="0.2">
      <c r="A2774">
        <v>2767</v>
      </c>
      <c r="B2774">
        <v>2686</v>
      </c>
      <c r="C2774">
        <v>11</v>
      </c>
      <c r="D2774">
        <v>0.3</v>
      </c>
      <c r="E2774">
        <v>1.4</v>
      </c>
    </row>
    <row r="2775" spans="1:5" x14ac:dyDescent="0.2">
      <c r="A2775">
        <v>2768</v>
      </c>
      <c r="B2775">
        <v>2688</v>
      </c>
      <c r="C2775">
        <v>11</v>
      </c>
      <c r="D2775">
        <v>0.2</v>
      </c>
      <c r="E2775">
        <v>1.4</v>
      </c>
    </row>
    <row r="2776" spans="1:5" x14ac:dyDescent="0.2">
      <c r="A2776">
        <v>2769</v>
      </c>
      <c r="B2776">
        <v>2690</v>
      </c>
      <c r="C2776">
        <v>11</v>
      </c>
      <c r="D2776">
        <v>0</v>
      </c>
      <c r="E2776">
        <v>1.4</v>
      </c>
    </row>
    <row r="2777" spans="1:5" x14ac:dyDescent="0.2">
      <c r="A2777">
        <v>2770</v>
      </c>
      <c r="B2777">
        <v>2692</v>
      </c>
      <c r="C2777">
        <v>11</v>
      </c>
      <c r="D2777">
        <v>-0.1</v>
      </c>
      <c r="E2777">
        <v>1.4</v>
      </c>
    </row>
    <row r="2778" spans="1:5" x14ac:dyDescent="0.2">
      <c r="A2778">
        <v>2771</v>
      </c>
      <c r="B2778">
        <v>2693</v>
      </c>
      <c r="C2778">
        <v>11</v>
      </c>
      <c r="D2778">
        <v>-0.1</v>
      </c>
      <c r="E2778">
        <v>1.4</v>
      </c>
    </row>
    <row r="2779" spans="1:5" x14ac:dyDescent="0.2">
      <c r="A2779">
        <v>2772</v>
      </c>
      <c r="B2779">
        <v>2694</v>
      </c>
      <c r="C2779">
        <v>11</v>
      </c>
      <c r="D2779">
        <v>-0.1</v>
      </c>
      <c r="E2779">
        <v>1.4</v>
      </c>
    </row>
    <row r="2780" spans="1:5" x14ac:dyDescent="0.2">
      <c r="A2780">
        <v>2773</v>
      </c>
      <c r="B2780">
        <v>2695</v>
      </c>
      <c r="C2780">
        <v>11</v>
      </c>
      <c r="D2780">
        <v>-0.1</v>
      </c>
      <c r="E2780">
        <v>1.4</v>
      </c>
    </row>
    <row r="2781" spans="1:5" x14ac:dyDescent="0.2">
      <c r="A2781">
        <v>2774</v>
      </c>
      <c r="B2781">
        <v>2696</v>
      </c>
      <c r="C2781">
        <v>11</v>
      </c>
      <c r="D2781">
        <v>0</v>
      </c>
      <c r="E2781">
        <v>1.4</v>
      </c>
    </row>
    <row r="2782" spans="1:5" x14ac:dyDescent="0.2">
      <c r="A2782">
        <v>2775</v>
      </c>
      <c r="B2782">
        <v>2697</v>
      </c>
      <c r="C2782">
        <v>11</v>
      </c>
      <c r="D2782">
        <v>0</v>
      </c>
      <c r="E2782">
        <v>1.4</v>
      </c>
    </row>
    <row r="2783" spans="1:5" x14ac:dyDescent="0.2">
      <c r="A2783">
        <v>2776</v>
      </c>
      <c r="B2783">
        <v>2698</v>
      </c>
      <c r="C2783">
        <v>11</v>
      </c>
      <c r="D2783">
        <v>0</v>
      </c>
      <c r="E2783">
        <v>1.4</v>
      </c>
    </row>
    <row r="2784" spans="1:5" x14ac:dyDescent="0.2">
      <c r="A2784">
        <v>2777</v>
      </c>
      <c r="B2784">
        <v>2699</v>
      </c>
      <c r="C2784">
        <v>11</v>
      </c>
      <c r="D2784">
        <v>-0.1</v>
      </c>
      <c r="E2784">
        <v>1.4</v>
      </c>
    </row>
    <row r="2785" spans="1:5" x14ac:dyDescent="0.2">
      <c r="A2785">
        <v>2778</v>
      </c>
      <c r="B2785">
        <v>2702</v>
      </c>
      <c r="C2785">
        <v>11</v>
      </c>
      <c r="D2785">
        <v>-0.3</v>
      </c>
      <c r="E2785">
        <v>1.4</v>
      </c>
    </row>
    <row r="2786" spans="1:5" x14ac:dyDescent="0.2">
      <c r="A2786">
        <v>2779</v>
      </c>
      <c r="B2786">
        <v>2706</v>
      </c>
      <c r="C2786">
        <v>11</v>
      </c>
      <c r="D2786">
        <v>-0.6</v>
      </c>
      <c r="E2786">
        <v>1.4</v>
      </c>
    </row>
    <row r="2787" spans="1:5" x14ac:dyDescent="0.2">
      <c r="A2787">
        <v>2780</v>
      </c>
      <c r="B2787">
        <v>2710</v>
      </c>
      <c r="C2787">
        <v>11</v>
      </c>
      <c r="D2787">
        <v>-1</v>
      </c>
      <c r="E2787">
        <v>1.4</v>
      </c>
    </row>
    <row r="2788" spans="1:5" x14ac:dyDescent="0.2">
      <c r="A2788">
        <v>2781</v>
      </c>
      <c r="B2788">
        <v>2714</v>
      </c>
      <c r="C2788">
        <v>11</v>
      </c>
      <c r="D2788">
        <v>-1.4</v>
      </c>
      <c r="E2788">
        <v>1.4</v>
      </c>
    </row>
    <row r="2789" spans="1:5" x14ac:dyDescent="0.2">
      <c r="A2789">
        <v>2782</v>
      </c>
      <c r="B2789">
        <v>2717</v>
      </c>
      <c r="C2789">
        <v>11</v>
      </c>
      <c r="D2789">
        <v>-1.8</v>
      </c>
      <c r="E2789">
        <v>1.4</v>
      </c>
    </row>
    <row r="2790" spans="1:5" x14ac:dyDescent="0.2">
      <c r="A2790">
        <v>2783</v>
      </c>
      <c r="B2790">
        <v>2721</v>
      </c>
      <c r="C2790">
        <v>11</v>
      </c>
      <c r="D2790">
        <v>-2</v>
      </c>
      <c r="E2790">
        <v>1.4</v>
      </c>
    </row>
    <row r="2791" spans="1:5" x14ac:dyDescent="0.2">
      <c r="A2791">
        <v>2784</v>
      </c>
      <c r="B2791">
        <v>2723</v>
      </c>
      <c r="C2791">
        <v>11</v>
      </c>
      <c r="D2791">
        <v>-2.2999999999999998</v>
      </c>
      <c r="E2791">
        <v>1.4</v>
      </c>
    </row>
    <row r="2792" spans="1:5" x14ac:dyDescent="0.2">
      <c r="A2792">
        <v>2785</v>
      </c>
      <c r="B2792">
        <v>2726</v>
      </c>
      <c r="C2792">
        <v>12</v>
      </c>
      <c r="D2792">
        <v>-2.4</v>
      </c>
      <c r="E2792">
        <v>1.4</v>
      </c>
    </row>
    <row r="2793" spans="1:5" x14ac:dyDescent="0.2">
      <c r="A2793">
        <v>2786</v>
      </c>
      <c r="B2793">
        <v>2728</v>
      </c>
      <c r="C2793">
        <v>12</v>
      </c>
      <c r="D2793">
        <v>-2.6</v>
      </c>
      <c r="E2793">
        <v>1.4</v>
      </c>
    </row>
    <row r="2794" spans="1:5" x14ac:dyDescent="0.2">
      <c r="A2794">
        <v>2787</v>
      </c>
      <c r="B2794">
        <v>2730</v>
      </c>
      <c r="C2794">
        <v>12</v>
      </c>
      <c r="D2794">
        <v>-2.7</v>
      </c>
      <c r="E2794">
        <v>1.5</v>
      </c>
    </row>
    <row r="2795" spans="1:5" x14ac:dyDescent="0.2">
      <c r="A2795">
        <v>2788</v>
      </c>
      <c r="B2795">
        <v>2731</v>
      </c>
      <c r="C2795">
        <v>12</v>
      </c>
      <c r="D2795">
        <v>-2.8</v>
      </c>
      <c r="E2795">
        <v>1.5</v>
      </c>
    </row>
    <row r="2796" spans="1:5" x14ac:dyDescent="0.2">
      <c r="A2796">
        <v>2789</v>
      </c>
      <c r="B2796">
        <v>2733</v>
      </c>
      <c r="C2796">
        <v>12</v>
      </c>
      <c r="D2796">
        <v>-2.8</v>
      </c>
      <c r="E2796">
        <v>1.5</v>
      </c>
    </row>
    <row r="2797" spans="1:5" x14ac:dyDescent="0.2">
      <c r="A2797">
        <v>2790</v>
      </c>
      <c r="B2797">
        <v>2734</v>
      </c>
      <c r="C2797">
        <v>12</v>
      </c>
      <c r="D2797">
        <v>-2.8</v>
      </c>
      <c r="E2797">
        <v>1.5</v>
      </c>
    </row>
    <row r="2798" spans="1:5" x14ac:dyDescent="0.2">
      <c r="A2798">
        <v>2791</v>
      </c>
      <c r="B2798">
        <v>2735</v>
      </c>
      <c r="C2798">
        <v>12</v>
      </c>
      <c r="D2798">
        <v>-2.8</v>
      </c>
      <c r="E2798">
        <v>1.5</v>
      </c>
    </row>
    <row r="2799" spans="1:5" x14ac:dyDescent="0.2">
      <c r="A2799">
        <v>2792</v>
      </c>
      <c r="B2799">
        <v>2735</v>
      </c>
      <c r="C2799">
        <v>12</v>
      </c>
      <c r="D2799">
        <v>-2.7</v>
      </c>
      <c r="E2799">
        <v>1.5</v>
      </c>
    </row>
    <row r="2800" spans="1:5" x14ac:dyDescent="0.2">
      <c r="A2800">
        <v>2793</v>
      </c>
      <c r="B2800">
        <v>2736</v>
      </c>
      <c r="C2800">
        <v>12</v>
      </c>
      <c r="D2800">
        <v>-2.7</v>
      </c>
      <c r="E2800">
        <v>1.5</v>
      </c>
    </row>
    <row r="2801" spans="1:5" x14ac:dyDescent="0.2">
      <c r="A2801">
        <v>2794</v>
      </c>
      <c r="B2801">
        <v>2736</v>
      </c>
      <c r="C2801">
        <v>12</v>
      </c>
      <c r="D2801">
        <v>-2.7</v>
      </c>
      <c r="E2801">
        <v>1.5</v>
      </c>
    </row>
    <row r="2802" spans="1:5" x14ac:dyDescent="0.2">
      <c r="A2802">
        <v>2795</v>
      </c>
      <c r="B2802">
        <v>2737</v>
      </c>
      <c r="C2802">
        <v>12</v>
      </c>
      <c r="D2802">
        <v>-2.6</v>
      </c>
      <c r="E2802">
        <v>1.5</v>
      </c>
    </row>
    <row r="2803" spans="1:5" x14ac:dyDescent="0.2">
      <c r="A2803">
        <v>2796</v>
      </c>
      <c r="B2803">
        <v>2738</v>
      </c>
      <c r="C2803">
        <v>12</v>
      </c>
      <c r="D2803">
        <v>-2.6</v>
      </c>
      <c r="E2803">
        <v>1.5</v>
      </c>
    </row>
    <row r="2804" spans="1:5" x14ac:dyDescent="0.2">
      <c r="A2804">
        <v>2797</v>
      </c>
      <c r="B2804">
        <v>2738</v>
      </c>
      <c r="C2804">
        <v>12</v>
      </c>
      <c r="D2804">
        <v>-2.5</v>
      </c>
      <c r="E2804">
        <v>1.5</v>
      </c>
    </row>
    <row r="2805" spans="1:5" x14ac:dyDescent="0.2">
      <c r="A2805">
        <v>2798</v>
      </c>
      <c r="B2805">
        <v>2739</v>
      </c>
      <c r="C2805">
        <v>12</v>
      </c>
      <c r="D2805">
        <v>-2.5</v>
      </c>
      <c r="E2805">
        <v>1.5</v>
      </c>
    </row>
    <row r="2806" spans="1:5" x14ac:dyDescent="0.2">
      <c r="A2806">
        <v>2799</v>
      </c>
      <c r="B2806">
        <v>2739</v>
      </c>
      <c r="C2806">
        <v>12</v>
      </c>
      <c r="D2806">
        <v>-2.4</v>
      </c>
      <c r="E2806">
        <v>1.5</v>
      </c>
    </row>
    <row r="2807" spans="1:5" x14ac:dyDescent="0.2">
      <c r="A2807">
        <v>2800</v>
      </c>
      <c r="B2807">
        <v>2739</v>
      </c>
      <c r="C2807">
        <v>12</v>
      </c>
      <c r="D2807">
        <v>-2.2999999999999998</v>
      </c>
      <c r="E2807">
        <v>1.5</v>
      </c>
    </row>
    <row r="2808" spans="1:5" x14ac:dyDescent="0.2">
      <c r="A2808">
        <v>2801</v>
      </c>
      <c r="B2808">
        <v>2739</v>
      </c>
      <c r="C2808">
        <v>12</v>
      </c>
      <c r="D2808">
        <v>-2.2000000000000002</v>
      </c>
      <c r="E2808">
        <v>1.5</v>
      </c>
    </row>
    <row r="2809" spans="1:5" x14ac:dyDescent="0.2">
      <c r="A2809">
        <v>2802</v>
      </c>
      <c r="B2809">
        <v>2739</v>
      </c>
      <c r="C2809">
        <v>12</v>
      </c>
      <c r="D2809">
        <v>-2.1</v>
      </c>
      <c r="E2809">
        <v>1.5</v>
      </c>
    </row>
    <row r="2810" spans="1:5" x14ac:dyDescent="0.2">
      <c r="A2810">
        <v>2803</v>
      </c>
      <c r="B2810">
        <v>2739</v>
      </c>
      <c r="C2810">
        <v>13</v>
      </c>
      <c r="D2810">
        <v>-2</v>
      </c>
      <c r="E2810">
        <v>1.6</v>
      </c>
    </row>
    <row r="2811" spans="1:5" x14ac:dyDescent="0.2">
      <c r="A2811">
        <v>2804</v>
      </c>
      <c r="B2811">
        <v>2739</v>
      </c>
      <c r="C2811">
        <v>13</v>
      </c>
      <c r="D2811">
        <v>-1.8</v>
      </c>
      <c r="E2811">
        <v>1.6</v>
      </c>
    </row>
    <row r="2812" spans="1:5" x14ac:dyDescent="0.2">
      <c r="A2812">
        <v>2805</v>
      </c>
      <c r="B2812">
        <v>2740</v>
      </c>
      <c r="C2812">
        <v>14</v>
      </c>
      <c r="D2812">
        <v>-1.7</v>
      </c>
      <c r="E2812">
        <v>1.7</v>
      </c>
    </row>
    <row r="2813" spans="1:5" x14ac:dyDescent="0.2">
      <c r="A2813">
        <v>2806</v>
      </c>
      <c r="B2813">
        <v>2740</v>
      </c>
      <c r="C2813">
        <v>14</v>
      </c>
      <c r="D2813">
        <v>-1.6</v>
      </c>
      <c r="E2813">
        <v>1.8</v>
      </c>
    </row>
    <row r="2814" spans="1:5" x14ac:dyDescent="0.2">
      <c r="A2814">
        <v>2807</v>
      </c>
      <c r="B2814">
        <v>2740</v>
      </c>
      <c r="C2814">
        <v>15</v>
      </c>
      <c r="D2814">
        <v>-1.5</v>
      </c>
      <c r="E2814">
        <v>1.9</v>
      </c>
    </row>
    <row r="2815" spans="1:5" x14ac:dyDescent="0.2">
      <c r="A2815">
        <v>2808</v>
      </c>
      <c r="B2815">
        <v>2739</v>
      </c>
      <c r="C2815">
        <v>16</v>
      </c>
      <c r="D2815">
        <v>-1.4</v>
      </c>
      <c r="E2815">
        <v>2</v>
      </c>
    </row>
    <row r="2816" spans="1:5" x14ac:dyDescent="0.2">
      <c r="A2816">
        <v>2809</v>
      </c>
      <c r="B2816">
        <v>2739</v>
      </c>
      <c r="C2816">
        <v>17</v>
      </c>
      <c r="D2816">
        <v>-1.2</v>
      </c>
      <c r="E2816">
        <v>2.1</v>
      </c>
    </row>
    <row r="2817" spans="1:5" x14ac:dyDescent="0.2">
      <c r="A2817">
        <v>2810</v>
      </c>
      <c r="B2817">
        <v>2739</v>
      </c>
      <c r="C2817">
        <v>18</v>
      </c>
      <c r="D2817">
        <v>-1.1000000000000001</v>
      </c>
      <c r="E2817">
        <v>2.2000000000000002</v>
      </c>
    </row>
    <row r="2818" spans="1:5" x14ac:dyDescent="0.2">
      <c r="A2818">
        <v>2811</v>
      </c>
      <c r="B2818">
        <v>2739</v>
      </c>
      <c r="C2818">
        <v>18</v>
      </c>
      <c r="D2818">
        <v>-0.9</v>
      </c>
      <c r="E2818">
        <v>2.2000000000000002</v>
      </c>
    </row>
    <row r="2819" spans="1:5" x14ac:dyDescent="0.2">
      <c r="A2819">
        <v>2812</v>
      </c>
      <c r="B2819">
        <v>2739</v>
      </c>
      <c r="C2819">
        <v>18</v>
      </c>
      <c r="D2819">
        <v>-0.8</v>
      </c>
      <c r="E2819">
        <v>2.2999999999999998</v>
      </c>
    </row>
    <row r="2820" spans="1:5" x14ac:dyDescent="0.2">
      <c r="A2820">
        <v>2813</v>
      </c>
      <c r="B2820">
        <v>2738</v>
      </c>
      <c r="C2820">
        <v>18</v>
      </c>
      <c r="D2820">
        <v>-0.6</v>
      </c>
      <c r="E2820">
        <v>2.2999999999999998</v>
      </c>
    </row>
    <row r="2821" spans="1:5" x14ac:dyDescent="0.2">
      <c r="A2821">
        <v>2814</v>
      </c>
      <c r="B2821">
        <v>2738</v>
      </c>
      <c r="C2821">
        <v>18</v>
      </c>
      <c r="D2821">
        <v>-0.4</v>
      </c>
      <c r="E2821">
        <v>2.2000000000000002</v>
      </c>
    </row>
    <row r="2822" spans="1:5" x14ac:dyDescent="0.2">
      <c r="A2822">
        <v>2815</v>
      </c>
      <c r="B2822">
        <v>2737</v>
      </c>
      <c r="C2822">
        <v>18</v>
      </c>
      <c r="D2822">
        <v>-0.2</v>
      </c>
      <c r="E2822">
        <v>2.2000000000000002</v>
      </c>
    </row>
    <row r="2823" spans="1:5" x14ac:dyDescent="0.2">
      <c r="A2823">
        <v>2816</v>
      </c>
      <c r="B2823">
        <v>2737</v>
      </c>
      <c r="C2823">
        <v>17</v>
      </c>
      <c r="D2823">
        <v>0</v>
      </c>
      <c r="E2823">
        <v>2.2000000000000002</v>
      </c>
    </row>
    <row r="2824" spans="1:5" x14ac:dyDescent="0.2">
      <c r="A2824">
        <v>2817</v>
      </c>
      <c r="B2824">
        <v>2736</v>
      </c>
      <c r="C2824">
        <v>17</v>
      </c>
      <c r="D2824">
        <v>0.2</v>
      </c>
      <c r="E2824">
        <v>2.2000000000000002</v>
      </c>
    </row>
    <row r="2825" spans="1:5" x14ac:dyDescent="0.2">
      <c r="A2825">
        <v>2818</v>
      </c>
      <c r="B2825">
        <v>2735</v>
      </c>
      <c r="C2825">
        <v>17</v>
      </c>
      <c r="D2825">
        <v>0.4</v>
      </c>
      <c r="E2825">
        <v>2.2000000000000002</v>
      </c>
    </row>
    <row r="2826" spans="1:5" x14ac:dyDescent="0.2">
      <c r="A2826">
        <v>2819</v>
      </c>
      <c r="B2826">
        <v>2734</v>
      </c>
      <c r="C2826">
        <v>17</v>
      </c>
      <c r="D2826">
        <v>0.6</v>
      </c>
      <c r="E2826">
        <v>2.2000000000000002</v>
      </c>
    </row>
    <row r="2827" spans="1:5" x14ac:dyDescent="0.2">
      <c r="A2827">
        <v>2820</v>
      </c>
      <c r="B2827">
        <v>2733</v>
      </c>
      <c r="C2827">
        <v>18</v>
      </c>
      <c r="D2827">
        <v>0.9</v>
      </c>
      <c r="E2827">
        <v>2.2000000000000002</v>
      </c>
    </row>
    <row r="2828" spans="1:5" x14ac:dyDescent="0.2">
      <c r="A2828">
        <v>2821</v>
      </c>
      <c r="B2828">
        <v>2732</v>
      </c>
      <c r="C2828">
        <v>18</v>
      </c>
      <c r="D2828">
        <v>1.1000000000000001</v>
      </c>
      <c r="E2828">
        <v>2.2999999999999998</v>
      </c>
    </row>
    <row r="2829" spans="1:5" x14ac:dyDescent="0.2">
      <c r="A2829">
        <v>2822</v>
      </c>
      <c r="B2829">
        <v>2731</v>
      </c>
      <c r="C2829">
        <v>19</v>
      </c>
      <c r="D2829">
        <v>1.4</v>
      </c>
      <c r="E2829">
        <v>2.2999999999999998</v>
      </c>
    </row>
    <row r="2830" spans="1:5" x14ac:dyDescent="0.2">
      <c r="A2830">
        <v>2823</v>
      </c>
      <c r="B2830">
        <v>2730</v>
      </c>
      <c r="C2830">
        <v>19</v>
      </c>
      <c r="D2830">
        <v>1.6</v>
      </c>
      <c r="E2830">
        <v>2.4</v>
      </c>
    </row>
    <row r="2831" spans="1:5" x14ac:dyDescent="0.2">
      <c r="A2831">
        <v>2824</v>
      </c>
      <c r="B2831">
        <v>2729</v>
      </c>
      <c r="C2831">
        <v>19</v>
      </c>
      <c r="D2831">
        <v>1.9</v>
      </c>
      <c r="E2831">
        <v>2.4</v>
      </c>
    </row>
    <row r="2832" spans="1:5" x14ac:dyDescent="0.2">
      <c r="A2832">
        <v>2825</v>
      </c>
      <c r="B2832">
        <v>2727</v>
      </c>
      <c r="C2832">
        <v>19</v>
      </c>
      <c r="D2832">
        <v>2.2000000000000002</v>
      </c>
      <c r="E2832">
        <v>2.4</v>
      </c>
    </row>
    <row r="2833" spans="1:5" x14ac:dyDescent="0.2">
      <c r="A2833">
        <v>2826</v>
      </c>
      <c r="B2833">
        <v>2726</v>
      </c>
      <c r="C2833">
        <v>19</v>
      </c>
      <c r="D2833">
        <v>2.5</v>
      </c>
      <c r="E2833">
        <v>2.4</v>
      </c>
    </row>
    <row r="2834" spans="1:5" x14ac:dyDescent="0.2">
      <c r="A2834">
        <v>2827</v>
      </c>
      <c r="B2834">
        <v>2724</v>
      </c>
      <c r="C2834">
        <v>19</v>
      </c>
      <c r="D2834">
        <v>2.9</v>
      </c>
      <c r="E2834">
        <v>2.4</v>
      </c>
    </row>
    <row r="2835" spans="1:5" x14ac:dyDescent="0.2">
      <c r="A2835">
        <v>2828</v>
      </c>
      <c r="B2835">
        <v>2723</v>
      </c>
      <c r="C2835">
        <v>19</v>
      </c>
      <c r="D2835">
        <v>3.2</v>
      </c>
      <c r="E2835">
        <v>2.2999999999999998</v>
      </c>
    </row>
    <row r="2836" spans="1:5" x14ac:dyDescent="0.2">
      <c r="A2836">
        <v>2829</v>
      </c>
      <c r="B2836">
        <v>2721</v>
      </c>
      <c r="C2836">
        <v>18</v>
      </c>
      <c r="D2836">
        <v>3.5</v>
      </c>
      <c r="E2836">
        <v>2.2999999999999998</v>
      </c>
    </row>
    <row r="2837" spans="1:5" x14ac:dyDescent="0.2">
      <c r="A2837">
        <v>2830</v>
      </c>
      <c r="B2837">
        <v>2720</v>
      </c>
      <c r="C2837">
        <v>18</v>
      </c>
      <c r="D2837">
        <v>3.8</v>
      </c>
      <c r="E2837">
        <v>2.2000000000000002</v>
      </c>
    </row>
    <row r="2838" spans="1:5" x14ac:dyDescent="0.2">
      <c r="A2838">
        <v>2831</v>
      </c>
      <c r="B2838">
        <v>2718</v>
      </c>
      <c r="C2838">
        <v>18</v>
      </c>
      <c r="D2838">
        <v>4</v>
      </c>
      <c r="E2838">
        <v>2.2000000000000002</v>
      </c>
    </row>
    <row r="2839" spans="1:5" x14ac:dyDescent="0.2">
      <c r="A2839">
        <v>2832</v>
      </c>
      <c r="B2839">
        <v>2717</v>
      </c>
      <c r="C2839">
        <v>18</v>
      </c>
      <c r="D2839">
        <v>4.3</v>
      </c>
      <c r="E2839">
        <v>2.2000000000000002</v>
      </c>
    </row>
    <row r="2840" spans="1:5" x14ac:dyDescent="0.2">
      <c r="A2840">
        <v>2833</v>
      </c>
      <c r="B2840">
        <v>2716</v>
      </c>
      <c r="C2840">
        <v>18</v>
      </c>
      <c r="D2840">
        <v>4.5</v>
      </c>
      <c r="E2840">
        <v>2.2000000000000002</v>
      </c>
    </row>
    <row r="2841" spans="1:5" x14ac:dyDescent="0.2">
      <c r="A2841">
        <v>2834</v>
      </c>
      <c r="B2841">
        <v>2716</v>
      </c>
      <c r="C2841">
        <v>18</v>
      </c>
      <c r="D2841">
        <v>4.8</v>
      </c>
      <c r="E2841">
        <v>2.2000000000000002</v>
      </c>
    </row>
    <row r="2842" spans="1:5" x14ac:dyDescent="0.2">
      <c r="A2842">
        <v>2835</v>
      </c>
      <c r="B2842">
        <v>2715</v>
      </c>
      <c r="C2842">
        <v>18</v>
      </c>
      <c r="D2842">
        <v>4.9000000000000004</v>
      </c>
      <c r="E2842">
        <v>2.2000000000000002</v>
      </c>
    </row>
    <row r="2843" spans="1:5" x14ac:dyDescent="0.2">
      <c r="A2843">
        <v>2836</v>
      </c>
      <c r="B2843">
        <v>2715</v>
      </c>
      <c r="C2843">
        <v>18</v>
      </c>
      <c r="D2843">
        <v>5.0999999999999996</v>
      </c>
      <c r="E2843">
        <v>2.2999999999999998</v>
      </c>
    </row>
    <row r="2844" spans="1:5" x14ac:dyDescent="0.2">
      <c r="A2844">
        <v>2837</v>
      </c>
      <c r="B2844">
        <v>2716</v>
      </c>
      <c r="C2844">
        <v>18</v>
      </c>
      <c r="D2844">
        <v>5.0999999999999996</v>
      </c>
      <c r="E2844">
        <v>2.2999999999999998</v>
      </c>
    </row>
    <row r="2845" spans="1:5" x14ac:dyDescent="0.2">
      <c r="A2845">
        <v>2838</v>
      </c>
      <c r="B2845">
        <v>2716</v>
      </c>
      <c r="C2845">
        <v>18</v>
      </c>
      <c r="D2845">
        <v>5.2</v>
      </c>
      <c r="E2845">
        <v>2.2999999999999998</v>
      </c>
    </row>
    <row r="2846" spans="1:5" x14ac:dyDescent="0.2">
      <c r="A2846">
        <v>2839</v>
      </c>
      <c r="B2846">
        <v>2717</v>
      </c>
      <c r="C2846">
        <v>19</v>
      </c>
      <c r="D2846">
        <v>5.2</v>
      </c>
      <c r="E2846">
        <v>2.2999999999999998</v>
      </c>
    </row>
    <row r="2847" spans="1:5" x14ac:dyDescent="0.2">
      <c r="A2847">
        <v>2840</v>
      </c>
      <c r="B2847">
        <v>2719</v>
      </c>
      <c r="C2847">
        <v>18</v>
      </c>
      <c r="D2847">
        <v>5.0999999999999996</v>
      </c>
      <c r="E2847">
        <v>2.2999999999999998</v>
      </c>
    </row>
    <row r="2848" spans="1:5" x14ac:dyDescent="0.2">
      <c r="A2848">
        <v>2841</v>
      </c>
      <c r="B2848">
        <v>2721</v>
      </c>
      <c r="C2848">
        <v>18</v>
      </c>
      <c r="D2848">
        <v>5</v>
      </c>
      <c r="E2848">
        <v>2.2999999999999998</v>
      </c>
    </row>
    <row r="2849" spans="1:5" x14ac:dyDescent="0.2">
      <c r="A2849">
        <v>2842</v>
      </c>
      <c r="B2849">
        <v>2723</v>
      </c>
      <c r="C2849">
        <v>18</v>
      </c>
      <c r="D2849">
        <v>4.8</v>
      </c>
      <c r="E2849">
        <v>2.2999999999999998</v>
      </c>
    </row>
    <row r="2850" spans="1:5" x14ac:dyDescent="0.2">
      <c r="A2850">
        <v>2843</v>
      </c>
      <c r="B2850">
        <v>2726</v>
      </c>
      <c r="C2850">
        <v>18</v>
      </c>
      <c r="D2850">
        <v>4.5999999999999996</v>
      </c>
      <c r="E2850">
        <v>2.2000000000000002</v>
      </c>
    </row>
    <row r="2851" spans="1:5" x14ac:dyDescent="0.2">
      <c r="A2851">
        <v>2844</v>
      </c>
      <c r="B2851">
        <v>2729</v>
      </c>
      <c r="C2851">
        <v>17</v>
      </c>
      <c r="D2851">
        <v>4.4000000000000004</v>
      </c>
      <c r="E2851">
        <v>2.2000000000000002</v>
      </c>
    </row>
    <row r="2852" spans="1:5" x14ac:dyDescent="0.2">
      <c r="A2852">
        <v>2845</v>
      </c>
      <c r="B2852">
        <v>2732</v>
      </c>
      <c r="C2852">
        <v>17</v>
      </c>
      <c r="D2852">
        <v>4.0999999999999996</v>
      </c>
      <c r="E2852">
        <v>2.1</v>
      </c>
    </row>
    <row r="2853" spans="1:5" x14ac:dyDescent="0.2">
      <c r="A2853">
        <v>2846</v>
      </c>
      <c r="B2853">
        <v>2735</v>
      </c>
      <c r="C2853">
        <v>17</v>
      </c>
      <c r="D2853">
        <v>3.8</v>
      </c>
      <c r="E2853">
        <v>2.1</v>
      </c>
    </row>
    <row r="2854" spans="1:5" x14ac:dyDescent="0.2">
      <c r="A2854">
        <v>2847</v>
      </c>
      <c r="B2854">
        <v>2738</v>
      </c>
      <c r="C2854">
        <v>17</v>
      </c>
      <c r="D2854">
        <v>3.5</v>
      </c>
      <c r="E2854">
        <v>2.1</v>
      </c>
    </row>
    <row r="2855" spans="1:5" x14ac:dyDescent="0.2">
      <c r="A2855">
        <v>2848</v>
      </c>
      <c r="B2855">
        <v>2742</v>
      </c>
      <c r="C2855">
        <v>17</v>
      </c>
      <c r="D2855">
        <v>3.2</v>
      </c>
      <c r="E2855">
        <v>2.1</v>
      </c>
    </row>
    <row r="2856" spans="1:5" x14ac:dyDescent="0.2">
      <c r="A2856">
        <v>2849</v>
      </c>
      <c r="B2856">
        <v>2745</v>
      </c>
      <c r="C2856">
        <v>17</v>
      </c>
      <c r="D2856">
        <v>2.9</v>
      </c>
      <c r="E2856">
        <v>2.1</v>
      </c>
    </row>
    <row r="2857" spans="1:5" x14ac:dyDescent="0.2">
      <c r="A2857">
        <v>2850</v>
      </c>
      <c r="B2857">
        <v>2749</v>
      </c>
      <c r="C2857">
        <v>17</v>
      </c>
      <c r="D2857">
        <v>2.6</v>
      </c>
      <c r="E2857">
        <v>2.2000000000000002</v>
      </c>
    </row>
    <row r="2858" spans="1:5" x14ac:dyDescent="0.2">
      <c r="A2858">
        <v>2851</v>
      </c>
      <c r="B2858">
        <v>2752</v>
      </c>
      <c r="C2858">
        <v>18</v>
      </c>
      <c r="D2858">
        <v>2.2999999999999998</v>
      </c>
      <c r="E2858">
        <v>2.2000000000000002</v>
      </c>
    </row>
    <row r="2859" spans="1:5" x14ac:dyDescent="0.2">
      <c r="A2859">
        <v>2852</v>
      </c>
      <c r="B2859">
        <v>2755</v>
      </c>
      <c r="C2859">
        <v>18</v>
      </c>
      <c r="D2859">
        <v>2</v>
      </c>
      <c r="E2859">
        <v>2.2000000000000002</v>
      </c>
    </row>
    <row r="2860" spans="1:5" x14ac:dyDescent="0.2">
      <c r="A2860">
        <v>2853</v>
      </c>
      <c r="B2860">
        <v>2758</v>
      </c>
      <c r="C2860">
        <v>18</v>
      </c>
      <c r="D2860">
        <v>1.7</v>
      </c>
      <c r="E2860">
        <v>2.2999999999999998</v>
      </c>
    </row>
    <row r="2861" spans="1:5" x14ac:dyDescent="0.2">
      <c r="A2861">
        <v>2854</v>
      </c>
      <c r="B2861">
        <v>2761</v>
      </c>
      <c r="C2861">
        <v>18</v>
      </c>
      <c r="D2861">
        <v>1.5</v>
      </c>
      <c r="E2861">
        <v>2.2999999999999998</v>
      </c>
    </row>
    <row r="2862" spans="1:5" x14ac:dyDescent="0.2">
      <c r="A2862">
        <v>2855</v>
      </c>
      <c r="B2862">
        <v>2763</v>
      </c>
      <c r="C2862">
        <v>18</v>
      </c>
      <c r="D2862">
        <v>1.4</v>
      </c>
      <c r="E2862">
        <v>2.2999999999999998</v>
      </c>
    </row>
    <row r="2863" spans="1:5" x14ac:dyDescent="0.2">
      <c r="A2863">
        <v>2856</v>
      </c>
      <c r="B2863">
        <v>2765</v>
      </c>
      <c r="C2863">
        <v>18</v>
      </c>
      <c r="D2863">
        <v>1.2</v>
      </c>
      <c r="E2863">
        <v>2.2999999999999998</v>
      </c>
    </row>
    <row r="2864" spans="1:5" x14ac:dyDescent="0.2">
      <c r="A2864">
        <v>2857</v>
      </c>
      <c r="B2864">
        <v>2767</v>
      </c>
      <c r="C2864">
        <v>18</v>
      </c>
      <c r="D2864">
        <v>1.1000000000000001</v>
      </c>
      <c r="E2864">
        <v>2.2000000000000002</v>
      </c>
    </row>
    <row r="2865" spans="1:5" x14ac:dyDescent="0.2">
      <c r="A2865">
        <v>2858</v>
      </c>
      <c r="B2865">
        <v>2769</v>
      </c>
      <c r="C2865">
        <v>18</v>
      </c>
      <c r="D2865">
        <v>1</v>
      </c>
      <c r="E2865">
        <v>2.2000000000000002</v>
      </c>
    </row>
    <row r="2866" spans="1:5" x14ac:dyDescent="0.2">
      <c r="A2866">
        <v>2859</v>
      </c>
      <c r="B2866">
        <v>2770</v>
      </c>
      <c r="C2866">
        <v>17</v>
      </c>
      <c r="D2866">
        <v>1</v>
      </c>
      <c r="E2866">
        <v>2.1</v>
      </c>
    </row>
    <row r="2867" spans="1:5" x14ac:dyDescent="0.2">
      <c r="A2867">
        <v>2860</v>
      </c>
      <c r="B2867">
        <v>2771</v>
      </c>
      <c r="C2867">
        <v>17</v>
      </c>
      <c r="D2867">
        <v>0.9</v>
      </c>
      <c r="E2867">
        <v>2.1</v>
      </c>
    </row>
    <row r="2868" spans="1:5" x14ac:dyDescent="0.2">
      <c r="A2868">
        <v>2861</v>
      </c>
      <c r="B2868">
        <v>2773</v>
      </c>
      <c r="C2868">
        <v>17</v>
      </c>
      <c r="D2868">
        <v>0.9</v>
      </c>
      <c r="E2868">
        <v>2.1</v>
      </c>
    </row>
    <row r="2869" spans="1:5" x14ac:dyDescent="0.2">
      <c r="A2869">
        <v>2862</v>
      </c>
      <c r="B2869">
        <v>2774</v>
      </c>
      <c r="C2869">
        <v>17</v>
      </c>
      <c r="D2869">
        <v>0.9</v>
      </c>
      <c r="E2869">
        <v>2.1</v>
      </c>
    </row>
    <row r="2870" spans="1:5" x14ac:dyDescent="0.2">
      <c r="A2870">
        <v>2863</v>
      </c>
      <c r="B2870">
        <v>2775</v>
      </c>
      <c r="C2870">
        <v>17</v>
      </c>
      <c r="D2870">
        <v>0.9</v>
      </c>
      <c r="E2870">
        <v>2.1</v>
      </c>
    </row>
    <row r="2871" spans="1:5" x14ac:dyDescent="0.2">
      <c r="A2871">
        <v>2864</v>
      </c>
      <c r="B2871">
        <v>2775</v>
      </c>
      <c r="C2871">
        <v>17</v>
      </c>
      <c r="D2871">
        <v>0.9</v>
      </c>
      <c r="E2871">
        <v>2.1</v>
      </c>
    </row>
    <row r="2872" spans="1:5" x14ac:dyDescent="0.2">
      <c r="A2872">
        <v>2865</v>
      </c>
      <c r="B2872">
        <v>2776</v>
      </c>
      <c r="C2872">
        <v>17</v>
      </c>
      <c r="D2872">
        <v>0.9</v>
      </c>
      <c r="E2872">
        <v>2.1</v>
      </c>
    </row>
    <row r="2873" spans="1:5" x14ac:dyDescent="0.2">
      <c r="A2873">
        <v>2866</v>
      </c>
      <c r="B2873">
        <v>2777</v>
      </c>
      <c r="C2873">
        <v>18</v>
      </c>
      <c r="D2873">
        <v>0.9</v>
      </c>
      <c r="E2873">
        <v>2.2000000000000002</v>
      </c>
    </row>
    <row r="2874" spans="1:5" x14ac:dyDescent="0.2">
      <c r="A2874">
        <v>2867</v>
      </c>
      <c r="B2874">
        <v>2778</v>
      </c>
      <c r="C2874">
        <v>18</v>
      </c>
      <c r="D2874">
        <v>0.9</v>
      </c>
      <c r="E2874">
        <v>2.2000000000000002</v>
      </c>
    </row>
    <row r="2875" spans="1:5" x14ac:dyDescent="0.2">
      <c r="A2875">
        <v>2868</v>
      </c>
      <c r="B2875">
        <v>2779</v>
      </c>
      <c r="C2875">
        <v>18</v>
      </c>
      <c r="D2875">
        <v>0.9</v>
      </c>
      <c r="E2875">
        <v>2.2999999999999998</v>
      </c>
    </row>
    <row r="2876" spans="1:5" x14ac:dyDescent="0.2">
      <c r="A2876">
        <v>2869</v>
      </c>
      <c r="B2876">
        <v>2781</v>
      </c>
      <c r="C2876">
        <v>19</v>
      </c>
      <c r="D2876">
        <v>0.9</v>
      </c>
      <c r="E2876">
        <v>2.2999999999999998</v>
      </c>
    </row>
    <row r="2877" spans="1:5" x14ac:dyDescent="0.2">
      <c r="A2877">
        <v>2870</v>
      </c>
      <c r="B2877">
        <v>2782</v>
      </c>
      <c r="C2877">
        <v>19</v>
      </c>
      <c r="D2877">
        <v>0.8</v>
      </c>
      <c r="E2877">
        <v>2.4</v>
      </c>
    </row>
    <row r="2878" spans="1:5" x14ac:dyDescent="0.2">
      <c r="A2878">
        <v>2871</v>
      </c>
      <c r="B2878">
        <v>2784</v>
      </c>
      <c r="C2878">
        <v>19</v>
      </c>
      <c r="D2878">
        <v>0.7</v>
      </c>
      <c r="E2878">
        <v>2.4</v>
      </c>
    </row>
    <row r="2879" spans="1:5" x14ac:dyDescent="0.2">
      <c r="A2879">
        <v>2872</v>
      </c>
      <c r="B2879">
        <v>2786</v>
      </c>
      <c r="C2879">
        <v>19</v>
      </c>
      <c r="D2879">
        <v>0.6</v>
      </c>
      <c r="E2879">
        <v>2.4</v>
      </c>
    </row>
    <row r="2880" spans="1:5" x14ac:dyDescent="0.2">
      <c r="A2880">
        <v>2873</v>
      </c>
      <c r="B2880">
        <v>2788</v>
      </c>
      <c r="C2880">
        <v>19</v>
      </c>
      <c r="D2880">
        <v>0.5</v>
      </c>
      <c r="E2880">
        <v>2.4</v>
      </c>
    </row>
    <row r="2881" spans="1:5" x14ac:dyDescent="0.2">
      <c r="A2881">
        <v>2874</v>
      </c>
      <c r="B2881">
        <v>2790</v>
      </c>
      <c r="C2881">
        <v>19</v>
      </c>
      <c r="D2881">
        <v>0.3</v>
      </c>
      <c r="E2881">
        <v>2.4</v>
      </c>
    </row>
    <row r="2882" spans="1:5" x14ac:dyDescent="0.2">
      <c r="A2882">
        <v>2875</v>
      </c>
      <c r="B2882">
        <v>2792</v>
      </c>
      <c r="C2882">
        <v>19</v>
      </c>
      <c r="D2882">
        <v>0.2</v>
      </c>
      <c r="E2882">
        <v>2.2999999999999998</v>
      </c>
    </row>
    <row r="2883" spans="1:5" x14ac:dyDescent="0.2">
      <c r="A2883">
        <v>2876</v>
      </c>
      <c r="B2883">
        <v>2795</v>
      </c>
      <c r="C2883">
        <v>18</v>
      </c>
      <c r="D2883">
        <v>0</v>
      </c>
      <c r="E2883">
        <v>2.2999999999999998</v>
      </c>
    </row>
    <row r="2884" spans="1:5" x14ac:dyDescent="0.2">
      <c r="A2884">
        <v>2877</v>
      </c>
      <c r="B2884">
        <v>2797</v>
      </c>
      <c r="C2884">
        <v>18</v>
      </c>
      <c r="D2884">
        <v>-0.2</v>
      </c>
      <c r="E2884">
        <v>2.2000000000000002</v>
      </c>
    </row>
    <row r="2885" spans="1:5" x14ac:dyDescent="0.2">
      <c r="A2885">
        <v>2878</v>
      </c>
      <c r="B2885">
        <v>2800</v>
      </c>
      <c r="C2885">
        <v>17</v>
      </c>
      <c r="D2885">
        <v>-0.4</v>
      </c>
      <c r="E2885">
        <v>2.1</v>
      </c>
    </row>
    <row r="2886" spans="1:5" x14ac:dyDescent="0.2">
      <c r="A2886">
        <v>2879</v>
      </c>
      <c r="B2886">
        <v>2802</v>
      </c>
      <c r="C2886">
        <v>17</v>
      </c>
      <c r="D2886">
        <v>-0.6</v>
      </c>
      <c r="E2886">
        <v>2.1</v>
      </c>
    </row>
    <row r="2887" spans="1:5" x14ac:dyDescent="0.2">
      <c r="A2887">
        <v>2880</v>
      </c>
      <c r="B2887">
        <v>2805</v>
      </c>
      <c r="C2887">
        <v>17</v>
      </c>
      <c r="D2887">
        <v>-0.8</v>
      </c>
      <c r="E2887">
        <v>2.1</v>
      </c>
    </row>
    <row r="2888" spans="1:5" x14ac:dyDescent="0.2">
      <c r="A2888">
        <v>2881</v>
      </c>
      <c r="B2888">
        <v>2807</v>
      </c>
      <c r="C2888">
        <v>16</v>
      </c>
      <c r="D2888">
        <v>-0.9</v>
      </c>
      <c r="E2888">
        <v>2</v>
      </c>
    </row>
    <row r="2889" spans="1:5" x14ac:dyDescent="0.2">
      <c r="A2889">
        <v>2882</v>
      </c>
      <c r="B2889">
        <v>2809</v>
      </c>
      <c r="C2889">
        <v>16</v>
      </c>
      <c r="D2889">
        <v>-1.1000000000000001</v>
      </c>
      <c r="E2889">
        <v>2</v>
      </c>
    </row>
    <row r="2890" spans="1:5" x14ac:dyDescent="0.2">
      <c r="A2890">
        <v>2883</v>
      </c>
      <c r="B2890">
        <v>2812</v>
      </c>
      <c r="C2890">
        <v>16</v>
      </c>
      <c r="D2890">
        <v>-1.3</v>
      </c>
      <c r="E2890">
        <v>2</v>
      </c>
    </row>
    <row r="2891" spans="1:5" x14ac:dyDescent="0.2">
      <c r="A2891">
        <v>2884</v>
      </c>
      <c r="B2891">
        <v>2814</v>
      </c>
      <c r="C2891">
        <v>16</v>
      </c>
      <c r="D2891">
        <v>-1.4</v>
      </c>
      <c r="E2891">
        <v>2</v>
      </c>
    </row>
    <row r="2892" spans="1:5" x14ac:dyDescent="0.2">
      <c r="A2892">
        <v>2885</v>
      </c>
      <c r="B2892">
        <v>2816</v>
      </c>
      <c r="C2892">
        <v>17</v>
      </c>
      <c r="D2892">
        <v>-1.6</v>
      </c>
      <c r="E2892">
        <v>2.1</v>
      </c>
    </row>
    <row r="2893" spans="1:5" x14ac:dyDescent="0.2">
      <c r="A2893">
        <v>2886</v>
      </c>
      <c r="B2893">
        <v>2818</v>
      </c>
      <c r="C2893">
        <v>17</v>
      </c>
      <c r="D2893">
        <v>-1.7</v>
      </c>
      <c r="E2893">
        <v>2.1</v>
      </c>
    </row>
    <row r="2894" spans="1:5" x14ac:dyDescent="0.2">
      <c r="A2894">
        <v>2887</v>
      </c>
      <c r="B2894">
        <v>2819</v>
      </c>
      <c r="C2894">
        <v>17</v>
      </c>
      <c r="D2894">
        <v>-1.7</v>
      </c>
      <c r="E2894">
        <v>2.1</v>
      </c>
    </row>
    <row r="2895" spans="1:5" x14ac:dyDescent="0.2">
      <c r="A2895">
        <v>2888</v>
      </c>
      <c r="B2895">
        <v>2820</v>
      </c>
      <c r="C2895">
        <v>17</v>
      </c>
      <c r="D2895">
        <v>-1.8</v>
      </c>
      <c r="E2895">
        <v>2.2000000000000002</v>
      </c>
    </row>
    <row r="2896" spans="1:5" x14ac:dyDescent="0.2">
      <c r="A2896">
        <v>2889</v>
      </c>
      <c r="B2896">
        <v>2821</v>
      </c>
      <c r="C2896">
        <v>18</v>
      </c>
      <c r="D2896">
        <v>-1.8</v>
      </c>
      <c r="E2896">
        <v>2.2000000000000002</v>
      </c>
    </row>
    <row r="2897" spans="1:5" x14ac:dyDescent="0.2">
      <c r="A2897">
        <v>2890</v>
      </c>
      <c r="B2897">
        <v>2822</v>
      </c>
      <c r="C2897">
        <v>18</v>
      </c>
      <c r="D2897">
        <v>-1.7</v>
      </c>
      <c r="E2897">
        <v>2.2000000000000002</v>
      </c>
    </row>
    <row r="2898" spans="1:5" x14ac:dyDescent="0.2">
      <c r="A2898">
        <v>2891</v>
      </c>
      <c r="B2898">
        <v>2822</v>
      </c>
      <c r="C2898">
        <v>17</v>
      </c>
      <c r="D2898">
        <v>-1.6</v>
      </c>
      <c r="E2898">
        <v>2.2000000000000002</v>
      </c>
    </row>
    <row r="2899" spans="1:5" x14ac:dyDescent="0.2">
      <c r="A2899">
        <v>2892</v>
      </c>
      <c r="B2899">
        <v>2822</v>
      </c>
      <c r="C2899">
        <v>17</v>
      </c>
      <c r="D2899">
        <v>-1.5</v>
      </c>
      <c r="E2899">
        <v>2.1</v>
      </c>
    </row>
    <row r="2900" spans="1:5" x14ac:dyDescent="0.2">
      <c r="A2900">
        <v>2893</v>
      </c>
      <c r="B2900">
        <v>2822</v>
      </c>
      <c r="C2900">
        <v>17</v>
      </c>
      <c r="D2900">
        <v>-1.4</v>
      </c>
      <c r="E2900">
        <v>2.1</v>
      </c>
    </row>
    <row r="2901" spans="1:5" x14ac:dyDescent="0.2">
      <c r="A2901">
        <v>2894</v>
      </c>
      <c r="B2901">
        <v>2822</v>
      </c>
      <c r="C2901">
        <v>17</v>
      </c>
      <c r="D2901">
        <v>-1.2</v>
      </c>
      <c r="E2901">
        <v>2.1</v>
      </c>
    </row>
    <row r="2902" spans="1:5" x14ac:dyDescent="0.2">
      <c r="A2902">
        <v>2895</v>
      </c>
      <c r="B2902">
        <v>2821</v>
      </c>
      <c r="C2902">
        <v>16</v>
      </c>
      <c r="D2902">
        <v>-1</v>
      </c>
      <c r="E2902">
        <v>2</v>
      </c>
    </row>
    <row r="2903" spans="1:5" x14ac:dyDescent="0.2">
      <c r="A2903">
        <v>2896</v>
      </c>
      <c r="B2903">
        <v>2820</v>
      </c>
      <c r="C2903">
        <v>16</v>
      </c>
      <c r="D2903">
        <v>-0.7</v>
      </c>
      <c r="E2903">
        <v>2</v>
      </c>
    </row>
    <row r="2904" spans="1:5" x14ac:dyDescent="0.2">
      <c r="A2904">
        <v>2897</v>
      </c>
      <c r="B2904">
        <v>2819</v>
      </c>
      <c r="C2904">
        <v>16</v>
      </c>
      <c r="D2904">
        <v>-0.5</v>
      </c>
      <c r="E2904">
        <v>2</v>
      </c>
    </row>
    <row r="2905" spans="1:5" x14ac:dyDescent="0.2">
      <c r="A2905">
        <v>2898</v>
      </c>
      <c r="B2905">
        <v>2817</v>
      </c>
      <c r="C2905">
        <v>16</v>
      </c>
      <c r="D2905">
        <v>-0.2</v>
      </c>
      <c r="E2905">
        <v>2</v>
      </c>
    </row>
    <row r="2906" spans="1:5" x14ac:dyDescent="0.2">
      <c r="A2906">
        <v>2899</v>
      </c>
      <c r="B2906">
        <v>2816</v>
      </c>
      <c r="C2906">
        <v>16</v>
      </c>
      <c r="D2906">
        <v>0.1</v>
      </c>
      <c r="E2906">
        <v>2</v>
      </c>
    </row>
    <row r="2907" spans="1:5" x14ac:dyDescent="0.2">
      <c r="A2907">
        <v>2900</v>
      </c>
      <c r="B2907">
        <v>2815</v>
      </c>
      <c r="C2907">
        <v>16</v>
      </c>
      <c r="D2907">
        <v>0.4</v>
      </c>
      <c r="E2907">
        <v>2</v>
      </c>
    </row>
    <row r="2908" spans="1:5" x14ac:dyDescent="0.2">
      <c r="A2908">
        <v>2901</v>
      </c>
      <c r="B2908">
        <v>2813</v>
      </c>
      <c r="C2908">
        <v>16</v>
      </c>
      <c r="D2908">
        <v>0.7</v>
      </c>
      <c r="E2908">
        <v>2</v>
      </c>
    </row>
    <row r="2909" spans="1:5" x14ac:dyDescent="0.2">
      <c r="A2909">
        <v>2902</v>
      </c>
      <c r="B2909">
        <v>2812</v>
      </c>
      <c r="C2909">
        <v>16</v>
      </c>
      <c r="D2909">
        <v>1</v>
      </c>
      <c r="E2909">
        <v>2</v>
      </c>
    </row>
    <row r="2910" spans="1:5" x14ac:dyDescent="0.2">
      <c r="A2910">
        <v>2903</v>
      </c>
      <c r="B2910">
        <v>2810</v>
      </c>
      <c r="C2910">
        <v>17</v>
      </c>
      <c r="D2910">
        <v>1.3</v>
      </c>
      <c r="E2910">
        <v>2.1</v>
      </c>
    </row>
    <row r="2911" spans="1:5" x14ac:dyDescent="0.2">
      <c r="A2911">
        <v>2904</v>
      </c>
      <c r="B2911">
        <v>2809</v>
      </c>
      <c r="C2911">
        <v>17</v>
      </c>
      <c r="D2911">
        <v>1.6</v>
      </c>
      <c r="E2911">
        <v>2.2000000000000002</v>
      </c>
    </row>
    <row r="2912" spans="1:5" x14ac:dyDescent="0.2">
      <c r="A2912">
        <v>2905</v>
      </c>
      <c r="B2912">
        <v>2807</v>
      </c>
      <c r="C2912">
        <v>18</v>
      </c>
      <c r="D2912">
        <v>1.9</v>
      </c>
      <c r="E2912">
        <v>2.2000000000000002</v>
      </c>
    </row>
    <row r="2913" spans="1:5" x14ac:dyDescent="0.2">
      <c r="A2913">
        <v>2906</v>
      </c>
      <c r="B2913">
        <v>2806</v>
      </c>
      <c r="C2913">
        <v>18</v>
      </c>
      <c r="D2913">
        <v>2.2000000000000002</v>
      </c>
      <c r="E2913">
        <v>2.2000000000000002</v>
      </c>
    </row>
    <row r="2914" spans="1:5" x14ac:dyDescent="0.2">
      <c r="A2914">
        <v>2907</v>
      </c>
      <c r="B2914">
        <v>2805</v>
      </c>
      <c r="C2914">
        <v>18</v>
      </c>
      <c r="D2914">
        <v>2.4</v>
      </c>
      <c r="E2914">
        <v>2.2000000000000002</v>
      </c>
    </row>
    <row r="2915" spans="1:5" x14ac:dyDescent="0.2">
      <c r="A2915">
        <v>2908</v>
      </c>
      <c r="B2915">
        <v>2804</v>
      </c>
      <c r="C2915">
        <v>18</v>
      </c>
      <c r="D2915">
        <v>2.7</v>
      </c>
      <c r="E2915">
        <v>2.2000000000000002</v>
      </c>
    </row>
    <row r="2916" spans="1:5" x14ac:dyDescent="0.2">
      <c r="A2916">
        <v>2909</v>
      </c>
      <c r="B2916">
        <v>2804</v>
      </c>
      <c r="C2916">
        <v>18</v>
      </c>
      <c r="D2916">
        <v>2.9</v>
      </c>
      <c r="E2916">
        <v>2.2000000000000002</v>
      </c>
    </row>
    <row r="2917" spans="1:5" x14ac:dyDescent="0.2">
      <c r="A2917">
        <v>2910</v>
      </c>
      <c r="B2917">
        <v>2803</v>
      </c>
      <c r="C2917">
        <v>18</v>
      </c>
      <c r="D2917">
        <v>3.1</v>
      </c>
      <c r="E2917">
        <v>2.2000000000000002</v>
      </c>
    </row>
    <row r="2918" spans="1:5" x14ac:dyDescent="0.2">
      <c r="A2918">
        <v>2911</v>
      </c>
      <c r="B2918">
        <v>2803</v>
      </c>
      <c r="C2918">
        <v>17</v>
      </c>
      <c r="D2918">
        <v>3.2</v>
      </c>
      <c r="E2918">
        <v>2.1</v>
      </c>
    </row>
    <row r="2919" spans="1:5" x14ac:dyDescent="0.2">
      <c r="A2919">
        <v>2912</v>
      </c>
      <c r="B2919">
        <v>2803</v>
      </c>
      <c r="C2919">
        <v>17</v>
      </c>
      <c r="D2919">
        <v>3.3</v>
      </c>
      <c r="E2919">
        <v>2.1</v>
      </c>
    </row>
    <row r="2920" spans="1:5" x14ac:dyDescent="0.2">
      <c r="A2920">
        <v>2913</v>
      </c>
      <c r="B2920">
        <v>2803</v>
      </c>
      <c r="C2920">
        <v>17</v>
      </c>
      <c r="D2920">
        <v>3.5</v>
      </c>
      <c r="E2920">
        <v>2.1</v>
      </c>
    </row>
    <row r="2921" spans="1:5" x14ac:dyDescent="0.2">
      <c r="A2921">
        <v>2914</v>
      </c>
      <c r="B2921">
        <v>2803</v>
      </c>
      <c r="C2921">
        <v>16</v>
      </c>
      <c r="D2921">
        <v>3.5</v>
      </c>
      <c r="E2921">
        <v>2</v>
      </c>
    </row>
    <row r="2922" spans="1:5" x14ac:dyDescent="0.2">
      <c r="A2922">
        <v>2915</v>
      </c>
      <c r="B2922">
        <v>2803</v>
      </c>
      <c r="C2922">
        <v>16</v>
      </c>
      <c r="D2922">
        <v>3.6</v>
      </c>
      <c r="E2922">
        <v>2</v>
      </c>
    </row>
    <row r="2923" spans="1:5" x14ac:dyDescent="0.2">
      <c r="A2923">
        <v>2916</v>
      </c>
      <c r="B2923">
        <v>2804</v>
      </c>
      <c r="C2923">
        <v>16</v>
      </c>
      <c r="D2923">
        <v>3.7</v>
      </c>
      <c r="E2923">
        <v>2</v>
      </c>
    </row>
    <row r="2924" spans="1:5" x14ac:dyDescent="0.2">
      <c r="A2924">
        <v>2917</v>
      </c>
      <c r="B2924">
        <v>2805</v>
      </c>
      <c r="C2924">
        <v>16</v>
      </c>
      <c r="D2924">
        <v>3.7</v>
      </c>
      <c r="E2924">
        <v>2</v>
      </c>
    </row>
    <row r="2925" spans="1:5" x14ac:dyDescent="0.2">
      <c r="A2925">
        <v>2918</v>
      </c>
      <c r="B2925">
        <v>2805</v>
      </c>
      <c r="C2925">
        <v>16</v>
      </c>
      <c r="D2925">
        <v>3.8</v>
      </c>
      <c r="E2925">
        <v>2</v>
      </c>
    </row>
    <row r="2926" spans="1:5" x14ac:dyDescent="0.2">
      <c r="A2926">
        <v>2919</v>
      </c>
      <c r="B2926">
        <v>2806</v>
      </c>
      <c r="C2926">
        <v>16</v>
      </c>
      <c r="D2926">
        <v>3.8</v>
      </c>
      <c r="E2926">
        <v>2.1</v>
      </c>
    </row>
    <row r="2927" spans="1:5" x14ac:dyDescent="0.2">
      <c r="A2927">
        <v>2920</v>
      </c>
      <c r="B2927">
        <v>2807</v>
      </c>
      <c r="C2927">
        <v>17</v>
      </c>
      <c r="D2927">
        <v>3.8</v>
      </c>
      <c r="E2927">
        <v>2.1</v>
      </c>
    </row>
    <row r="2928" spans="1:5" x14ac:dyDescent="0.2">
      <c r="A2928">
        <v>2921</v>
      </c>
      <c r="B2928">
        <v>2808</v>
      </c>
      <c r="C2928">
        <v>17</v>
      </c>
      <c r="D2928">
        <v>3.8</v>
      </c>
      <c r="E2928">
        <v>2.1</v>
      </c>
    </row>
    <row r="2929" spans="1:5" x14ac:dyDescent="0.2">
      <c r="A2929">
        <v>2922</v>
      </c>
      <c r="B2929">
        <v>2809</v>
      </c>
      <c r="C2929">
        <v>17</v>
      </c>
      <c r="D2929">
        <v>3.7</v>
      </c>
      <c r="E2929">
        <v>2.1</v>
      </c>
    </row>
    <row r="2930" spans="1:5" x14ac:dyDescent="0.2">
      <c r="A2930">
        <v>2923</v>
      </c>
      <c r="B2930">
        <v>2810</v>
      </c>
      <c r="C2930">
        <v>17</v>
      </c>
      <c r="D2930">
        <v>3.7</v>
      </c>
      <c r="E2930">
        <v>2.1</v>
      </c>
    </row>
    <row r="2931" spans="1:5" x14ac:dyDescent="0.2">
      <c r="A2931">
        <v>2924</v>
      </c>
      <c r="B2931">
        <v>2812</v>
      </c>
      <c r="C2931">
        <v>17</v>
      </c>
      <c r="D2931">
        <v>3.7</v>
      </c>
      <c r="E2931">
        <v>2.1</v>
      </c>
    </row>
    <row r="2932" spans="1:5" x14ac:dyDescent="0.2">
      <c r="A2932">
        <v>2925</v>
      </c>
      <c r="B2932">
        <v>2813</v>
      </c>
      <c r="C2932">
        <v>17</v>
      </c>
      <c r="D2932">
        <v>3.7</v>
      </c>
      <c r="E2932">
        <v>2.1</v>
      </c>
    </row>
    <row r="2933" spans="1:5" x14ac:dyDescent="0.2">
      <c r="A2933">
        <v>2926</v>
      </c>
      <c r="B2933">
        <v>2814</v>
      </c>
      <c r="C2933">
        <v>17</v>
      </c>
      <c r="D2933">
        <v>3.6</v>
      </c>
      <c r="E2933">
        <v>2.1</v>
      </c>
    </row>
    <row r="2934" spans="1:5" x14ac:dyDescent="0.2">
      <c r="A2934">
        <v>2927</v>
      </c>
      <c r="B2934">
        <v>2816</v>
      </c>
      <c r="C2934">
        <v>16</v>
      </c>
      <c r="D2934">
        <v>3.6</v>
      </c>
      <c r="E2934">
        <v>2</v>
      </c>
    </row>
    <row r="2935" spans="1:5" x14ac:dyDescent="0.2">
      <c r="A2935">
        <v>2928</v>
      </c>
      <c r="B2935">
        <v>2817</v>
      </c>
      <c r="C2935">
        <v>16</v>
      </c>
      <c r="D2935">
        <v>3.5</v>
      </c>
      <c r="E2935">
        <v>2</v>
      </c>
    </row>
    <row r="2936" spans="1:5" x14ac:dyDescent="0.2">
      <c r="A2936">
        <v>2929</v>
      </c>
      <c r="B2936">
        <v>2818</v>
      </c>
      <c r="C2936">
        <v>16</v>
      </c>
      <c r="D2936">
        <v>3.5</v>
      </c>
      <c r="E2936">
        <v>2</v>
      </c>
    </row>
    <row r="2937" spans="1:5" x14ac:dyDescent="0.2">
      <c r="A2937">
        <v>2930</v>
      </c>
      <c r="B2937">
        <v>2819</v>
      </c>
      <c r="C2937">
        <v>16</v>
      </c>
      <c r="D2937">
        <v>3.5</v>
      </c>
      <c r="E2937">
        <v>2</v>
      </c>
    </row>
    <row r="2938" spans="1:5" x14ac:dyDescent="0.2">
      <c r="A2938">
        <v>2931</v>
      </c>
      <c r="B2938">
        <v>2821</v>
      </c>
      <c r="C2938">
        <v>16</v>
      </c>
      <c r="D2938">
        <v>3.4</v>
      </c>
      <c r="E2938">
        <v>2</v>
      </c>
    </row>
    <row r="2939" spans="1:5" x14ac:dyDescent="0.2">
      <c r="A2939">
        <v>2932</v>
      </c>
      <c r="B2939">
        <v>2822</v>
      </c>
      <c r="C2939">
        <v>16</v>
      </c>
      <c r="D2939">
        <v>3.4</v>
      </c>
      <c r="E2939">
        <v>2</v>
      </c>
    </row>
    <row r="2940" spans="1:5" x14ac:dyDescent="0.2">
      <c r="A2940">
        <v>2933</v>
      </c>
      <c r="B2940">
        <v>2823</v>
      </c>
      <c r="C2940">
        <v>16</v>
      </c>
      <c r="D2940">
        <v>3.4</v>
      </c>
      <c r="E2940">
        <v>2.1</v>
      </c>
    </row>
    <row r="2941" spans="1:5" x14ac:dyDescent="0.2">
      <c r="A2941">
        <v>2934</v>
      </c>
      <c r="B2941">
        <v>2824</v>
      </c>
      <c r="C2941">
        <v>17</v>
      </c>
      <c r="D2941">
        <v>3.4</v>
      </c>
      <c r="E2941">
        <v>2.1</v>
      </c>
    </row>
    <row r="2942" spans="1:5" x14ac:dyDescent="0.2">
      <c r="A2942">
        <v>2935</v>
      </c>
      <c r="B2942">
        <v>2825</v>
      </c>
      <c r="C2942">
        <v>17</v>
      </c>
      <c r="D2942">
        <v>3.4</v>
      </c>
      <c r="E2942">
        <v>2.2000000000000002</v>
      </c>
    </row>
    <row r="2943" spans="1:5" x14ac:dyDescent="0.2">
      <c r="A2943">
        <v>2936</v>
      </c>
      <c r="B2943">
        <v>2825</v>
      </c>
      <c r="C2943">
        <v>18</v>
      </c>
      <c r="D2943">
        <v>3.4</v>
      </c>
      <c r="E2943">
        <v>2.2000000000000002</v>
      </c>
    </row>
    <row r="2944" spans="1:5" x14ac:dyDescent="0.2">
      <c r="A2944">
        <v>2937</v>
      </c>
      <c r="B2944">
        <v>2826</v>
      </c>
      <c r="C2944">
        <v>18</v>
      </c>
      <c r="D2944">
        <v>3.5</v>
      </c>
      <c r="E2944">
        <v>2.2000000000000002</v>
      </c>
    </row>
    <row r="2945" spans="1:5" x14ac:dyDescent="0.2">
      <c r="A2945">
        <v>2938</v>
      </c>
      <c r="B2945">
        <v>2826</v>
      </c>
      <c r="C2945">
        <v>18</v>
      </c>
      <c r="D2945">
        <v>3.5</v>
      </c>
      <c r="E2945">
        <v>2.2999999999999998</v>
      </c>
    </row>
    <row r="2946" spans="1:5" x14ac:dyDescent="0.2">
      <c r="A2946">
        <v>2939</v>
      </c>
      <c r="B2946">
        <v>2827</v>
      </c>
      <c r="C2946">
        <v>18</v>
      </c>
      <c r="D2946">
        <v>3.6</v>
      </c>
      <c r="E2946">
        <v>2.2999999999999998</v>
      </c>
    </row>
    <row r="2947" spans="1:5" x14ac:dyDescent="0.2">
      <c r="A2947">
        <v>2940</v>
      </c>
      <c r="B2947">
        <v>2827</v>
      </c>
      <c r="C2947">
        <v>18</v>
      </c>
      <c r="D2947">
        <v>3.7</v>
      </c>
      <c r="E2947">
        <v>2.2000000000000002</v>
      </c>
    </row>
    <row r="2948" spans="1:5" x14ac:dyDescent="0.2">
      <c r="A2948">
        <v>2941</v>
      </c>
      <c r="B2948">
        <v>2827</v>
      </c>
      <c r="C2948">
        <v>18</v>
      </c>
      <c r="D2948">
        <v>3.9</v>
      </c>
      <c r="E2948">
        <v>2.2000000000000002</v>
      </c>
    </row>
    <row r="2949" spans="1:5" x14ac:dyDescent="0.2">
      <c r="A2949">
        <v>2942</v>
      </c>
      <c r="B2949">
        <v>2827</v>
      </c>
      <c r="C2949">
        <v>17</v>
      </c>
      <c r="D2949">
        <v>4</v>
      </c>
      <c r="E2949">
        <v>2.2000000000000002</v>
      </c>
    </row>
    <row r="2950" spans="1:5" x14ac:dyDescent="0.2">
      <c r="A2950">
        <v>2943</v>
      </c>
      <c r="B2950">
        <v>2827</v>
      </c>
      <c r="C2950">
        <v>17</v>
      </c>
      <c r="D2950">
        <v>4.0999999999999996</v>
      </c>
      <c r="E2950">
        <v>2.1</v>
      </c>
    </row>
    <row r="2951" spans="1:5" x14ac:dyDescent="0.2">
      <c r="A2951">
        <v>2944</v>
      </c>
      <c r="B2951">
        <v>2827</v>
      </c>
      <c r="C2951">
        <v>17</v>
      </c>
      <c r="D2951">
        <v>4.2</v>
      </c>
      <c r="E2951">
        <v>2.1</v>
      </c>
    </row>
    <row r="2952" spans="1:5" x14ac:dyDescent="0.2">
      <c r="A2952">
        <v>2945</v>
      </c>
      <c r="B2952">
        <v>2827</v>
      </c>
      <c r="C2952">
        <v>16</v>
      </c>
      <c r="D2952">
        <v>4.3</v>
      </c>
      <c r="E2952">
        <v>2</v>
      </c>
    </row>
    <row r="2953" spans="1:5" x14ac:dyDescent="0.2">
      <c r="A2953">
        <v>2946</v>
      </c>
      <c r="B2953">
        <v>2827</v>
      </c>
      <c r="C2953">
        <v>16</v>
      </c>
      <c r="D2953">
        <v>4.4000000000000004</v>
      </c>
      <c r="E2953">
        <v>2</v>
      </c>
    </row>
    <row r="2954" spans="1:5" x14ac:dyDescent="0.2">
      <c r="A2954">
        <v>2947</v>
      </c>
      <c r="B2954">
        <v>2827</v>
      </c>
      <c r="C2954">
        <v>16</v>
      </c>
      <c r="D2954">
        <v>4.5</v>
      </c>
      <c r="E2954">
        <v>2</v>
      </c>
    </row>
    <row r="2955" spans="1:5" x14ac:dyDescent="0.2">
      <c r="A2955">
        <v>2948</v>
      </c>
      <c r="B2955">
        <v>2828</v>
      </c>
      <c r="C2955">
        <v>16</v>
      </c>
      <c r="D2955">
        <v>4.5999999999999996</v>
      </c>
      <c r="E2955">
        <v>2.1</v>
      </c>
    </row>
    <row r="2956" spans="1:5" x14ac:dyDescent="0.2">
      <c r="A2956">
        <v>2949</v>
      </c>
      <c r="B2956">
        <v>2828</v>
      </c>
      <c r="C2956">
        <v>17</v>
      </c>
      <c r="D2956">
        <v>4.7</v>
      </c>
      <c r="E2956">
        <v>2.1</v>
      </c>
    </row>
    <row r="2957" spans="1:5" x14ac:dyDescent="0.2">
      <c r="A2957">
        <v>2950</v>
      </c>
      <c r="B2957">
        <v>2829</v>
      </c>
      <c r="C2957">
        <v>17</v>
      </c>
      <c r="D2957">
        <v>4.7</v>
      </c>
      <c r="E2957">
        <v>2.1</v>
      </c>
    </row>
    <row r="2958" spans="1:5" x14ac:dyDescent="0.2">
      <c r="A2958">
        <v>2951</v>
      </c>
      <c r="B2958">
        <v>2830</v>
      </c>
      <c r="C2958">
        <v>17</v>
      </c>
      <c r="D2958">
        <v>4.7</v>
      </c>
      <c r="E2958">
        <v>2.1</v>
      </c>
    </row>
    <row r="2959" spans="1:5" x14ac:dyDescent="0.2">
      <c r="A2959">
        <v>2952</v>
      </c>
      <c r="B2959">
        <v>2831</v>
      </c>
      <c r="C2959">
        <v>17</v>
      </c>
      <c r="D2959">
        <v>4.5999999999999996</v>
      </c>
      <c r="E2959">
        <v>2.2000000000000002</v>
      </c>
    </row>
    <row r="2960" spans="1:5" x14ac:dyDescent="0.2">
      <c r="A2960">
        <v>2953</v>
      </c>
      <c r="B2960">
        <v>2833</v>
      </c>
      <c r="C2960">
        <v>17</v>
      </c>
      <c r="D2960">
        <v>4.5</v>
      </c>
      <c r="E2960">
        <v>2.2000000000000002</v>
      </c>
    </row>
    <row r="2961" spans="1:5" x14ac:dyDescent="0.2">
      <c r="A2961">
        <v>2954</v>
      </c>
      <c r="B2961">
        <v>2835</v>
      </c>
      <c r="C2961">
        <v>17</v>
      </c>
      <c r="D2961">
        <v>4.4000000000000004</v>
      </c>
      <c r="E2961">
        <v>2.2000000000000002</v>
      </c>
    </row>
    <row r="2962" spans="1:5" x14ac:dyDescent="0.2">
      <c r="A2962">
        <v>2955</v>
      </c>
      <c r="B2962">
        <v>2837</v>
      </c>
      <c r="C2962">
        <v>17</v>
      </c>
      <c r="D2962">
        <v>4.2</v>
      </c>
      <c r="E2962">
        <v>2.1</v>
      </c>
    </row>
    <row r="2963" spans="1:5" x14ac:dyDescent="0.2">
      <c r="A2963">
        <v>2956</v>
      </c>
      <c r="B2963">
        <v>2840</v>
      </c>
      <c r="C2963">
        <v>17</v>
      </c>
      <c r="D2963">
        <v>4</v>
      </c>
      <c r="E2963">
        <v>2.1</v>
      </c>
    </row>
    <row r="2964" spans="1:5" x14ac:dyDescent="0.2">
      <c r="A2964">
        <v>2957</v>
      </c>
      <c r="B2964">
        <v>2843</v>
      </c>
      <c r="C2964">
        <v>16</v>
      </c>
      <c r="D2964">
        <v>3.8</v>
      </c>
      <c r="E2964">
        <v>2.1</v>
      </c>
    </row>
    <row r="2965" spans="1:5" x14ac:dyDescent="0.2">
      <c r="A2965">
        <v>2958</v>
      </c>
      <c r="B2965">
        <v>2846</v>
      </c>
      <c r="C2965">
        <v>16</v>
      </c>
      <c r="D2965">
        <v>3.5</v>
      </c>
      <c r="E2965">
        <v>2</v>
      </c>
    </row>
    <row r="2966" spans="1:5" x14ac:dyDescent="0.2">
      <c r="A2966">
        <v>2959</v>
      </c>
      <c r="B2966">
        <v>2849</v>
      </c>
      <c r="C2966">
        <v>16</v>
      </c>
      <c r="D2966">
        <v>3.3</v>
      </c>
      <c r="E2966">
        <v>2</v>
      </c>
    </row>
    <row r="2967" spans="1:5" x14ac:dyDescent="0.2">
      <c r="A2967">
        <v>2960</v>
      </c>
      <c r="B2967">
        <v>2852</v>
      </c>
      <c r="C2967">
        <v>15</v>
      </c>
      <c r="D2967">
        <v>3</v>
      </c>
      <c r="E2967">
        <v>1.9</v>
      </c>
    </row>
    <row r="2968" spans="1:5" x14ac:dyDescent="0.2">
      <c r="A2968">
        <v>2961</v>
      </c>
      <c r="B2968">
        <v>2856</v>
      </c>
      <c r="C2968">
        <v>15</v>
      </c>
      <c r="D2968">
        <v>2.7</v>
      </c>
      <c r="E2968">
        <v>1.9</v>
      </c>
    </row>
    <row r="2969" spans="1:5" x14ac:dyDescent="0.2">
      <c r="A2969">
        <v>2962</v>
      </c>
      <c r="B2969">
        <v>2859</v>
      </c>
      <c r="C2969">
        <v>15</v>
      </c>
      <c r="D2969">
        <v>2.4</v>
      </c>
      <c r="E2969">
        <v>1.9</v>
      </c>
    </row>
    <row r="2970" spans="1:5" x14ac:dyDescent="0.2">
      <c r="A2970">
        <v>2963</v>
      </c>
      <c r="B2970">
        <v>2862</v>
      </c>
      <c r="C2970">
        <v>15</v>
      </c>
      <c r="D2970">
        <v>2.1</v>
      </c>
      <c r="E2970">
        <v>1.9</v>
      </c>
    </row>
    <row r="2971" spans="1:5" x14ac:dyDescent="0.2">
      <c r="A2971">
        <v>2964</v>
      </c>
      <c r="B2971">
        <v>2865</v>
      </c>
      <c r="C2971">
        <v>16</v>
      </c>
      <c r="D2971">
        <v>1.9</v>
      </c>
      <c r="E2971">
        <v>2</v>
      </c>
    </row>
    <row r="2972" spans="1:5" x14ac:dyDescent="0.2">
      <c r="A2972">
        <v>2965</v>
      </c>
      <c r="B2972">
        <v>2868</v>
      </c>
      <c r="C2972">
        <v>16</v>
      </c>
      <c r="D2972">
        <v>1.6</v>
      </c>
      <c r="E2972">
        <v>2</v>
      </c>
    </row>
    <row r="2973" spans="1:5" x14ac:dyDescent="0.2">
      <c r="A2973">
        <v>2966</v>
      </c>
      <c r="B2973">
        <v>2871</v>
      </c>
      <c r="C2973">
        <v>16</v>
      </c>
      <c r="D2973">
        <v>1.4</v>
      </c>
      <c r="E2973">
        <v>2</v>
      </c>
    </row>
    <row r="2974" spans="1:5" x14ac:dyDescent="0.2">
      <c r="A2974">
        <v>2967</v>
      </c>
      <c r="B2974">
        <v>2873</v>
      </c>
      <c r="C2974">
        <v>17</v>
      </c>
      <c r="D2974">
        <v>1.2</v>
      </c>
      <c r="E2974">
        <v>2.1</v>
      </c>
    </row>
    <row r="2975" spans="1:5" x14ac:dyDescent="0.2">
      <c r="A2975">
        <v>2968</v>
      </c>
      <c r="B2975">
        <v>2875</v>
      </c>
      <c r="C2975">
        <v>17</v>
      </c>
      <c r="D2975">
        <v>1.1000000000000001</v>
      </c>
      <c r="E2975">
        <v>2.2000000000000002</v>
      </c>
    </row>
    <row r="2976" spans="1:5" x14ac:dyDescent="0.2">
      <c r="A2976">
        <v>2969</v>
      </c>
      <c r="B2976">
        <v>2877</v>
      </c>
      <c r="C2976">
        <v>18</v>
      </c>
      <c r="D2976">
        <v>1</v>
      </c>
      <c r="E2976">
        <v>2.2000000000000002</v>
      </c>
    </row>
    <row r="2977" spans="1:5" x14ac:dyDescent="0.2">
      <c r="A2977">
        <v>2970</v>
      </c>
      <c r="B2977">
        <v>2878</v>
      </c>
      <c r="C2977">
        <v>18</v>
      </c>
      <c r="D2977">
        <v>0.9</v>
      </c>
      <c r="E2977">
        <v>2.2000000000000002</v>
      </c>
    </row>
    <row r="2978" spans="1:5" x14ac:dyDescent="0.2">
      <c r="A2978">
        <v>2971</v>
      </c>
      <c r="B2978">
        <v>2879</v>
      </c>
      <c r="C2978">
        <v>18</v>
      </c>
      <c r="D2978">
        <v>0.9</v>
      </c>
      <c r="E2978">
        <v>2.2999999999999998</v>
      </c>
    </row>
    <row r="2979" spans="1:5" x14ac:dyDescent="0.2">
      <c r="A2979">
        <v>2972</v>
      </c>
      <c r="B2979">
        <v>2880</v>
      </c>
      <c r="C2979">
        <v>18</v>
      </c>
      <c r="D2979">
        <v>1</v>
      </c>
      <c r="E2979">
        <v>2.2999999999999998</v>
      </c>
    </row>
    <row r="2980" spans="1:5" x14ac:dyDescent="0.2">
      <c r="A2980">
        <v>2973</v>
      </c>
      <c r="B2980">
        <v>2880</v>
      </c>
      <c r="C2980">
        <v>18</v>
      </c>
      <c r="D2980">
        <v>1.1000000000000001</v>
      </c>
      <c r="E2980">
        <v>2.2000000000000002</v>
      </c>
    </row>
    <row r="2981" spans="1:5" x14ac:dyDescent="0.2">
      <c r="A2981">
        <v>2974</v>
      </c>
      <c r="B2981">
        <v>2880</v>
      </c>
      <c r="C2981">
        <v>18</v>
      </c>
      <c r="D2981">
        <v>1.3</v>
      </c>
      <c r="E2981">
        <v>2.2000000000000002</v>
      </c>
    </row>
    <row r="2982" spans="1:5" x14ac:dyDescent="0.2">
      <c r="A2982">
        <v>2975</v>
      </c>
      <c r="B2982">
        <v>2879</v>
      </c>
      <c r="C2982">
        <v>17</v>
      </c>
      <c r="D2982">
        <v>1.5</v>
      </c>
      <c r="E2982">
        <v>2.2000000000000002</v>
      </c>
    </row>
    <row r="2983" spans="1:5" x14ac:dyDescent="0.2">
      <c r="A2983">
        <v>2976</v>
      </c>
      <c r="B2983">
        <v>2878</v>
      </c>
      <c r="C2983">
        <v>17</v>
      </c>
      <c r="D2983">
        <v>1.7</v>
      </c>
      <c r="E2983">
        <v>2.1</v>
      </c>
    </row>
    <row r="2984" spans="1:5" x14ac:dyDescent="0.2">
      <c r="A2984">
        <v>2977</v>
      </c>
      <c r="B2984">
        <v>2877</v>
      </c>
      <c r="C2984">
        <v>17</v>
      </c>
      <c r="D2984">
        <v>1.9</v>
      </c>
      <c r="E2984">
        <v>2.1</v>
      </c>
    </row>
    <row r="2985" spans="1:5" x14ac:dyDescent="0.2">
      <c r="A2985">
        <v>2978</v>
      </c>
      <c r="B2985">
        <v>2876</v>
      </c>
      <c r="C2985">
        <v>17</v>
      </c>
      <c r="D2985">
        <v>2.2000000000000002</v>
      </c>
      <c r="E2985">
        <v>2.1</v>
      </c>
    </row>
    <row r="2986" spans="1:5" x14ac:dyDescent="0.2">
      <c r="A2986">
        <v>2979</v>
      </c>
      <c r="B2986">
        <v>2874</v>
      </c>
      <c r="C2986">
        <v>16</v>
      </c>
      <c r="D2986">
        <v>2.5</v>
      </c>
      <c r="E2986">
        <v>2</v>
      </c>
    </row>
    <row r="2987" spans="1:5" x14ac:dyDescent="0.2">
      <c r="A2987">
        <v>2980</v>
      </c>
      <c r="B2987">
        <v>2873</v>
      </c>
      <c r="C2987">
        <v>16</v>
      </c>
      <c r="D2987">
        <v>2.8</v>
      </c>
      <c r="E2987">
        <v>2</v>
      </c>
    </row>
    <row r="2988" spans="1:5" x14ac:dyDescent="0.2">
      <c r="A2988">
        <v>2981</v>
      </c>
      <c r="B2988">
        <v>2872</v>
      </c>
      <c r="C2988">
        <v>16</v>
      </c>
      <c r="D2988">
        <v>3.1</v>
      </c>
      <c r="E2988">
        <v>2</v>
      </c>
    </row>
    <row r="2989" spans="1:5" x14ac:dyDescent="0.2">
      <c r="A2989">
        <v>2982</v>
      </c>
      <c r="B2989">
        <v>2870</v>
      </c>
      <c r="C2989">
        <v>16</v>
      </c>
      <c r="D2989">
        <v>3.4</v>
      </c>
      <c r="E2989">
        <v>2.1</v>
      </c>
    </row>
    <row r="2990" spans="1:5" x14ac:dyDescent="0.2">
      <c r="A2990">
        <v>2983</v>
      </c>
      <c r="B2990">
        <v>2869</v>
      </c>
      <c r="C2990">
        <v>17</v>
      </c>
      <c r="D2990">
        <v>3.7</v>
      </c>
      <c r="E2990">
        <v>2.1</v>
      </c>
    </row>
    <row r="2991" spans="1:5" x14ac:dyDescent="0.2">
      <c r="A2991">
        <v>2984</v>
      </c>
      <c r="B2991">
        <v>2868</v>
      </c>
      <c r="C2991">
        <v>17</v>
      </c>
      <c r="D2991">
        <v>4</v>
      </c>
      <c r="E2991">
        <v>2.1</v>
      </c>
    </row>
    <row r="2992" spans="1:5" x14ac:dyDescent="0.2">
      <c r="A2992">
        <v>2985</v>
      </c>
      <c r="B2992">
        <v>2867</v>
      </c>
      <c r="C2992">
        <v>17</v>
      </c>
      <c r="D2992">
        <v>4.2</v>
      </c>
      <c r="E2992">
        <v>2.2000000000000002</v>
      </c>
    </row>
    <row r="2993" spans="1:5" x14ac:dyDescent="0.2">
      <c r="A2993">
        <v>2986</v>
      </c>
      <c r="B2993">
        <v>2866</v>
      </c>
      <c r="C2993">
        <v>18</v>
      </c>
      <c r="D2993">
        <v>4.5</v>
      </c>
      <c r="E2993">
        <v>2.2000000000000002</v>
      </c>
    </row>
    <row r="2994" spans="1:5" x14ac:dyDescent="0.2">
      <c r="A2994">
        <v>2987</v>
      </c>
      <c r="B2994">
        <v>2865</v>
      </c>
      <c r="C2994">
        <v>18</v>
      </c>
      <c r="D2994">
        <v>4.5999999999999996</v>
      </c>
      <c r="E2994">
        <v>2.2999999999999998</v>
      </c>
    </row>
    <row r="2995" spans="1:5" x14ac:dyDescent="0.2">
      <c r="A2995">
        <v>2988</v>
      </c>
      <c r="B2995">
        <v>2865</v>
      </c>
      <c r="C2995">
        <v>18</v>
      </c>
      <c r="D2995">
        <v>4.8</v>
      </c>
      <c r="E2995">
        <v>2.2999999999999998</v>
      </c>
    </row>
    <row r="2996" spans="1:5" x14ac:dyDescent="0.2">
      <c r="A2996">
        <v>2989</v>
      </c>
      <c r="B2996">
        <v>2865</v>
      </c>
      <c r="C2996">
        <v>18</v>
      </c>
      <c r="D2996">
        <v>4.9000000000000004</v>
      </c>
      <c r="E2996">
        <v>2.2999999999999998</v>
      </c>
    </row>
    <row r="2997" spans="1:5" x14ac:dyDescent="0.2">
      <c r="A2997">
        <v>2990</v>
      </c>
      <c r="B2997">
        <v>2866</v>
      </c>
      <c r="C2997">
        <v>18</v>
      </c>
      <c r="D2997">
        <v>4.9000000000000004</v>
      </c>
      <c r="E2997">
        <v>2.2999999999999998</v>
      </c>
    </row>
    <row r="2998" spans="1:5" x14ac:dyDescent="0.2">
      <c r="A2998">
        <v>2991</v>
      </c>
      <c r="B2998">
        <v>2867</v>
      </c>
      <c r="C2998">
        <v>18</v>
      </c>
      <c r="D2998">
        <v>4.9000000000000004</v>
      </c>
      <c r="E2998">
        <v>2.2999999999999998</v>
      </c>
    </row>
    <row r="2999" spans="1:5" x14ac:dyDescent="0.2">
      <c r="A2999">
        <v>2992</v>
      </c>
      <c r="B2999">
        <v>2868</v>
      </c>
      <c r="C2999">
        <v>18</v>
      </c>
      <c r="D2999">
        <v>4.9000000000000004</v>
      </c>
      <c r="E2999">
        <v>2.2000000000000002</v>
      </c>
    </row>
    <row r="3000" spans="1:5" x14ac:dyDescent="0.2">
      <c r="A3000">
        <v>2993</v>
      </c>
      <c r="B3000">
        <v>2870</v>
      </c>
      <c r="C3000">
        <v>17</v>
      </c>
      <c r="D3000">
        <v>4.8</v>
      </c>
      <c r="E3000">
        <v>2.2000000000000002</v>
      </c>
    </row>
    <row r="3001" spans="1:5" x14ac:dyDescent="0.2">
      <c r="A3001">
        <v>2994</v>
      </c>
      <c r="B3001">
        <v>2872</v>
      </c>
      <c r="C3001">
        <v>17</v>
      </c>
      <c r="D3001">
        <v>4.5999999999999996</v>
      </c>
      <c r="E3001">
        <v>2.1</v>
      </c>
    </row>
    <row r="3002" spans="1:5" x14ac:dyDescent="0.2">
      <c r="A3002">
        <v>2995</v>
      </c>
      <c r="B3002">
        <v>2875</v>
      </c>
      <c r="C3002">
        <v>17</v>
      </c>
      <c r="D3002">
        <v>4.4000000000000004</v>
      </c>
      <c r="E3002">
        <v>2.1</v>
      </c>
    </row>
    <row r="3003" spans="1:5" x14ac:dyDescent="0.2">
      <c r="A3003">
        <v>2996</v>
      </c>
      <c r="B3003">
        <v>2877</v>
      </c>
      <c r="C3003">
        <v>16</v>
      </c>
      <c r="D3003">
        <v>4.2</v>
      </c>
      <c r="E3003">
        <v>2</v>
      </c>
    </row>
    <row r="3004" spans="1:5" x14ac:dyDescent="0.2">
      <c r="A3004">
        <v>2997</v>
      </c>
      <c r="B3004">
        <v>2880</v>
      </c>
      <c r="C3004">
        <v>16</v>
      </c>
      <c r="D3004">
        <v>4</v>
      </c>
      <c r="E3004">
        <v>2</v>
      </c>
    </row>
    <row r="3005" spans="1:5" x14ac:dyDescent="0.2">
      <c r="A3005">
        <v>2998</v>
      </c>
      <c r="B3005">
        <v>2883</v>
      </c>
      <c r="C3005">
        <v>16</v>
      </c>
      <c r="D3005">
        <v>3.7</v>
      </c>
      <c r="E3005">
        <v>2</v>
      </c>
    </row>
    <row r="3006" spans="1:5" x14ac:dyDescent="0.2">
      <c r="A3006">
        <v>2999</v>
      </c>
      <c r="B3006">
        <v>2886</v>
      </c>
      <c r="C3006">
        <v>16</v>
      </c>
      <c r="D3006">
        <v>3.5</v>
      </c>
      <c r="E3006">
        <v>2</v>
      </c>
    </row>
    <row r="3007" spans="1:5" x14ac:dyDescent="0.2">
      <c r="A3007">
        <v>3000</v>
      </c>
      <c r="B3007">
        <v>2889</v>
      </c>
      <c r="C3007">
        <v>16</v>
      </c>
      <c r="D3007">
        <v>3.3</v>
      </c>
      <c r="E3007">
        <v>2</v>
      </c>
    </row>
    <row r="3008" spans="1:5" x14ac:dyDescent="0.2">
      <c r="A3008">
        <v>3001</v>
      </c>
      <c r="B3008">
        <v>2892</v>
      </c>
      <c r="C3008">
        <v>16</v>
      </c>
      <c r="D3008">
        <v>3</v>
      </c>
      <c r="E3008">
        <v>2.1</v>
      </c>
    </row>
    <row r="3009" spans="1:5" x14ac:dyDescent="0.2">
      <c r="A3009">
        <v>3002</v>
      </c>
      <c r="B3009">
        <v>2895</v>
      </c>
      <c r="C3009">
        <v>17</v>
      </c>
      <c r="D3009">
        <v>2.8</v>
      </c>
      <c r="E3009">
        <v>2.1</v>
      </c>
    </row>
    <row r="3010" spans="1:5" x14ac:dyDescent="0.2">
      <c r="A3010">
        <v>3003</v>
      </c>
      <c r="B3010">
        <v>2897</v>
      </c>
      <c r="C3010">
        <v>17</v>
      </c>
      <c r="D3010">
        <v>2.6</v>
      </c>
      <c r="E3010">
        <v>2.2000000000000002</v>
      </c>
    </row>
    <row r="3011" spans="1:5" x14ac:dyDescent="0.2">
      <c r="A3011">
        <v>3004</v>
      </c>
      <c r="B3011">
        <v>2900</v>
      </c>
      <c r="C3011">
        <v>18</v>
      </c>
      <c r="D3011">
        <v>2.4</v>
      </c>
      <c r="E3011">
        <v>2.2000000000000002</v>
      </c>
    </row>
    <row r="3012" spans="1:5" x14ac:dyDescent="0.2">
      <c r="A3012">
        <v>3005</v>
      </c>
      <c r="B3012">
        <v>2902</v>
      </c>
      <c r="C3012">
        <v>18</v>
      </c>
      <c r="D3012">
        <v>2.2999999999999998</v>
      </c>
      <c r="E3012">
        <v>2.2000000000000002</v>
      </c>
    </row>
    <row r="3013" spans="1:5" x14ac:dyDescent="0.2">
      <c r="A3013">
        <v>3006</v>
      </c>
      <c r="B3013">
        <v>2903</v>
      </c>
      <c r="C3013">
        <v>18</v>
      </c>
      <c r="D3013">
        <v>2.2000000000000002</v>
      </c>
      <c r="E3013">
        <v>2.2999999999999998</v>
      </c>
    </row>
    <row r="3014" spans="1:5" x14ac:dyDescent="0.2">
      <c r="A3014">
        <v>3007</v>
      </c>
      <c r="B3014">
        <v>2904</v>
      </c>
      <c r="C3014">
        <v>18</v>
      </c>
      <c r="D3014">
        <v>2.2000000000000002</v>
      </c>
      <c r="E3014">
        <v>2.2999999999999998</v>
      </c>
    </row>
    <row r="3015" spans="1:5" x14ac:dyDescent="0.2">
      <c r="A3015">
        <v>3008</v>
      </c>
      <c r="B3015">
        <v>2905</v>
      </c>
      <c r="C3015">
        <v>18</v>
      </c>
      <c r="D3015">
        <v>2.2000000000000002</v>
      </c>
      <c r="E3015">
        <v>2.2999999999999998</v>
      </c>
    </row>
    <row r="3016" spans="1:5" x14ac:dyDescent="0.2">
      <c r="A3016">
        <v>3009</v>
      </c>
      <c r="B3016">
        <v>2906</v>
      </c>
      <c r="C3016">
        <v>18</v>
      </c>
      <c r="D3016">
        <v>2.2999999999999998</v>
      </c>
      <c r="E3016">
        <v>2.2000000000000002</v>
      </c>
    </row>
    <row r="3017" spans="1:5" x14ac:dyDescent="0.2">
      <c r="A3017">
        <v>3010</v>
      </c>
      <c r="B3017">
        <v>2906</v>
      </c>
      <c r="C3017">
        <v>18</v>
      </c>
      <c r="D3017">
        <v>2.4</v>
      </c>
      <c r="E3017">
        <v>2.2000000000000002</v>
      </c>
    </row>
    <row r="3018" spans="1:5" x14ac:dyDescent="0.2">
      <c r="A3018">
        <v>3011</v>
      </c>
      <c r="B3018">
        <v>2906</v>
      </c>
      <c r="C3018">
        <v>17</v>
      </c>
      <c r="D3018">
        <v>2.5</v>
      </c>
      <c r="E3018">
        <v>2.2000000000000002</v>
      </c>
    </row>
    <row r="3019" spans="1:5" x14ac:dyDescent="0.2">
      <c r="A3019">
        <v>3012</v>
      </c>
      <c r="B3019">
        <v>2905</v>
      </c>
      <c r="C3019">
        <v>17</v>
      </c>
      <c r="D3019">
        <v>2.7</v>
      </c>
      <c r="E3019">
        <v>2.1</v>
      </c>
    </row>
    <row r="3020" spans="1:5" x14ac:dyDescent="0.2">
      <c r="A3020">
        <v>3013</v>
      </c>
      <c r="B3020">
        <v>2904</v>
      </c>
      <c r="C3020">
        <v>17</v>
      </c>
      <c r="D3020">
        <v>2.9</v>
      </c>
      <c r="E3020">
        <v>2.1</v>
      </c>
    </row>
    <row r="3021" spans="1:5" x14ac:dyDescent="0.2">
      <c r="A3021">
        <v>3014</v>
      </c>
      <c r="B3021">
        <v>2904</v>
      </c>
      <c r="C3021">
        <v>17</v>
      </c>
      <c r="D3021">
        <v>3.1</v>
      </c>
      <c r="E3021">
        <v>2.1</v>
      </c>
    </row>
    <row r="3022" spans="1:5" x14ac:dyDescent="0.2">
      <c r="A3022">
        <v>3015</v>
      </c>
      <c r="B3022">
        <v>2903</v>
      </c>
      <c r="C3022">
        <v>17</v>
      </c>
      <c r="D3022">
        <v>3.4</v>
      </c>
      <c r="E3022">
        <v>2.1</v>
      </c>
    </row>
    <row r="3023" spans="1:5" x14ac:dyDescent="0.2">
      <c r="A3023">
        <v>3016</v>
      </c>
      <c r="B3023">
        <v>2902</v>
      </c>
      <c r="C3023">
        <v>17</v>
      </c>
      <c r="D3023">
        <v>3.6</v>
      </c>
      <c r="E3023">
        <v>2.1</v>
      </c>
    </row>
    <row r="3024" spans="1:5" x14ac:dyDescent="0.2">
      <c r="A3024">
        <v>3017</v>
      </c>
      <c r="B3024">
        <v>2901</v>
      </c>
      <c r="C3024">
        <v>17</v>
      </c>
      <c r="D3024">
        <v>3.9</v>
      </c>
      <c r="E3024">
        <v>2.1</v>
      </c>
    </row>
    <row r="3025" spans="1:5" x14ac:dyDescent="0.2">
      <c r="A3025">
        <v>3018</v>
      </c>
      <c r="B3025">
        <v>2900</v>
      </c>
      <c r="C3025">
        <v>17</v>
      </c>
      <c r="D3025">
        <v>4.0999999999999996</v>
      </c>
      <c r="E3025">
        <v>2.2000000000000002</v>
      </c>
    </row>
    <row r="3026" spans="1:5" x14ac:dyDescent="0.2">
      <c r="A3026">
        <v>3019</v>
      </c>
      <c r="B3026">
        <v>2899</v>
      </c>
      <c r="C3026">
        <v>17</v>
      </c>
      <c r="D3026">
        <v>4.3</v>
      </c>
      <c r="E3026">
        <v>2.2000000000000002</v>
      </c>
    </row>
    <row r="3027" spans="1:5" x14ac:dyDescent="0.2">
      <c r="A3027">
        <v>3020</v>
      </c>
      <c r="B3027">
        <v>2898</v>
      </c>
      <c r="C3027">
        <v>18</v>
      </c>
      <c r="D3027">
        <v>4.5</v>
      </c>
      <c r="E3027">
        <v>2.2000000000000002</v>
      </c>
    </row>
    <row r="3028" spans="1:5" x14ac:dyDescent="0.2">
      <c r="A3028">
        <v>3021</v>
      </c>
      <c r="B3028">
        <v>2897</v>
      </c>
      <c r="C3028">
        <v>18</v>
      </c>
      <c r="D3028">
        <v>4.7</v>
      </c>
      <c r="E3028">
        <v>2.2999999999999998</v>
      </c>
    </row>
    <row r="3029" spans="1:5" x14ac:dyDescent="0.2">
      <c r="A3029">
        <v>3022</v>
      </c>
      <c r="B3029">
        <v>2897</v>
      </c>
      <c r="C3029">
        <v>18</v>
      </c>
      <c r="D3029">
        <v>4.9000000000000004</v>
      </c>
      <c r="E3029">
        <v>2.2999999999999998</v>
      </c>
    </row>
    <row r="3030" spans="1:5" x14ac:dyDescent="0.2">
      <c r="A3030">
        <v>3023</v>
      </c>
      <c r="B3030">
        <v>2897</v>
      </c>
      <c r="C3030">
        <v>18</v>
      </c>
      <c r="D3030">
        <v>5.0999999999999996</v>
      </c>
      <c r="E3030">
        <v>2.2999999999999998</v>
      </c>
    </row>
    <row r="3031" spans="1:5" x14ac:dyDescent="0.2">
      <c r="A3031">
        <v>3024</v>
      </c>
      <c r="B3031">
        <v>2897</v>
      </c>
      <c r="C3031">
        <v>18</v>
      </c>
      <c r="D3031">
        <v>5.2</v>
      </c>
      <c r="E3031">
        <v>2.2999999999999998</v>
      </c>
    </row>
    <row r="3032" spans="1:5" x14ac:dyDescent="0.2">
      <c r="A3032">
        <v>3025</v>
      </c>
      <c r="B3032">
        <v>2897</v>
      </c>
      <c r="C3032">
        <v>18</v>
      </c>
      <c r="D3032">
        <v>5.2</v>
      </c>
      <c r="E3032">
        <v>2.2000000000000002</v>
      </c>
    </row>
    <row r="3033" spans="1:5" x14ac:dyDescent="0.2">
      <c r="A3033">
        <v>3026</v>
      </c>
      <c r="B3033">
        <v>2898</v>
      </c>
      <c r="C3033">
        <v>18</v>
      </c>
      <c r="D3033">
        <v>5.3</v>
      </c>
      <c r="E3033">
        <v>2.2000000000000002</v>
      </c>
    </row>
    <row r="3034" spans="1:5" x14ac:dyDescent="0.2">
      <c r="A3034">
        <v>3027</v>
      </c>
      <c r="B3034">
        <v>2899</v>
      </c>
      <c r="C3034">
        <v>17</v>
      </c>
      <c r="D3034">
        <v>5.3</v>
      </c>
      <c r="E3034">
        <v>2.2000000000000002</v>
      </c>
    </row>
    <row r="3035" spans="1:5" x14ac:dyDescent="0.2">
      <c r="A3035">
        <v>3028</v>
      </c>
      <c r="B3035">
        <v>2899</v>
      </c>
      <c r="C3035">
        <v>17</v>
      </c>
      <c r="D3035">
        <v>5.4</v>
      </c>
      <c r="E3035">
        <v>2.1</v>
      </c>
    </row>
    <row r="3036" spans="1:5" x14ac:dyDescent="0.2">
      <c r="A3036">
        <v>3029</v>
      </c>
      <c r="B3036">
        <v>2900</v>
      </c>
      <c r="C3036">
        <v>17</v>
      </c>
      <c r="D3036">
        <v>5.4</v>
      </c>
      <c r="E3036">
        <v>2.1</v>
      </c>
    </row>
    <row r="3037" spans="1:5" x14ac:dyDescent="0.2">
      <c r="A3037">
        <v>3030</v>
      </c>
      <c r="B3037">
        <v>2901</v>
      </c>
      <c r="C3037">
        <v>17</v>
      </c>
      <c r="D3037">
        <v>5.4</v>
      </c>
      <c r="E3037">
        <v>2.1</v>
      </c>
    </row>
    <row r="3038" spans="1:5" x14ac:dyDescent="0.2">
      <c r="A3038">
        <v>3031</v>
      </c>
      <c r="B3038">
        <v>2902</v>
      </c>
      <c r="C3038">
        <v>17</v>
      </c>
      <c r="D3038">
        <v>5.4</v>
      </c>
      <c r="E3038">
        <v>2.2000000000000002</v>
      </c>
    </row>
    <row r="3039" spans="1:5" x14ac:dyDescent="0.2">
      <c r="A3039">
        <v>3032</v>
      </c>
      <c r="B3039">
        <v>2903</v>
      </c>
      <c r="C3039">
        <v>17</v>
      </c>
      <c r="D3039">
        <v>5.4</v>
      </c>
      <c r="E3039">
        <v>2.2000000000000002</v>
      </c>
    </row>
    <row r="3040" spans="1:5" x14ac:dyDescent="0.2">
      <c r="A3040">
        <v>3033</v>
      </c>
      <c r="B3040">
        <v>2903</v>
      </c>
      <c r="C3040">
        <v>18</v>
      </c>
      <c r="D3040">
        <v>5.5</v>
      </c>
      <c r="E3040">
        <v>2.2000000000000002</v>
      </c>
    </row>
    <row r="3041" spans="1:5" x14ac:dyDescent="0.2">
      <c r="A3041">
        <v>3034</v>
      </c>
      <c r="B3041">
        <v>2904</v>
      </c>
      <c r="C3041">
        <v>18</v>
      </c>
      <c r="D3041">
        <v>5.5</v>
      </c>
      <c r="E3041">
        <v>2.2999999999999998</v>
      </c>
    </row>
    <row r="3042" spans="1:5" x14ac:dyDescent="0.2">
      <c r="A3042">
        <v>3035</v>
      </c>
      <c r="B3042">
        <v>2904</v>
      </c>
      <c r="C3042">
        <v>18</v>
      </c>
      <c r="D3042">
        <v>5.6</v>
      </c>
      <c r="E3042">
        <v>2.2999999999999998</v>
      </c>
    </row>
    <row r="3043" spans="1:5" x14ac:dyDescent="0.2">
      <c r="A3043">
        <v>3036</v>
      </c>
      <c r="B3043">
        <v>2905</v>
      </c>
      <c r="C3043">
        <v>18</v>
      </c>
      <c r="D3043">
        <v>5.7</v>
      </c>
      <c r="E3043">
        <v>2.2999999999999998</v>
      </c>
    </row>
    <row r="3044" spans="1:5" x14ac:dyDescent="0.2">
      <c r="A3044">
        <v>3037</v>
      </c>
      <c r="B3044">
        <v>2905</v>
      </c>
      <c r="C3044">
        <v>18</v>
      </c>
      <c r="D3044">
        <v>5.7</v>
      </c>
      <c r="E3044">
        <v>2.2999999999999998</v>
      </c>
    </row>
    <row r="3045" spans="1:5" x14ac:dyDescent="0.2">
      <c r="A3045">
        <v>3038</v>
      </c>
      <c r="B3045">
        <v>2905</v>
      </c>
      <c r="C3045">
        <v>18</v>
      </c>
      <c r="D3045">
        <v>5.9</v>
      </c>
      <c r="E3045">
        <v>2.2999999999999998</v>
      </c>
    </row>
    <row r="3046" spans="1:5" x14ac:dyDescent="0.2">
      <c r="A3046">
        <v>3039</v>
      </c>
      <c r="B3046">
        <v>2905</v>
      </c>
      <c r="C3046">
        <v>18</v>
      </c>
      <c r="D3046">
        <v>6</v>
      </c>
      <c r="E3046">
        <v>2.2000000000000002</v>
      </c>
    </row>
    <row r="3047" spans="1:5" x14ac:dyDescent="0.2">
      <c r="A3047">
        <v>3040</v>
      </c>
      <c r="B3047">
        <v>2904</v>
      </c>
      <c r="C3047">
        <v>17</v>
      </c>
      <c r="D3047">
        <v>6.2</v>
      </c>
      <c r="E3047">
        <v>2.2000000000000002</v>
      </c>
    </row>
    <row r="3048" spans="1:5" x14ac:dyDescent="0.2">
      <c r="A3048">
        <v>3041</v>
      </c>
      <c r="B3048">
        <v>2903</v>
      </c>
      <c r="C3048">
        <v>17</v>
      </c>
      <c r="D3048">
        <v>6.4</v>
      </c>
      <c r="E3048">
        <v>2.1</v>
      </c>
    </row>
    <row r="3049" spans="1:5" x14ac:dyDescent="0.2">
      <c r="A3049">
        <v>3042</v>
      </c>
      <c r="B3049">
        <v>2903</v>
      </c>
      <c r="C3049">
        <v>17</v>
      </c>
      <c r="D3049">
        <v>6.6</v>
      </c>
      <c r="E3049">
        <v>2.1</v>
      </c>
    </row>
    <row r="3050" spans="1:5" x14ac:dyDescent="0.2">
      <c r="A3050">
        <v>3043</v>
      </c>
      <c r="B3050">
        <v>2902</v>
      </c>
      <c r="C3050">
        <v>16</v>
      </c>
      <c r="D3050">
        <v>6.9</v>
      </c>
      <c r="E3050">
        <v>2.1</v>
      </c>
    </row>
    <row r="3051" spans="1:5" x14ac:dyDescent="0.2">
      <c r="A3051">
        <v>3044</v>
      </c>
      <c r="B3051">
        <v>2901</v>
      </c>
      <c r="C3051">
        <v>16</v>
      </c>
      <c r="D3051">
        <v>7.1</v>
      </c>
      <c r="E3051">
        <v>2.1</v>
      </c>
    </row>
    <row r="3052" spans="1:5" x14ac:dyDescent="0.2">
      <c r="A3052">
        <v>3045</v>
      </c>
      <c r="B3052">
        <v>2900</v>
      </c>
      <c r="C3052">
        <v>16</v>
      </c>
      <c r="D3052">
        <v>7.3</v>
      </c>
      <c r="E3052">
        <v>2.1</v>
      </c>
    </row>
    <row r="3053" spans="1:5" x14ac:dyDescent="0.2">
      <c r="A3053">
        <v>3046</v>
      </c>
      <c r="B3053">
        <v>2900</v>
      </c>
      <c r="C3053">
        <v>17</v>
      </c>
      <c r="D3053">
        <v>7.5</v>
      </c>
      <c r="E3053">
        <v>2.1</v>
      </c>
    </row>
    <row r="3054" spans="1:5" x14ac:dyDescent="0.2">
      <c r="A3054">
        <v>3047</v>
      </c>
      <c r="B3054">
        <v>2899</v>
      </c>
      <c r="C3054">
        <v>17</v>
      </c>
      <c r="D3054">
        <v>7.7</v>
      </c>
      <c r="E3054">
        <v>2.1</v>
      </c>
    </row>
    <row r="3055" spans="1:5" x14ac:dyDescent="0.2">
      <c r="A3055">
        <v>3048</v>
      </c>
      <c r="B3055">
        <v>2898</v>
      </c>
      <c r="C3055">
        <v>17</v>
      </c>
      <c r="D3055">
        <v>7.9</v>
      </c>
      <c r="E3055">
        <v>2.2000000000000002</v>
      </c>
    </row>
    <row r="3056" spans="1:5" x14ac:dyDescent="0.2">
      <c r="A3056">
        <v>3049</v>
      </c>
      <c r="B3056">
        <v>2898</v>
      </c>
      <c r="C3056">
        <v>18</v>
      </c>
      <c r="D3056">
        <v>8.1</v>
      </c>
      <c r="E3056">
        <v>2.2000000000000002</v>
      </c>
    </row>
    <row r="3057" spans="1:5" x14ac:dyDescent="0.2">
      <c r="A3057">
        <v>3050</v>
      </c>
      <c r="B3057">
        <v>2897</v>
      </c>
      <c r="C3057">
        <v>18</v>
      </c>
      <c r="D3057">
        <v>8.3000000000000007</v>
      </c>
      <c r="E3057">
        <v>2.2000000000000002</v>
      </c>
    </row>
    <row r="3058" spans="1:5" x14ac:dyDescent="0.2">
      <c r="A3058">
        <v>3051</v>
      </c>
      <c r="B3058">
        <v>2897</v>
      </c>
      <c r="C3058">
        <v>18</v>
      </c>
      <c r="D3058">
        <v>8.4</v>
      </c>
      <c r="E3058">
        <v>2.2999999999999998</v>
      </c>
    </row>
    <row r="3059" spans="1:5" x14ac:dyDescent="0.2">
      <c r="A3059">
        <v>3052</v>
      </c>
      <c r="B3059">
        <v>2897</v>
      </c>
      <c r="C3059">
        <v>18</v>
      </c>
      <c r="D3059">
        <v>8.5</v>
      </c>
      <c r="E3059">
        <v>2.2000000000000002</v>
      </c>
    </row>
    <row r="3060" spans="1:5" x14ac:dyDescent="0.2">
      <c r="A3060">
        <v>3053</v>
      </c>
      <c r="B3060">
        <v>2898</v>
      </c>
      <c r="C3060">
        <v>17</v>
      </c>
      <c r="D3060">
        <v>8.6</v>
      </c>
      <c r="E3060">
        <v>2.2000000000000002</v>
      </c>
    </row>
    <row r="3061" spans="1:5" x14ac:dyDescent="0.2">
      <c r="A3061">
        <v>3054</v>
      </c>
      <c r="B3061">
        <v>2898</v>
      </c>
      <c r="C3061">
        <v>17</v>
      </c>
      <c r="D3061">
        <v>8.6999999999999993</v>
      </c>
      <c r="E3061">
        <v>2.1</v>
      </c>
    </row>
    <row r="3062" spans="1:5" x14ac:dyDescent="0.2">
      <c r="A3062">
        <v>3055</v>
      </c>
      <c r="B3062">
        <v>2899</v>
      </c>
      <c r="C3062">
        <v>16</v>
      </c>
      <c r="D3062">
        <v>8.6999999999999993</v>
      </c>
      <c r="E3062">
        <v>2.1</v>
      </c>
    </row>
    <row r="3063" spans="1:5" x14ac:dyDescent="0.2">
      <c r="A3063">
        <v>3056</v>
      </c>
      <c r="B3063">
        <v>2900</v>
      </c>
      <c r="C3063">
        <v>16</v>
      </c>
      <c r="D3063">
        <v>8.6999999999999993</v>
      </c>
      <c r="E3063">
        <v>2</v>
      </c>
    </row>
    <row r="3064" spans="1:5" x14ac:dyDescent="0.2">
      <c r="A3064">
        <v>3057</v>
      </c>
      <c r="B3064">
        <v>2901</v>
      </c>
      <c r="C3064">
        <v>16</v>
      </c>
      <c r="D3064">
        <v>8.6</v>
      </c>
      <c r="E3064">
        <v>2</v>
      </c>
    </row>
    <row r="3065" spans="1:5" x14ac:dyDescent="0.2">
      <c r="A3065">
        <v>3058</v>
      </c>
      <c r="B3065">
        <v>2903</v>
      </c>
      <c r="C3065">
        <v>15</v>
      </c>
      <c r="D3065">
        <v>8.6</v>
      </c>
      <c r="E3065">
        <v>1.9</v>
      </c>
    </row>
    <row r="3066" spans="1:5" x14ac:dyDescent="0.2">
      <c r="A3066">
        <v>3059</v>
      </c>
      <c r="B3066">
        <v>2904</v>
      </c>
      <c r="C3066">
        <v>15</v>
      </c>
      <c r="D3066">
        <v>8.6</v>
      </c>
      <c r="E3066">
        <v>1.9</v>
      </c>
    </row>
    <row r="3067" spans="1:5" x14ac:dyDescent="0.2">
      <c r="A3067">
        <v>3060</v>
      </c>
      <c r="B3067">
        <v>2906</v>
      </c>
      <c r="C3067">
        <v>15</v>
      </c>
      <c r="D3067">
        <v>8.5</v>
      </c>
      <c r="E3067">
        <v>1.9</v>
      </c>
    </row>
    <row r="3068" spans="1:5" x14ac:dyDescent="0.2">
      <c r="A3068">
        <v>3061</v>
      </c>
      <c r="B3068">
        <v>2907</v>
      </c>
      <c r="C3068">
        <v>15</v>
      </c>
      <c r="D3068">
        <v>8.4</v>
      </c>
      <c r="E3068">
        <v>1.9</v>
      </c>
    </row>
    <row r="3069" spans="1:5" x14ac:dyDescent="0.2">
      <c r="A3069">
        <v>3062</v>
      </c>
      <c r="B3069">
        <v>2909</v>
      </c>
      <c r="C3069">
        <v>15</v>
      </c>
      <c r="D3069">
        <v>8.3000000000000007</v>
      </c>
      <c r="E3069">
        <v>1.9</v>
      </c>
    </row>
    <row r="3070" spans="1:5" x14ac:dyDescent="0.2">
      <c r="A3070">
        <v>3063</v>
      </c>
      <c r="B3070">
        <v>2910</v>
      </c>
      <c r="C3070">
        <v>15</v>
      </c>
      <c r="D3070">
        <v>8.3000000000000007</v>
      </c>
      <c r="E3070">
        <v>1.9</v>
      </c>
    </row>
    <row r="3071" spans="1:5" x14ac:dyDescent="0.2">
      <c r="A3071">
        <v>3064</v>
      </c>
      <c r="B3071">
        <v>2912</v>
      </c>
      <c r="C3071">
        <v>15</v>
      </c>
      <c r="D3071">
        <v>8.1999999999999993</v>
      </c>
      <c r="E3071">
        <v>1.9</v>
      </c>
    </row>
    <row r="3072" spans="1:5" x14ac:dyDescent="0.2">
      <c r="A3072">
        <v>3065</v>
      </c>
      <c r="B3072">
        <v>2913</v>
      </c>
      <c r="C3072">
        <v>15</v>
      </c>
      <c r="D3072">
        <v>8.1</v>
      </c>
      <c r="E3072">
        <v>1.9</v>
      </c>
    </row>
    <row r="3073" spans="1:5" x14ac:dyDescent="0.2">
      <c r="A3073">
        <v>3066</v>
      </c>
      <c r="B3073">
        <v>2915</v>
      </c>
      <c r="C3073">
        <v>15</v>
      </c>
      <c r="D3073">
        <v>8</v>
      </c>
      <c r="E3073">
        <v>1.8</v>
      </c>
    </row>
    <row r="3074" spans="1:5" x14ac:dyDescent="0.2">
      <c r="A3074">
        <v>3067</v>
      </c>
      <c r="B3074">
        <v>2917</v>
      </c>
      <c r="C3074">
        <v>15</v>
      </c>
      <c r="D3074">
        <v>7.9</v>
      </c>
      <c r="E3074">
        <v>1.8</v>
      </c>
    </row>
    <row r="3075" spans="1:5" x14ac:dyDescent="0.2">
      <c r="A3075">
        <v>3068</v>
      </c>
      <c r="B3075">
        <v>2919</v>
      </c>
      <c r="C3075">
        <v>15</v>
      </c>
      <c r="D3075">
        <v>7.8</v>
      </c>
      <c r="E3075">
        <v>1.9</v>
      </c>
    </row>
    <row r="3076" spans="1:5" x14ac:dyDescent="0.2">
      <c r="A3076">
        <v>3069</v>
      </c>
      <c r="B3076">
        <v>2921</v>
      </c>
      <c r="C3076">
        <v>15</v>
      </c>
      <c r="D3076">
        <v>7.6</v>
      </c>
      <c r="E3076">
        <v>1.9</v>
      </c>
    </row>
    <row r="3077" spans="1:5" x14ac:dyDescent="0.2">
      <c r="A3077">
        <v>3070</v>
      </c>
      <c r="B3077">
        <v>2923</v>
      </c>
      <c r="C3077">
        <v>15</v>
      </c>
      <c r="D3077">
        <v>7.5</v>
      </c>
      <c r="E3077">
        <v>1.9</v>
      </c>
    </row>
    <row r="3078" spans="1:5" x14ac:dyDescent="0.2">
      <c r="A3078">
        <v>3071</v>
      </c>
      <c r="B3078">
        <v>2926</v>
      </c>
      <c r="C3078">
        <v>16</v>
      </c>
      <c r="D3078">
        <v>7.3</v>
      </c>
      <c r="E3078">
        <v>1.9</v>
      </c>
    </row>
    <row r="3079" spans="1:5" x14ac:dyDescent="0.2">
      <c r="A3079">
        <v>3072</v>
      </c>
      <c r="B3079">
        <v>2929</v>
      </c>
      <c r="C3079">
        <v>16</v>
      </c>
      <c r="D3079">
        <v>7</v>
      </c>
      <c r="E3079">
        <v>1.9</v>
      </c>
    </row>
    <row r="3080" spans="1:5" x14ac:dyDescent="0.2">
      <c r="A3080">
        <v>3073</v>
      </c>
      <c r="B3080">
        <v>2932</v>
      </c>
      <c r="C3080">
        <v>15</v>
      </c>
      <c r="D3080">
        <v>6.8</v>
      </c>
      <c r="E3080">
        <v>1.9</v>
      </c>
    </row>
    <row r="3081" spans="1:5" x14ac:dyDescent="0.2">
      <c r="A3081">
        <v>3074</v>
      </c>
      <c r="B3081">
        <v>2935</v>
      </c>
      <c r="C3081">
        <v>15</v>
      </c>
      <c r="D3081">
        <v>6.5</v>
      </c>
      <c r="E3081">
        <v>1.9</v>
      </c>
    </row>
    <row r="3082" spans="1:5" x14ac:dyDescent="0.2">
      <c r="A3082">
        <v>3075</v>
      </c>
      <c r="B3082">
        <v>2939</v>
      </c>
      <c r="C3082">
        <v>15</v>
      </c>
      <c r="D3082">
        <v>6.2</v>
      </c>
      <c r="E3082">
        <v>1.9</v>
      </c>
    </row>
    <row r="3083" spans="1:5" x14ac:dyDescent="0.2">
      <c r="A3083">
        <v>3076</v>
      </c>
      <c r="B3083">
        <v>2942</v>
      </c>
      <c r="C3083">
        <v>15</v>
      </c>
      <c r="D3083">
        <v>5.8</v>
      </c>
      <c r="E3083">
        <v>1.9</v>
      </c>
    </row>
    <row r="3084" spans="1:5" x14ac:dyDescent="0.2">
      <c r="A3084">
        <v>3077</v>
      </c>
      <c r="B3084">
        <v>2946</v>
      </c>
      <c r="C3084">
        <v>15</v>
      </c>
      <c r="D3084">
        <v>5.5</v>
      </c>
      <c r="E3084">
        <v>1.9</v>
      </c>
    </row>
    <row r="3085" spans="1:5" x14ac:dyDescent="0.2">
      <c r="A3085">
        <v>3078</v>
      </c>
      <c r="B3085">
        <v>2949</v>
      </c>
      <c r="C3085">
        <v>15</v>
      </c>
      <c r="D3085">
        <v>5.2</v>
      </c>
      <c r="E3085">
        <v>1.9</v>
      </c>
    </row>
    <row r="3086" spans="1:5" x14ac:dyDescent="0.2">
      <c r="A3086">
        <v>3079</v>
      </c>
      <c r="B3086">
        <v>2952</v>
      </c>
      <c r="C3086">
        <v>15</v>
      </c>
      <c r="D3086">
        <v>5</v>
      </c>
      <c r="E3086">
        <v>1.9</v>
      </c>
    </row>
    <row r="3087" spans="1:5" x14ac:dyDescent="0.2">
      <c r="A3087">
        <v>3080</v>
      </c>
      <c r="B3087">
        <v>2955</v>
      </c>
      <c r="C3087">
        <v>15</v>
      </c>
      <c r="D3087">
        <v>4.7</v>
      </c>
      <c r="E3087">
        <v>1.9</v>
      </c>
    </row>
    <row r="3088" spans="1:5" x14ac:dyDescent="0.2">
      <c r="A3088">
        <v>3081</v>
      </c>
      <c r="B3088">
        <v>2958</v>
      </c>
      <c r="C3088">
        <v>15</v>
      </c>
      <c r="D3088">
        <v>4.5</v>
      </c>
      <c r="E3088">
        <v>1.9</v>
      </c>
    </row>
    <row r="3089" spans="1:5" x14ac:dyDescent="0.2">
      <c r="A3089">
        <v>3082</v>
      </c>
      <c r="B3089">
        <v>2960</v>
      </c>
      <c r="C3089">
        <v>15</v>
      </c>
      <c r="D3089">
        <v>4.4000000000000004</v>
      </c>
      <c r="E3089">
        <v>1.9</v>
      </c>
    </row>
    <row r="3090" spans="1:5" x14ac:dyDescent="0.2">
      <c r="A3090">
        <v>3083</v>
      </c>
      <c r="B3090">
        <v>2962</v>
      </c>
      <c r="C3090">
        <v>15</v>
      </c>
      <c r="D3090">
        <v>4.3</v>
      </c>
      <c r="E3090">
        <v>1.9</v>
      </c>
    </row>
    <row r="3091" spans="1:5" x14ac:dyDescent="0.2">
      <c r="A3091">
        <v>3084</v>
      </c>
      <c r="B3091">
        <v>2963</v>
      </c>
      <c r="C3091">
        <v>15</v>
      </c>
      <c r="D3091">
        <v>4.2</v>
      </c>
      <c r="E3091">
        <v>1.8</v>
      </c>
    </row>
    <row r="3092" spans="1:5" x14ac:dyDescent="0.2">
      <c r="A3092">
        <v>3085</v>
      </c>
      <c r="B3092">
        <v>2964</v>
      </c>
      <c r="C3092">
        <v>14</v>
      </c>
      <c r="D3092">
        <v>4.3</v>
      </c>
      <c r="E3092">
        <v>1.8</v>
      </c>
    </row>
    <row r="3093" spans="1:5" x14ac:dyDescent="0.2">
      <c r="A3093">
        <v>3086</v>
      </c>
      <c r="B3093">
        <v>2964</v>
      </c>
      <c r="C3093">
        <v>14</v>
      </c>
      <c r="D3093">
        <v>4.3</v>
      </c>
      <c r="E3093">
        <v>1.8</v>
      </c>
    </row>
    <row r="3094" spans="1:5" x14ac:dyDescent="0.2">
      <c r="A3094">
        <v>3087</v>
      </c>
      <c r="B3094">
        <v>2964</v>
      </c>
      <c r="C3094">
        <v>15</v>
      </c>
      <c r="D3094">
        <v>4.5</v>
      </c>
      <c r="E3094">
        <v>1.8</v>
      </c>
    </row>
    <row r="3095" spans="1:5" x14ac:dyDescent="0.2">
      <c r="A3095">
        <v>3088</v>
      </c>
      <c r="B3095">
        <v>2963</v>
      </c>
      <c r="C3095">
        <v>15</v>
      </c>
      <c r="D3095">
        <v>4.7</v>
      </c>
      <c r="E3095">
        <v>1.8</v>
      </c>
    </row>
    <row r="3096" spans="1:5" x14ac:dyDescent="0.2">
      <c r="A3096">
        <v>3089</v>
      </c>
      <c r="B3096">
        <v>2961</v>
      </c>
      <c r="C3096">
        <v>15</v>
      </c>
      <c r="D3096">
        <v>5</v>
      </c>
      <c r="E3096">
        <v>1.9</v>
      </c>
    </row>
    <row r="3097" spans="1:5" x14ac:dyDescent="0.2">
      <c r="A3097">
        <v>3090</v>
      </c>
      <c r="B3097">
        <v>2959</v>
      </c>
      <c r="C3097">
        <v>15</v>
      </c>
      <c r="D3097">
        <v>5.4</v>
      </c>
      <c r="E3097">
        <v>1.9</v>
      </c>
    </row>
    <row r="3098" spans="1:5" x14ac:dyDescent="0.2">
      <c r="A3098">
        <v>3091</v>
      </c>
      <c r="B3098">
        <v>2956</v>
      </c>
      <c r="C3098">
        <v>15</v>
      </c>
      <c r="D3098">
        <v>5.9</v>
      </c>
      <c r="E3098">
        <v>1.8</v>
      </c>
    </row>
    <row r="3099" spans="1:5" x14ac:dyDescent="0.2">
      <c r="A3099">
        <v>3092</v>
      </c>
      <c r="B3099">
        <v>2953</v>
      </c>
      <c r="C3099">
        <v>15</v>
      </c>
      <c r="D3099">
        <v>6.4</v>
      </c>
      <c r="E3099">
        <v>1.8</v>
      </c>
    </row>
    <row r="3100" spans="1:5" x14ac:dyDescent="0.2">
      <c r="A3100">
        <v>3093</v>
      </c>
      <c r="B3100">
        <v>2950</v>
      </c>
      <c r="C3100">
        <v>14</v>
      </c>
      <c r="D3100">
        <v>7</v>
      </c>
      <c r="E3100">
        <v>1.8</v>
      </c>
    </row>
    <row r="3101" spans="1:5" x14ac:dyDescent="0.2">
      <c r="A3101">
        <v>3094</v>
      </c>
      <c r="B3101">
        <v>2946</v>
      </c>
      <c r="C3101">
        <v>14</v>
      </c>
      <c r="D3101">
        <v>7.5</v>
      </c>
      <c r="E3101">
        <v>1.8</v>
      </c>
    </row>
    <row r="3102" spans="1:5" x14ac:dyDescent="0.2">
      <c r="A3102">
        <v>3095</v>
      </c>
      <c r="B3102">
        <v>2943</v>
      </c>
      <c r="C3102">
        <v>14</v>
      </c>
      <c r="D3102">
        <v>8.1</v>
      </c>
      <c r="E3102">
        <v>1.8</v>
      </c>
    </row>
    <row r="3103" spans="1:5" x14ac:dyDescent="0.2">
      <c r="A3103">
        <v>3096</v>
      </c>
      <c r="B3103">
        <v>2939</v>
      </c>
      <c r="C3103">
        <v>15</v>
      </c>
      <c r="D3103">
        <v>8.6</v>
      </c>
      <c r="E3103">
        <v>1.8</v>
      </c>
    </row>
    <row r="3104" spans="1:5" x14ac:dyDescent="0.2">
      <c r="A3104">
        <v>3097</v>
      </c>
      <c r="B3104">
        <v>2937</v>
      </c>
      <c r="C3104">
        <v>15</v>
      </c>
      <c r="D3104">
        <v>9.1</v>
      </c>
      <c r="E3104">
        <v>1.9</v>
      </c>
    </row>
    <row r="3105" spans="1:5" x14ac:dyDescent="0.2">
      <c r="A3105">
        <v>3098</v>
      </c>
      <c r="B3105">
        <v>2935</v>
      </c>
      <c r="C3105">
        <v>15</v>
      </c>
      <c r="D3105">
        <v>9.4</v>
      </c>
      <c r="E3105">
        <v>1.9</v>
      </c>
    </row>
    <row r="3106" spans="1:5" x14ac:dyDescent="0.2">
      <c r="A3106">
        <v>3099</v>
      </c>
      <c r="B3106">
        <v>2934</v>
      </c>
      <c r="C3106">
        <v>15</v>
      </c>
      <c r="D3106">
        <v>9.6</v>
      </c>
      <c r="E3106">
        <v>1.8</v>
      </c>
    </row>
    <row r="3107" spans="1:5" x14ac:dyDescent="0.2">
      <c r="A3107">
        <v>3100</v>
      </c>
      <c r="B3107">
        <v>2934</v>
      </c>
      <c r="C3107">
        <v>15</v>
      </c>
      <c r="D3107">
        <v>9.8000000000000007</v>
      </c>
      <c r="E3107">
        <v>1.8</v>
      </c>
    </row>
    <row r="3108" spans="1:5" x14ac:dyDescent="0.2">
      <c r="A3108">
        <v>3101</v>
      </c>
      <c r="B3108">
        <v>2934</v>
      </c>
      <c r="C3108">
        <v>14</v>
      </c>
      <c r="D3108">
        <v>9.9</v>
      </c>
      <c r="E3108">
        <v>1.8</v>
      </c>
    </row>
    <row r="3109" spans="1:5" x14ac:dyDescent="0.2">
      <c r="A3109">
        <v>3102</v>
      </c>
      <c r="B3109">
        <v>2935</v>
      </c>
      <c r="C3109">
        <v>14</v>
      </c>
      <c r="D3109">
        <v>9.9</v>
      </c>
      <c r="E3109">
        <v>1.8</v>
      </c>
    </row>
    <row r="3110" spans="1:5" x14ac:dyDescent="0.2">
      <c r="A3110">
        <v>3103</v>
      </c>
      <c r="B3110">
        <v>2937</v>
      </c>
      <c r="C3110">
        <v>15</v>
      </c>
      <c r="D3110">
        <v>9.8000000000000007</v>
      </c>
      <c r="E3110">
        <v>1.9</v>
      </c>
    </row>
    <row r="3111" spans="1:5" x14ac:dyDescent="0.2">
      <c r="A3111">
        <v>3104</v>
      </c>
      <c r="B3111">
        <v>2938</v>
      </c>
      <c r="C3111">
        <v>15</v>
      </c>
      <c r="D3111">
        <v>9.6999999999999993</v>
      </c>
      <c r="E3111">
        <v>1.9</v>
      </c>
    </row>
    <row r="3112" spans="1:5" x14ac:dyDescent="0.2">
      <c r="A3112">
        <v>3105</v>
      </c>
      <c r="B3112">
        <v>2940</v>
      </c>
      <c r="C3112">
        <v>15</v>
      </c>
      <c r="D3112">
        <v>9.6</v>
      </c>
      <c r="E3112">
        <v>1.9</v>
      </c>
    </row>
    <row r="3113" spans="1:5" x14ac:dyDescent="0.2">
      <c r="A3113">
        <v>3106</v>
      </c>
      <c r="B3113">
        <v>2943</v>
      </c>
      <c r="C3113">
        <v>16</v>
      </c>
      <c r="D3113">
        <v>9.4</v>
      </c>
      <c r="E3113">
        <v>2</v>
      </c>
    </row>
    <row r="3114" spans="1:5" x14ac:dyDescent="0.2">
      <c r="A3114">
        <v>3107</v>
      </c>
      <c r="B3114">
        <v>2945</v>
      </c>
      <c r="C3114">
        <v>16</v>
      </c>
      <c r="D3114">
        <v>9.3000000000000007</v>
      </c>
      <c r="E3114">
        <v>2</v>
      </c>
    </row>
    <row r="3115" spans="1:5" x14ac:dyDescent="0.2">
      <c r="A3115">
        <v>3108</v>
      </c>
      <c r="B3115">
        <v>2947</v>
      </c>
      <c r="C3115">
        <v>16</v>
      </c>
      <c r="D3115">
        <v>9.1</v>
      </c>
      <c r="E3115">
        <v>2</v>
      </c>
    </row>
    <row r="3116" spans="1:5" x14ac:dyDescent="0.2">
      <c r="A3116">
        <v>3109</v>
      </c>
      <c r="B3116">
        <v>2949</v>
      </c>
      <c r="C3116">
        <v>16</v>
      </c>
      <c r="D3116">
        <v>9</v>
      </c>
      <c r="E3116">
        <v>2</v>
      </c>
    </row>
    <row r="3117" spans="1:5" x14ac:dyDescent="0.2">
      <c r="A3117">
        <v>3110</v>
      </c>
      <c r="B3117">
        <v>2951</v>
      </c>
      <c r="C3117">
        <v>16</v>
      </c>
      <c r="D3117">
        <v>8.8000000000000007</v>
      </c>
      <c r="E3117">
        <v>2</v>
      </c>
    </row>
    <row r="3118" spans="1:5" x14ac:dyDescent="0.2">
      <c r="A3118">
        <v>3111</v>
      </c>
      <c r="B3118">
        <v>2953</v>
      </c>
      <c r="C3118">
        <v>16</v>
      </c>
      <c r="D3118">
        <v>8.6999999999999993</v>
      </c>
      <c r="E3118">
        <v>2.1</v>
      </c>
    </row>
    <row r="3119" spans="1:5" x14ac:dyDescent="0.2">
      <c r="A3119">
        <v>3112</v>
      </c>
      <c r="B3119">
        <v>2955</v>
      </c>
      <c r="C3119">
        <v>17</v>
      </c>
      <c r="D3119">
        <v>8.6</v>
      </c>
      <c r="E3119">
        <v>2.1</v>
      </c>
    </row>
    <row r="3120" spans="1:5" x14ac:dyDescent="0.2">
      <c r="A3120">
        <v>3113</v>
      </c>
      <c r="B3120">
        <v>2957</v>
      </c>
      <c r="C3120">
        <v>17</v>
      </c>
      <c r="D3120">
        <v>8.5</v>
      </c>
      <c r="E3120">
        <v>2.2000000000000002</v>
      </c>
    </row>
    <row r="3121" spans="1:5" x14ac:dyDescent="0.2">
      <c r="A3121">
        <v>3114</v>
      </c>
      <c r="B3121">
        <v>2958</v>
      </c>
      <c r="C3121">
        <v>18</v>
      </c>
      <c r="D3121">
        <v>8.5</v>
      </c>
      <c r="E3121">
        <v>2.2000000000000002</v>
      </c>
    </row>
    <row r="3122" spans="1:5" x14ac:dyDescent="0.2">
      <c r="A3122">
        <v>3115</v>
      </c>
      <c r="B3122">
        <v>2959</v>
      </c>
      <c r="C3122">
        <v>18</v>
      </c>
      <c r="D3122">
        <v>8.5</v>
      </c>
      <c r="E3122">
        <v>2.2999999999999998</v>
      </c>
    </row>
    <row r="3123" spans="1:5" x14ac:dyDescent="0.2">
      <c r="A3123">
        <v>3116</v>
      </c>
      <c r="B3123">
        <v>2959</v>
      </c>
      <c r="C3123">
        <v>19</v>
      </c>
      <c r="D3123">
        <v>8.6</v>
      </c>
      <c r="E3123">
        <v>2.2999999999999998</v>
      </c>
    </row>
    <row r="3124" spans="1:5" x14ac:dyDescent="0.2">
      <c r="A3124">
        <v>3117</v>
      </c>
      <c r="B3124">
        <v>2959</v>
      </c>
      <c r="C3124">
        <v>19</v>
      </c>
      <c r="D3124">
        <v>8.8000000000000007</v>
      </c>
      <c r="E3124">
        <v>2.2999999999999998</v>
      </c>
    </row>
    <row r="3125" spans="1:5" x14ac:dyDescent="0.2">
      <c r="A3125">
        <v>3118</v>
      </c>
      <c r="B3125">
        <v>2958</v>
      </c>
      <c r="C3125">
        <v>19</v>
      </c>
      <c r="D3125">
        <v>9</v>
      </c>
      <c r="E3125">
        <v>2.4</v>
      </c>
    </row>
    <row r="3126" spans="1:5" x14ac:dyDescent="0.2">
      <c r="A3126">
        <v>3119</v>
      </c>
      <c r="B3126">
        <v>2957</v>
      </c>
      <c r="C3126">
        <v>19</v>
      </c>
      <c r="D3126">
        <v>9.1999999999999993</v>
      </c>
      <c r="E3126">
        <v>2.2999999999999998</v>
      </c>
    </row>
    <row r="3127" spans="1:5" x14ac:dyDescent="0.2">
      <c r="A3127">
        <v>3120</v>
      </c>
      <c r="B3127">
        <v>2956</v>
      </c>
      <c r="C3127">
        <v>18</v>
      </c>
      <c r="D3127">
        <v>9.5</v>
      </c>
      <c r="E3127">
        <v>2.2999999999999998</v>
      </c>
    </row>
    <row r="3128" spans="1:5" x14ac:dyDescent="0.2">
      <c r="A3128">
        <v>3121</v>
      </c>
      <c r="B3128">
        <v>2955</v>
      </c>
      <c r="C3128">
        <v>18</v>
      </c>
      <c r="D3128">
        <v>9.8000000000000007</v>
      </c>
      <c r="E3128">
        <v>2.2999999999999998</v>
      </c>
    </row>
    <row r="3129" spans="1:5" x14ac:dyDescent="0.2">
      <c r="A3129">
        <v>3122</v>
      </c>
      <c r="B3129">
        <v>2953</v>
      </c>
      <c r="C3129">
        <v>18</v>
      </c>
      <c r="D3129">
        <v>10.1</v>
      </c>
      <c r="E3129">
        <v>2.2999999999999998</v>
      </c>
    </row>
    <row r="3130" spans="1:5" x14ac:dyDescent="0.2">
      <c r="A3130">
        <v>3123</v>
      </c>
      <c r="B3130">
        <v>2951</v>
      </c>
      <c r="C3130">
        <v>18</v>
      </c>
      <c r="D3130">
        <v>10.5</v>
      </c>
      <c r="E3130">
        <v>2.2999999999999998</v>
      </c>
    </row>
    <row r="3131" spans="1:5" x14ac:dyDescent="0.2">
      <c r="A3131">
        <v>3124</v>
      </c>
      <c r="B3131">
        <v>2949</v>
      </c>
      <c r="C3131">
        <v>18</v>
      </c>
      <c r="D3131">
        <v>10.8</v>
      </c>
      <c r="E3131">
        <v>2.2999999999999998</v>
      </c>
    </row>
    <row r="3132" spans="1:5" x14ac:dyDescent="0.2">
      <c r="A3132">
        <v>3125</v>
      </c>
      <c r="B3132">
        <v>2947</v>
      </c>
      <c r="C3132">
        <v>19</v>
      </c>
      <c r="D3132">
        <v>11.2</v>
      </c>
      <c r="E3132">
        <v>2.2999999999999998</v>
      </c>
    </row>
    <row r="3133" spans="1:5" x14ac:dyDescent="0.2">
      <c r="A3133">
        <v>3126</v>
      </c>
      <c r="B3133">
        <v>2945</v>
      </c>
      <c r="C3133">
        <v>19</v>
      </c>
      <c r="D3133">
        <v>11.5</v>
      </c>
      <c r="E3133">
        <v>2.4</v>
      </c>
    </row>
    <row r="3134" spans="1:5" x14ac:dyDescent="0.2">
      <c r="A3134">
        <v>3127</v>
      </c>
      <c r="B3134">
        <v>2944</v>
      </c>
      <c r="C3134">
        <v>19</v>
      </c>
      <c r="D3134">
        <v>11.9</v>
      </c>
      <c r="E3134">
        <v>2.4</v>
      </c>
    </row>
    <row r="3135" spans="1:5" x14ac:dyDescent="0.2">
      <c r="A3135">
        <v>3128</v>
      </c>
      <c r="B3135">
        <v>2942</v>
      </c>
      <c r="C3135">
        <v>20</v>
      </c>
      <c r="D3135">
        <v>12.2</v>
      </c>
      <c r="E3135">
        <v>2.5</v>
      </c>
    </row>
    <row r="3136" spans="1:5" x14ac:dyDescent="0.2">
      <c r="A3136">
        <v>3129</v>
      </c>
      <c r="B3136">
        <v>2941</v>
      </c>
      <c r="C3136">
        <v>20</v>
      </c>
      <c r="D3136">
        <v>12.5</v>
      </c>
      <c r="E3136">
        <v>2.5</v>
      </c>
    </row>
    <row r="3137" spans="1:5" x14ac:dyDescent="0.2">
      <c r="A3137">
        <v>3130</v>
      </c>
      <c r="B3137">
        <v>2939</v>
      </c>
      <c r="C3137">
        <v>20</v>
      </c>
      <c r="D3137">
        <v>12.8</v>
      </c>
      <c r="E3137">
        <v>2.6</v>
      </c>
    </row>
    <row r="3138" spans="1:5" x14ac:dyDescent="0.2">
      <c r="A3138">
        <v>3131</v>
      </c>
      <c r="B3138">
        <v>2939</v>
      </c>
      <c r="C3138">
        <v>20</v>
      </c>
      <c r="D3138">
        <v>13</v>
      </c>
      <c r="E3138">
        <v>2.6</v>
      </c>
    </row>
    <row r="3139" spans="1:5" x14ac:dyDescent="0.2">
      <c r="A3139">
        <v>3132</v>
      </c>
      <c r="B3139">
        <v>2938</v>
      </c>
      <c r="C3139">
        <v>20</v>
      </c>
      <c r="D3139">
        <v>13.2</v>
      </c>
      <c r="E3139">
        <v>2.5</v>
      </c>
    </row>
    <row r="3140" spans="1:5" x14ac:dyDescent="0.2">
      <c r="A3140">
        <v>3133</v>
      </c>
      <c r="B3140">
        <v>2938</v>
      </c>
      <c r="C3140">
        <v>20</v>
      </c>
      <c r="D3140">
        <v>13.3</v>
      </c>
      <c r="E3140">
        <v>2.5</v>
      </c>
    </row>
    <row r="3141" spans="1:5" x14ac:dyDescent="0.2">
      <c r="A3141">
        <v>3134</v>
      </c>
      <c r="B3141">
        <v>2938</v>
      </c>
      <c r="C3141">
        <v>20</v>
      </c>
      <c r="D3141">
        <v>13.4</v>
      </c>
      <c r="E3141">
        <v>2.5</v>
      </c>
    </row>
    <row r="3142" spans="1:5" x14ac:dyDescent="0.2">
      <c r="A3142">
        <v>3135</v>
      </c>
      <c r="B3142">
        <v>2939</v>
      </c>
      <c r="C3142">
        <v>19</v>
      </c>
      <c r="D3142">
        <v>13.5</v>
      </c>
      <c r="E3142">
        <v>2.4</v>
      </c>
    </row>
    <row r="3143" spans="1:5" x14ac:dyDescent="0.2">
      <c r="A3143">
        <v>3136</v>
      </c>
      <c r="B3143">
        <v>2940</v>
      </c>
      <c r="C3143">
        <v>19</v>
      </c>
      <c r="D3143">
        <v>13.5</v>
      </c>
      <c r="E3143">
        <v>2.4</v>
      </c>
    </row>
    <row r="3144" spans="1:5" x14ac:dyDescent="0.2">
      <c r="A3144">
        <v>3137</v>
      </c>
      <c r="B3144">
        <v>2941</v>
      </c>
      <c r="C3144">
        <v>18</v>
      </c>
      <c r="D3144">
        <v>13.5</v>
      </c>
      <c r="E3144">
        <v>2.2999999999999998</v>
      </c>
    </row>
    <row r="3145" spans="1:5" x14ac:dyDescent="0.2">
      <c r="A3145">
        <v>3138</v>
      </c>
      <c r="B3145">
        <v>2942</v>
      </c>
      <c r="C3145">
        <v>18</v>
      </c>
      <c r="D3145">
        <v>13.5</v>
      </c>
      <c r="E3145">
        <v>2.2000000000000002</v>
      </c>
    </row>
    <row r="3146" spans="1:5" x14ac:dyDescent="0.2">
      <c r="A3146">
        <v>3139</v>
      </c>
      <c r="B3146">
        <v>2943</v>
      </c>
      <c r="C3146">
        <v>18</v>
      </c>
      <c r="D3146">
        <v>13.4</v>
      </c>
      <c r="E3146">
        <v>2.2000000000000002</v>
      </c>
    </row>
    <row r="3147" spans="1:5" x14ac:dyDescent="0.2">
      <c r="A3147">
        <v>3140</v>
      </c>
      <c r="B3147">
        <v>2945</v>
      </c>
      <c r="C3147">
        <v>17</v>
      </c>
      <c r="D3147">
        <v>13.4</v>
      </c>
      <c r="E3147">
        <v>2.2000000000000002</v>
      </c>
    </row>
    <row r="3148" spans="1:5" x14ac:dyDescent="0.2">
      <c r="A3148">
        <v>3141</v>
      </c>
      <c r="B3148">
        <v>2946</v>
      </c>
      <c r="C3148">
        <v>17</v>
      </c>
      <c r="D3148">
        <v>13.3</v>
      </c>
      <c r="E3148">
        <v>2.2000000000000002</v>
      </c>
    </row>
    <row r="3149" spans="1:5" x14ac:dyDescent="0.2">
      <c r="A3149">
        <v>3142</v>
      </c>
      <c r="B3149">
        <v>2948</v>
      </c>
      <c r="C3149">
        <v>18</v>
      </c>
      <c r="D3149">
        <v>13.2</v>
      </c>
      <c r="E3149">
        <v>2.2000000000000002</v>
      </c>
    </row>
    <row r="3150" spans="1:5" x14ac:dyDescent="0.2">
      <c r="A3150">
        <v>3143</v>
      </c>
      <c r="B3150">
        <v>2949</v>
      </c>
      <c r="C3150">
        <v>18</v>
      </c>
      <c r="D3150">
        <v>13.1</v>
      </c>
      <c r="E3150">
        <v>2.2999999999999998</v>
      </c>
    </row>
    <row r="3151" spans="1:5" x14ac:dyDescent="0.2">
      <c r="A3151">
        <v>3144</v>
      </c>
      <c r="B3151">
        <v>2951</v>
      </c>
      <c r="C3151">
        <v>18</v>
      </c>
      <c r="D3151">
        <v>13</v>
      </c>
      <c r="E3151">
        <v>2.2999999999999998</v>
      </c>
    </row>
    <row r="3152" spans="1:5" x14ac:dyDescent="0.2">
      <c r="A3152">
        <v>3145</v>
      </c>
      <c r="B3152">
        <v>2953</v>
      </c>
      <c r="C3152">
        <v>19</v>
      </c>
      <c r="D3152">
        <v>12.9</v>
      </c>
      <c r="E3152">
        <v>2.4</v>
      </c>
    </row>
    <row r="3153" spans="1:5" x14ac:dyDescent="0.2">
      <c r="A3153">
        <v>3146</v>
      </c>
      <c r="B3153">
        <v>2954</v>
      </c>
      <c r="C3153">
        <v>19</v>
      </c>
      <c r="D3153">
        <v>12.8</v>
      </c>
      <c r="E3153">
        <v>2.4</v>
      </c>
    </row>
    <row r="3154" spans="1:5" x14ac:dyDescent="0.2">
      <c r="A3154">
        <v>3147</v>
      </c>
      <c r="B3154">
        <v>2956</v>
      </c>
      <c r="C3154">
        <v>20</v>
      </c>
      <c r="D3154">
        <v>12.8</v>
      </c>
      <c r="E3154">
        <v>2.5</v>
      </c>
    </row>
    <row r="3155" spans="1:5" x14ac:dyDescent="0.2">
      <c r="A3155">
        <v>3148</v>
      </c>
      <c r="B3155">
        <v>2957</v>
      </c>
      <c r="C3155">
        <v>20</v>
      </c>
      <c r="D3155">
        <v>12.7</v>
      </c>
      <c r="E3155">
        <v>2.5</v>
      </c>
    </row>
    <row r="3156" spans="1:5" x14ac:dyDescent="0.2">
      <c r="A3156">
        <v>3149</v>
      </c>
      <c r="B3156">
        <v>2959</v>
      </c>
      <c r="C3156">
        <v>20</v>
      </c>
      <c r="D3156">
        <v>12.7</v>
      </c>
      <c r="E3156">
        <v>2.5</v>
      </c>
    </row>
    <row r="3157" spans="1:5" x14ac:dyDescent="0.2">
      <c r="A3157">
        <v>3150</v>
      </c>
      <c r="B3157">
        <v>2960</v>
      </c>
      <c r="C3157">
        <v>20</v>
      </c>
      <c r="D3157">
        <v>12.7</v>
      </c>
      <c r="E3157">
        <v>2.5</v>
      </c>
    </row>
    <row r="3158" spans="1:5" x14ac:dyDescent="0.2">
      <c r="A3158">
        <v>3151</v>
      </c>
      <c r="B3158">
        <v>2961</v>
      </c>
      <c r="C3158">
        <v>20</v>
      </c>
      <c r="D3158">
        <v>12.7</v>
      </c>
      <c r="E3158">
        <v>2.5</v>
      </c>
    </row>
    <row r="3159" spans="1:5" x14ac:dyDescent="0.2">
      <c r="A3159">
        <v>3152</v>
      </c>
      <c r="B3159">
        <v>2961</v>
      </c>
      <c r="C3159">
        <v>19</v>
      </c>
      <c r="D3159">
        <v>12.7</v>
      </c>
      <c r="E3159">
        <v>2.4</v>
      </c>
    </row>
    <row r="3160" spans="1:5" x14ac:dyDescent="0.2">
      <c r="A3160">
        <v>3153</v>
      </c>
      <c r="B3160">
        <v>2962</v>
      </c>
      <c r="C3160">
        <v>19</v>
      </c>
      <c r="D3160">
        <v>12.7</v>
      </c>
      <c r="E3160">
        <v>2.4</v>
      </c>
    </row>
    <row r="3161" spans="1:5" x14ac:dyDescent="0.2">
      <c r="A3161">
        <v>3154</v>
      </c>
      <c r="B3161">
        <v>2963</v>
      </c>
      <c r="C3161">
        <v>19</v>
      </c>
      <c r="D3161">
        <v>12.8</v>
      </c>
      <c r="E3161">
        <v>2.2999999999999998</v>
      </c>
    </row>
    <row r="3162" spans="1:5" x14ac:dyDescent="0.2">
      <c r="A3162">
        <v>3155</v>
      </c>
      <c r="B3162">
        <v>2963</v>
      </c>
      <c r="C3162">
        <v>18</v>
      </c>
      <c r="D3162">
        <v>12.9</v>
      </c>
      <c r="E3162">
        <v>2.2999999999999998</v>
      </c>
    </row>
    <row r="3163" spans="1:5" x14ac:dyDescent="0.2">
      <c r="A3163">
        <v>3156</v>
      </c>
      <c r="B3163">
        <v>2964</v>
      </c>
      <c r="C3163">
        <v>18</v>
      </c>
      <c r="D3163">
        <v>12.9</v>
      </c>
      <c r="E3163">
        <v>2.2999999999999998</v>
      </c>
    </row>
    <row r="3164" spans="1:5" x14ac:dyDescent="0.2">
      <c r="A3164">
        <v>3157</v>
      </c>
      <c r="B3164">
        <v>2964</v>
      </c>
      <c r="C3164">
        <v>18</v>
      </c>
      <c r="D3164">
        <v>13</v>
      </c>
      <c r="E3164">
        <v>2.2000000000000002</v>
      </c>
    </row>
    <row r="3165" spans="1:5" x14ac:dyDescent="0.2">
      <c r="A3165">
        <v>3158</v>
      </c>
      <c r="B3165">
        <v>2965</v>
      </c>
      <c r="C3165">
        <v>18</v>
      </c>
      <c r="D3165">
        <v>13</v>
      </c>
      <c r="E3165">
        <v>2.2000000000000002</v>
      </c>
    </row>
    <row r="3166" spans="1:5" x14ac:dyDescent="0.2">
      <c r="A3166">
        <v>3159</v>
      </c>
      <c r="B3166">
        <v>2966</v>
      </c>
      <c r="C3166">
        <v>18</v>
      </c>
      <c r="D3166">
        <v>13</v>
      </c>
      <c r="E3166">
        <v>2.2000000000000002</v>
      </c>
    </row>
    <row r="3167" spans="1:5" x14ac:dyDescent="0.2">
      <c r="A3167">
        <v>3160</v>
      </c>
      <c r="B3167">
        <v>2968</v>
      </c>
      <c r="C3167">
        <v>18</v>
      </c>
      <c r="D3167">
        <v>12.9</v>
      </c>
      <c r="E3167">
        <v>2.2000000000000002</v>
      </c>
    </row>
    <row r="3168" spans="1:5" x14ac:dyDescent="0.2">
      <c r="A3168">
        <v>3161</v>
      </c>
      <c r="B3168">
        <v>2969</v>
      </c>
      <c r="C3168">
        <v>17</v>
      </c>
      <c r="D3168">
        <v>12.8</v>
      </c>
      <c r="E3168">
        <v>2.2000000000000002</v>
      </c>
    </row>
    <row r="3169" spans="1:5" x14ac:dyDescent="0.2">
      <c r="A3169">
        <v>3162</v>
      </c>
      <c r="B3169">
        <v>2971</v>
      </c>
      <c r="C3169">
        <v>17</v>
      </c>
      <c r="D3169">
        <v>12.7</v>
      </c>
      <c r="E3169">
        <v>2.1</v>
      </c>
    </row>
    <row r="3170" spans="1:5" x14ac:dyDescent="0.2">
      <c r="A3170">
        <v>3163</v>
      </c>
      <c r="B3170">
        <v>2974</v>
      </c>
      <c r="C3170">
        <v>16</v>
      </c>
      <c r="D3170">
        <v>12.5</v>
      </c>
      <c r="E3170">
        <v>2</v>
      </c>
    </row>
    <row r="3171" spans="1:5" x14ac:dyDescent="0.2">
      <c r="A3171">
        <v>3164</v>
      </c>
      <c r="B3171">
        <v>2976</v>
      </c>
      <c r="C3171">
        <v>16</v>
      </c>
      <c r="D3171">
        <v>12.3</v>
      </c>
      <c r="E3171">
        <v>2</v>
      </c>
    </row>
    <row r="3172" spans="1:5" x14ac:dyDescent="0.2">
      <c r="A3172">
        <v>3165</v>
      </c>
      <c r="B3172">
        <v>2979</v>
      </c>
      <c r="C3172">
        <v>15</v>
      </c>
      <c r="D3172">
        <v>12.1</v>
      </c>
      <c r="E3172">
        <v>1.9</v>
      </c>
    </row>
    <row r="3173" spans="1:5" x14ac:dyDescent="0.2">
      <c r="A3173">
        <v>3166</v>
      </c>
      <c r="B3173">
        <v>2982</v>
      </c>
      <c r="C3173">
        <v>15</v>
      </c>
      <c r="D3173">
        <v>11.9</v>
      </c>
      <c r="E3173">
        <v>1.9</v>
      </c>
    </row>
    <row r="3174" spans="1:5" x14ac:dyDescent="0.2">
      <c r="A3174">
        <v>3167</v>
      </c>
      <c r="B3174">
        <v>2984</v>
      </c>
      <c r="C3174">
        <v>15</v>
      </c>
      <c r="D3174">
        <v>11.6</v>
      </c>
      <c r="E3174">
        <v>1.9</v>
      </c>
    </row>
    <row r="3175" spans="1:5" x14ac:dyDescent="0.2">
      <c r="A3175">
        <v>3168</v>
      </c>
      <c r="B3175">
        <v>2987</v>
      </c>
      <c r="C3175">
        <v>15</v>
      </c>
      <c r="D3175">
        <v>11.4</v>
      </c>
      <c r="E3175">
        <v>1.9</v>
      </c>
    </row>
    <row r="3176" spans="1:5" x14ac:dyDescent="0.2">
      <c r="A3176">
        <v>3169</v>
      </c>
      <c r="B3176">
        <v>2990</v>
      </c>
      <c r="C3176">
        <v>15</v>
      </c>
      <c r="D3176">
        <v>11.2</v>
      </c>
      <c r="E3176">
        <v>1.9</v>
      </c>
    </row>
    <row r="3177" spans="1:5" x14ac:dyDescent="0.2">
      <c r="A3177">
        <v>3170</v>
      </c>
      <c r="B3177">
        <v>2992</v>
      </c>
      <c r="C3177">
        <v>15</v>
      </c>
      <c r="D3177">
        <v>11</v>
      </c>
      <c r="E3177">
        <v>1.9</v>
      </c>
    </row>
    <row r="3178" spans="1:5" x14ac:dyDescent="0.2">
      <c r="A3178">
        <v>3171</v>
      </c>
      <c r="B3178">
        <v>2994</v>
      </c>
      <c r="C3178">
        <v>15</v>
      </c>
      <c r="D3178">
        <v>10.9</v>
      </c>
      <c r="E3178">
        <v>1.9</v>
      </c>
    </row>
    <row r="3179" spans="1:5" x14ac:dyDescent="0.2">
      <c r="A3179">
        <v>3172</v>
      </c>
      <c r="B3179">
        <v>2996</v>
      </c>
      <c r="C3179">
        <v>15</v>
      </c>
      <c r="D3179">
        <v>10.8</v>
      </c>
      <c r="E3179">
        <v>1.9</v>
      </c>
    </row>
    <row r="3180" spans="1:5" x14ac:dyDescent="0.2">
      <c r="A3180">
        <v>3173</v>
      </c>
      <c r="B3180">
        <v>2998</v>
      </c>
      <c r="C3180">
        <v>15</v>
      </c>
      <c r="D3180">
        <v>10.7</v>
      </c>
      <c r="E3180">
        <v>1.9</v>
      </c>
    </row>
    <row r="3181" spans="1:5" x14ac:dyDescent="0.2">
      <c r="A3181">
        <v>3174</v>
      </c>
      <c r="B3181">
        <v>2999</v>
      </c>
      <c r="C3181">
        <v>15</v>
      </c>
      <c r="D3181">
        <v>10.6</v>
      </c>
      <c r="E3181">
        <v>1.9</v>
      </c>
    </row>
    <row r="3182" spans="1:5" x14ac:dyDescent="0.2">
      <c r="A3182">
        <v>3175</v>
      </c>
      <c r="B3182">
        <v>3000</v>
      </c>
      <c r="C3182">
        <v>15</v>
      </c>
      <c r="D3182">
        <v>10.6</v>
      </c>
      <c r="E3182">
        <v>1.8</v>
      </c>
    </row>
    <row r="3183" spans="1:5" x14ac:dyDescent="0.2">
      <c r="A3183">
        <v>3176</v>
      </c>
      <c r="B3183">
        <v>3001</v>
      </c>
      <c r="C3183">
        <v>15</v>
      </c>
      <c r="D3183">
        <v>10.6</v>
      </c>
      <c r="E3183">
        <v>1.9</v>
      </c>
    </row>
    <row r="3184" spans="1:5" x14ac:dyDescent="0.2">
      <c r="A3184">
        <v>3177</v>
      </c>
      <c r="B3184">
        <v>3003</v>
      </c>
      <c r="C3184">
        <v>15</v>
      </c>
      <c r="D3184">
        <v>10.6</v>
      </c>
      <c r="E3184">
        <v>1.9</v>
      </c>
    </row>
    <row r="3185" spans="1:5" x14ac:dyDescent="0.2">
      <c r="A3185">
        <v>3178</v>
      </c>
      <c r="B3185">
        <v>3004</v>
      </c>
      <c r="C3185">
        <v>15</v>
      </c>
      <c r="D3185">
        <v>10.6</v>
      </c>
      <c r="E3185">
        <v>1.9</v>
      </c>
    </row>
    <row r="3186" spans="1:5" x14ac:dyDescent="0.2">
      <c r="A3186">
        <v>3179</v>
      </c>
      <c r="B3186">
        <v>3005</v>
      </c>
      <c r="C3186">
        <v>15</v>
      </c>
      <c r="D3186">
        <v>10.6</v>
      </c>
      <c r="E3186">
        <v>1.9</v>
      </c>
    </row>
    <row r="3187" spans="1:5" x14ac:dyDescent="0.2">
      <c r="A3187">
        <v>3180</v>
      </c>
      <c r="B3187">
        <v>3006</v>
      </c>
      <c r="C3187">
        <v>15</v>
      </c>
      <c r="D3187">
        <v>10.5</v>
      </c>
      <c r="E3187">
        <v>1.9</v>
      </c>
    </row>
    <row r="3188" spans="1:5" x14ac:dyDescent="0.2">
      <c r="A3188">
        <v>3181</v>
      </c>
      <c r="B3188">
        <v>3007</v>
      </c>
      <c r="C3188">
        <v>15</v>
      </c>
      <c r="D3188">
        <v>10.5</v>
      </c>
      <c r="E3188">
        <v>1.9</v>
      </c>
    </row>
    <row r="3189" spans="1:5" x14ac:dyDescent="0.2">
      <c r="A3189">
        <v>3182</v>
      </c>
      <c r="B3189">
        <v>3008</v>
      </c>
      <c r="C3189">
        <v>15</v>
      </c>
      <c r="D3189">
        <v>10.5</v>
      </c>
      <c r="E3189">
        <v>1.9</v>
      </c>
    </row>
    <row r="3190" spans="1:5" x14ac:dyDescent="0.2">
      <c r="A3190">
        <v>3183</v>
      </c>
      <c r="B3190">
        <v>3009</v>
      </c>
      <c r="C3190">
        <v>15</v>
      </c>
      <c r="D3190">
        <v>10.5</v>
      </c>
      <c r="E3190">
        <v>1.9</v>
      </c>
    </row>
    <row r="3191" spans="1:5" x14ac:dyDescent="0.2">
      <c r="A3191">
        <v>3184</v>
      </c>
      <c r="B3191">
        <v>3010</v>
      </c>
      <c r="C3191">
        <v>15</v>
      </c>
      <c r="D3191">
        <v>10.5</v>
      </c>
      <c r="E3191">
        <v>1.9</v>
      </c>
    </row>
    <row r="3192" spans="1:5" x14ac:dyDescent="0.2">
      <c r="A3192">
        <v>3185</v>
      </c>
      <c r="B3192">
        <v>3011</v>
      </c>
      <c r="C3192">
        <v>15</v>
      </c>
      <c r="D3192">
        <v>10.5</v>
      </c>
      <c r="E3192">
        <v>1.9</v>
      </c>
    </row>
    <row r="3193" spans="1:5" x14ac:dyDescent="0.2">
      <c r="A3193">
        <v>3186</v>
      </c>
      <c r="B3193">
        <v>3011</v>
      </c>
      <c r="C3193">
        <v>15</v>
      </c>
      <c r="D3193">
        <v>10.6</v>
      </c>
      <c r="E3193">
        <v>1.9</v>
      </c>
    </row>
    <row r="3194" spans="1:5" x14ac:dyDescent="0.2">
      <c r="A3194">
        <v>3187</v>
      </c>
      <c r="B3194">
        <v>3011</v>
      </c>
      <c r="C3194">
        <v>15</v>
      </c>
      <c r="D3194">
        <v>10.7</v>
      </c>
      <c r="E3194">
        <v>1.9</v>
      </c>
    </row>
    <row r="3195" spans="1:5" x14ac:dyDescent="0.2">
      <c r="A3195">
        <v>3188</v>
      </c>
      <c r="B3195">
        <v>3011</v>
      </c>
      <c r="C3195">
        <v>15</v>
      </c>
      <c r="D3195">
        <v>10.8</v>
      </c>
      <c r="E3195">
        <v>1.9</v>
      </c>
    </row>
    <row r="3196" spans="1:5" x14ac:dyDescent="0.2">
      <c r="A3196">
        <v>3189</v>
      </c>
      <c r="B3196">
        <v>3011</v>
      </c>
      <c r="C3196">
        <v>15</v>
      </c>
      <c r="D3196">
        <v>11</v>
      </c>
      <c r="E3196">
        <v>1.9</v>
      </c>
    </row>
    <row r="3197" spans="1:5" x14ac:dyDescent="0.2">
      <c r="A3197">
        <v>3190</v>
      </c>
      <c r="B3197">
        <v>3010</v>
      </c>
      <c r="C3197">
        <v>15</v>
      </c>
      <c r="D3197">
        <v>11.3</v>
      </c>
      <c r="E3197">
        <v>1.9</v>
      </c>
    </row>
    <row r="3198" spans="1:5" x14ac:dyDescent="0.2">
      <c r="A3198">
        <v>3191</v>
      </c>
      <c r="B3198">
        <v>3009</v>
      </c>
      <c r="C3198">
        <v>15</v>
      </c>
      <c r="D3198">
        <v>11.5</v>
      </c>
      <c r="E3198">
        <v>1.9</v>
      </c>
    </row>
    <row r="3199" spans="1:5" x14ac:dyDescent="0.2">
      <c r="A3199">
        <v>3192</v>
      </c>
      <c r="B3199">
        <v>3007</v>
      </c>
      <c r="C3199">
        <v>15</v>
      </c>
      <c r="D3199">
        <v>11.8</v>
      </c>
      <c r="E3199">
        <v>1.9</v>
      </c>
    </row>
    <row r="3200" spans="1:5" x14ac:dyDescent="0.2">
      <c r="A3200">
        <v>3193</v>
      </c>
      <c r="B3200">
        <v>3006</v>
      </c>
      <c r="C3200">
        <v>15</v>
      </c>
      <c r="D3200">
        <v>12.1</v>
      </c>
      <c r="E3200">
        <v>1.9</v>
      </c>
    </row>
    <row r="3201" spans="1:5" x14ac:dyDescent="0.2">
      <c r="A3201">
        <v>3194</v>
      </c>
      <c r="B3201">
        <v>3004</v>
      </c>
      <c r="C3201">
        <v>15</v>
      </c>
      <c r="D3201">
        <v>12.5</v>
      </c>
      <c r="E3201">
        <v>1.9</v>
      </c>
    </row>
    <row r="3202" spans="1:5" x14ac:dyDescent="0.2">
      <c r="A3202">
        <v>3195</v>
      </c>
      <c r="B3202">
        <v>3002</v>
      </c>
      <c r="C3202">
        <v>15</v>
      </c>
      <c r="D3202">
        <v>12.8</v>
      </c>
      <c r="E3202">
        <v>1.9</v>
      </c>
    </row>
    <row r="3203" spans="1:5" x14ac:dyDescent="0.2">
      <c r="A3203">
        <v>3196</v>
      </c>
      <c r="B3203">
        <v>3001</v>
      </c>
      <c r="C3203">
        <v>15</v>
      </c>
      <c r="D3203">
        <v>13.1</v>
      </c>
      <c r="E3203">
        <v>1.9</v>
      </c>
    </row>
    <row r="3204" spans="1:5" x14ac:dyDescent="0.2">
      <c r="A3204">
        <v>3197</v>
      </c>
      <c r="B3204">
        <v>2999</v>
      </c>
      <c r="C3204">
        <v>15</v>
      </c>
      <c r="D3204">
        <v>13.5</v>
      </c>
      <c r="E3204">
        <v>1.9</v>
      </c>
    </row>
    <row r="3205" spans="1:5" x14ac:dyDescent="0.2">
      <c r="A3205">
        <v>3198</v>
      </c>
      <c r="B3205">
        <v>2998</v>
      </c>
      <c r="C3205">
        <v>15</v>
      </c>
      <c r="D3205">
        <v>13.8</v>
      </c>
      <c r="E3205">
        <v>1.8</v>
      </c>
    </row>
    <row r="3206" spans="1:5" x14ac:dyDescent="0.2">
      <c r="A3206">
        <v>3199</v>
      </c>
      <c r="B3206">
        <v>2997</v>
      </c>
      <c r="C3206">
        <v>15</v>
      </c>
      <c r="D3206">
        <v>14</v>
      </c>
      <c r="E3206">
        <v>1.8</v>
      </c>
    </row>
    <row r="3207" spans="1:5" x14ac:dyDescent="0.2">
      <c r="A3207">
        <v>3200</v>
      </c>
      <c r="B3207">
        <v>2996</v>
      </c>
      <c r="C3207">
        <v>15</v>
      </c>
      <c r="D3207">
        <v>14.3</v>
      </c>
      <c r="E3207">
        <v>1.8</v>
      </c>
    </row>
    <row r="3208" spans="1:5" x14ac:dyDescent="0.2">
      <c r="A3208">
        <v>3201</v>
      </c>
      <c r="B3208">
        <v>2995</v>
      </c>
      <c r="C3208">
        <v>15</v>
      </c>
      <c r="D3208">
        <v>14.4</v>
      </c>
      <c r="E3208">
        <v>1.9</v>
      </c>
    </row>
    <row r="3209" spans="1:5" x14ac:dyDescent="0.2">
      <c r="A3209">
        <v>3202</v>
      </c>
      <c r="B3209">
        <v>2996</v>
      </c>
      <c r="C3209">
        <v>15</v>
      </c>
      <c r="D3209">
        <v>14.5</v>
      </c>
      <c r="E3209">
        <v>1.9</v>
      </c>
    </row>
    <row r="3210" spans="1:5" x14ac:dyDescent="0.2">
      <c r="A3210">
        <v>3203</v>
      </c>
      <c r="B3210">
        <v>2997</v>
      </c>
      <c r="C3210">
        <v>15</v>
      </c>
      <c r="D3210">
        <v>14.5</v>
      </c>
      <c r="E3210">
        <v>1.9</v>
      </c>
    </row>
    <row r="3211" spans="1:5" x14ac:dyDescent="0.2">
      <c r="A3211">
        <v>3204</v>
      </c>
      <c r="B3211">
        <v>2998</v>
      </c>
      <c r="C3211">
        <v>15</v>
      </c>
      <c r="D3211">
        <v>14.5</v>
      </c>
      <c r="E3211">
        <v>1.8</v>
      </c>
    </row>
    <row r="3212" spans="1:5" x14ac:dyDescent="0.2">
      <c r="A3212">
        <v>3205</v>
      </c>
      <c r="B3212">
        <v>3000</v>
      </c>
      <c r="C3212">
        <v>14</v>
      </c>
      <c r="D3212">
        <v>14.3</v>
      </c>
      <c r="E3212">
        <v>1.8</v>
      </c>
    </row>
    <row r="3213" spans="1:5" x14ac:dyDescent="0.2">
      <c r="A3213">
        <v>3206</v>
      </c>
      <c r="B3213">
        <v>3003</v>
      </c>
      <c r="C3213">
        <v>14</v>
      </c>
      <c r="D3213">
        <v>14.1</v>
      </c>
      <c r="E3213">
        <v>1.8</v>
      </c>
    </row>
    <row r="3214" spans="1:5" x14ac:dyDescent="0.2">
      <c r="A3214">
        <v>3207</v>
      </c>
      <c r="B3214">
        <v>3005</v>
      </c>
      <c r="C3214">
        <v>14</v>
      </c>
      <c r="D3214">
        <v>13.9</v>
      </c>
      <c r="E3214">
        <v>1.8</v>
      </c>
    </row>
    <row r="3215" spans="1:5" x14ac:dyDescent="0.2">
      <c r="A3215">
        <v>3208</v>
      </c>
      <c r="B3215">
        <v>3008</v>
      </c>
      <c r="C3215">
        <v>14</v>
      </c>
      <c r="D3215">
        <v>13.7</v>
      </c>
      <c r="E3215">
        <v>1.8</v>
      </c>
    </row>
    <row r="3216" spans="1:5" x14ac:dyDescent="0.2">
      <c r="A3216">
        <v>3209</v>
      </c>
      <c r="B3216">
        <v>3011</v>
      </c>
      <c r="C3216">
        <v>15</v>
      </c>
      <c r="D3216">
        <v>13.4</v>
      </c>
      <c r="E3216">
        <v>1.8</v>
      </c>
    </row>
    <row r="3217" spans="1:5" x14ac:dyDescent="0.2">
      <c r="A3217">
        <v>3210</v>
      </c>
      <c r="B3217">
        <v>3014</v>
      </c>
      <c r="C3217">
        <v>15</v>
      </c>
      <c r="D3217">
        <v>13.2</v>
      </c>
      <c r="E3217">
        <v>1.9</v>
      </c>
    </row>
    <row r="3218" spans="1:5" x14ac:dyDescent="0.2">
      <c r="A3218">
        <v>3211</v>
      </c>
      <c r="B3218">
        <v>3017</v>
      </c>
      <c r="C3218">
        <v>15</v>
      </c>
      <c r="D3218">
        <v>12.9</v>
      </c>
      <c r="E3218">
        <v>1.9</v>
      </c>
    </row>
    <row r="3219" spans="1:5" x14ac:dyDescent="0.2">
      <c r="A3219">
        <v>3212</v>
      </c>
      <c r="B3219">
        <v>3020</v>
      </c>
      <c r="C3219">
        <v>15</v>
      </c>
      <c r="D3219">
        <v>12.7</v>
      </c>
      <c r="E3219">
        <v>1.9</v>
      </c>
    </row>
    <row r="3220" spans="1:5" x14ac:dyDescent="0.2">
      <c r="A3220">
        <v>3213</v>
      </c>
      <c r="B3220">
        <v>3022</v>
      </c>
      <c r="C3220">
        <v>15</v>
      </c>
      <c r="D3220">
        <v>12.5</v>
      </c>
      <c r="E3220">
        <v>1.8</v>
      </c>
    </row>
    <row r="3221" spans="1:5" x14ac:dyDescent="0.2">
      <c r="A3221">
        <v>3214</v>
      </c>
      <c r="B3221">
        <v>3024</v>
      </c>
      <c r="C3221">
        <v>14</v>
      </c>
      <c r="D3221">
        <v>12.4</v>
      </c>
      <c r="E3221">
        <v>1.8</v>
      </c>
    </row>
    <row r="3222" spans="1:5" x14ac:dyDescent="0.2">
      <c r="A3222">
        <v>3215</v>
      </c>
      <c r="B3222">
        <v>3026</v>
      </c>
      <c r="C3222">
        <v>15</v>
      </c>
      <c r="D3222">
        <v>12.2</v>
      </c>
      <c r="E3222">
        <v>1.8</v>
      </c>
    </row>
    <row r="3223" spans="1:5" x14ac:dyDescent="0.2">
      <c r="A3223">
        <v>3216</v>
      </c>
      <c r="B3223">
        <v>3028</v>
      </c>
      <c r="C3223">
        <v>15</v>
      </c>
      <c r="D3223">
        <v>12.1</v>
      </c>
      <c r="E3223">
        <v>1.8</v>
      </c>
    </row>
    <row r="3224" spans="1:5" x14ac:dyDescent="0.2">
      <c r="A3224">
        <v>3217</v>
      </c>
      <c r="B3224">
        <v>3030</v>
      </c>
      <c r="C3224">
        <v>15</v>
      </c>
      <c r="D3224">
        <v>12.1</v>
      </c>
      <c r="E3224">
        <v>1.9</v>
      </c>
    </row>
    <row r="3225" spans="1:5" x14ac:dyDescent="0.2">
      <c r="A3225">
        <v>3218</v>
      </c>
      <c r="B3225">
        <v>3031</v>
      </c>
      <c r="C3225">
        <v>15</v>
      </c>
      <c r="D3225">
        <v>12</v>
      </c>
      <c r="E3225">
        <v>1.9</v>
      </c>
    </row>
    <row r="3226" spans="1:5" x14ac:dyDescent="0.2">
      <c r="A3226">
        <v>3219</v>
      </c>
      <c r="B3226">
        <v>3032</v>
      </c>
      <c r="C3226">
        <v>15</v>
      </c>
      <c r="D3226">
        <v>12</v>
      </c>
      <c r="E3226">
        <v>1.9</v>
      </c>
    </row>
    <row r="3227" spans="1:5" x14ac:dyDescent="0.2">
      <c r="A3227">
        <v>3220</v>
      </c>
      <c r="B3227">
        <v>3032</v>
      </c>
      <c r="C3227">
        <v>15</v>
      </c>
      <c r="D3227">
        <v>12.1</v>
      </c>
      <c r="E3227">
        <v>1.9</v>
      </c>
    </row>
    <row r="3228" spans="1:5" x14ac:dyDescent="0.2">
      <c r="A3228">
        <v>3221</v>
      </c>
      <c r="B3228">
        <v>3033</v>
      </c>
      <c r="C3228">
        <v>15</v>
      </c>
      <c r="D3228">
        <v>12.1</v>
      </c>
      <c r="E3228">
        <v>1.9</v>
      </c>
    </row>
    <row r="3229" spans="1:5" x14ac:dyDescent="0.2">
      <c r="A3229">
        <v>3222</v>
      </c>
      <c r="B3229">
        <v>3033</v>
      </c>
      <c r="C3229">
        <v>15</v>
      </c>
      <c r="D3229">
        <v>12.2</v>
      </c>
      <c r="E3229">
        <v>1.9</v>
      </c>
    </row>
    <row r="3230" spans="1:5" x14ac:dyDescent="0.2">
      <c r="A3230">
        <v>3223</v>
      </c>
      <c r="B3230">
        <v>3033</v>
      </c>
      <c r="C3230">
        <v>15</v>
      </c>
      <c r="D3230">
        <v>12.3</v>
      </c>
      <c r="E3230">
        <v>1.9</v>
      </c>
    </row>
    <row r="3231" spans="1:5" x14ac:dyDescent="0.2">
      <c r="A3231">
        <v>3224</v>
      </c>
      <c r="B3231">
        <v>3034</v>
      </c>
      <c r="C3231">
        <v>15</v>
      </c>
      <c r="D3231">
        <v>12.4</v>
      </c>
      <c r="E3231">
        <v>1.9</v>
      </c>
    </row>
    <row r="3232" spans="1:5" x14ac:dyDescent="0.2">
      <c r="A3232">
        <v>3225</v>
      </c>
      <c r="B3232">
        <v>3034</v>
      </c>
      <c r="C3232">
        <v>15</v>
      </c>
      <c r="D3232">
        <v>12.5</v>
      </c>
      <c r="E3232">
        <v>1.9</v>
      </c>
    </row>
    <row r="3233" spans="1:5" x14ac:dyDescent="0.2">
      <c r="A3233">
        <v>3226</v>
      </c>
      <c r="B3233">
        <v>3034</v>
      </c>
      <c r="C3233">
        <v>15</v>
      </c>
      <c r="D3233">
        <v>12.6</v>
      </c>
      <c r="E3233">
        <v>1.9</v>
      </c>
    </row>
    <row r="3234" spans="1:5" x14ac:dyDescent="0.2">
      <c r="A3234">
        <v>3227</v>
      </c>
      <c r="B3234">
        <v>3035</v>
      </c>
      <c r="C3234">
        <v>15</v>
      </c>
      <c r="D3234">
        <v>12.6</v>
      </c>
      <c r="E3234">
        <v>1.9</v>
      </c>
    </row>
    <row r="3235" spans="1:5" x14ac:dyDescent="0.2">
      <c r="A3235">
        <v>3228</v>
      </c>
      <c r="B3235">
        <v>3036</v>
      </c>
      <c r="C3235">
        <v>15</v>
      </c>
      <c r="D3235">
        <v>12.6</v>
      </c>
      <c r="E3235">
        <v>1.9</v>
      </c>
    </row>
    <row r="3236" spans="1:5" x14ac:dyDescent="0.2">
      <c r="A3236">
        <v>3229</v>
      </c>
      <c r="B3236">
        <v>3037</v>
      </c>
      <c r="C3236">
        <v>15</v>
      </c>
      <c r="D3236">
        <v>12.6</v>
      </c>
      <c r="E3236">
        <v>1.8</v>
      </c>
    </row>
    <row r="3237" spans="1:5" x14ac:dyDescent="0.2">
      <c r="A3237">
        <v>3230</v>
      </c>
      <c r="B3237">
        <v>3038</v>
      </c>
      <c r="C3237">
        <v>15</v>
      </c>
      <c r="D3237">
        <v>12.6</v>
      </c>
      <c r="E3237">
        <v>1.9</v>
      </c>
    </row>
    <row r="3238" spans="1:5" x14ac:dyDescent="0.2">
      <c r="A3238">
        <v>3231</v>
      </c>
      <c r="B3238">
        <v>3039</v>
      </c>
      <c r="C3238">
        <v>15</v>
      </c>
      <c r="D3238">
        <v>12.5</v>
      </c>
      <c r="E3238">
        <v>1.8</v>
      </c>
    </row>
    <row r="3239" spans="1:5" x14ac:dyDescent="0.2">
      <c r="A3239">
        <v>3232</v>
      </c>
      <c r="B3239">
        <v>3040</v>
      </c>
      <c r="C3239">
        <v>14</v>
      </c>
      <c r="D3239">
        <v>12.5</v>
      </c>
      <c r="E3239">
        <v>1.8</v>
      </c>
    </row>
    <row r="3240" spans="1:5" x14ac:dyDescent="0.2">
      <c r="A3240">
        <v>3233</v>
      </c>
      <c r="B3240">
        <v>3042</v>
      </c>
      <c r="C3240">
        <v>14</v>
      </c>
      <c r="D3240">
        <v>12.5</v>
      </c>
      <c r="E3240">
        <v>1.8</v>
      </c>
    </row>
    <row r="3241" spans="1:5" x14ac:dyDescent="0.2">
      <c r="A3241">
        <v>3234</v>
      </c>
      <c r="B3241">
        <v>3043</v>
      </c>
      <c r="C3241">
        <v>14</v>
      </c>
      <c r="D3241">
        <v>12.5</v>
      </c>
      <c r="E3241">
        <v>1.8</v>
      </c>
    </row>
    <row r="3242" spans="1:5" x14ac:dyDescent="0.2">
      <c r="A3242">
        <v>3235</v>
      </c>
      <c r="B3242">
        <v>3044</v>
      </c>
      <c r="C3242">
        <v>14</v>
      </c>
      <c r="D3242">
        <v>12.5</v>
      </c>
      <c r="E3242">
        <v>1.8</v>
      </c>
    </row>
    <row r="3243" spans="1:5" x14ac:dyDescent="0.2">
      <c r="A3243">
        <v>3236</v>
      </c>
      <c r="B3243">
        <v>3044</v>
      </c>
      <c r="C3243">
        <v>14</v>
      </c>
      <c r="D3243">
        <v>12.5</v>
      </c>
      <c r="E3243">
        <v>1.8</v>
      </c>
    </row>
    <row r="3244" spans="1:5" x14ac:dyDescent="0.2">
      <c r="A3244">
        <v>3237</v>
      </c>
      <c r="B3244">
        <v>3045</v>
      </c>
      <c r="C3244">
        <v>14</v>
      </c>
      <c r="D3244">
        <v>12.6</v>
      </c>
      <c r="E3244">
        <v>1.8</v>
      </c>
    </row>
    <row r="3245" spans="1:5" x14ac:dyDescent="0.2">
      <c r="A3245">
        <v>3238</v>
      </c>
      <c r="B3245">
        <v>3046</v>
      </c>
      <c r="C3245">
        <v>15</v>
      </c>
      <c r="D3245">
        <v>12.6</v>
      </c>
      <c r="E3245">
        <v>1.8</v>
      </c>
    </row>
    <row r="3246" spans="1:5" x14ac:dyDescent="0.2">
      <c r="A3246">
        <v>3239</v>
      </c>
      <c r="B3246">
        <v>3046</v>
      </c>
      <c r="C3246">
        <v>15</v>
      </c>
      <c r="D3246">
        <v>12.7</v>
      </c>
      <c r="E3246">
        <v>1.9</v>
      </c>
    </row>
    <row r="3247" spans="1:5" x14ac:dyDescent="0.2">
      <c r="A3247">
        <v>3240</v>
      </c>
      <c r="B3247">
        <v>3047</v>
      </c>
      <c r="C3247">
        <v>15</v>
      </c>
      <c r="D3247">
        <v>12.7</v>
      </c>
      <c r="E3247">
        <v>1.9</v>
      </c>
    </row>
    <row r="3248" spans="1:5" x14ac:dyDescent="0.2">
      <c r="A3248">
        <v>3241</v>
      </c>
      <c r="B3248">
        <v>3047</v>
      </c>
      <c r="C3248">
        <v>15</v>
      </c>
      <c r="D3248">
        <v>12.8</v>
      </c>
      <c r="E3248">
        <v>1.9</v>
      </c>
    </row>
    <row r="3249" spans="1:5" x14ac:dyDescent="0.2">
      <c r="A3249">
        <v>3242</v>
      </c>
      <c r="B3249">
        <v>3048</v>
      </c>
      <c r="C3249">
        <v>15</v>
      </c>
      <c r="D3249">
        <v>12.9</v>
      </c>
      <c r="E3249">
        <v>1.9</v>
      </c>
    </row>
    <row r="3250" spans="1:5" x14ac:dyDescent="0.2">
      <c r="A3250">
        <v>3243</v>
      </c>
      <c r="B3250">
        <v>3048</v>
      </c>
      <c r="C3250">
        <v>15</v>
      </c>
      <c r="D3250">
        <v>12.9</v>
      </c>
      <c r="E3250">
        <v>1.9</v>
      </c>
    </row>
    <row r="3251" spans="1:5" x14ac:dyDescent="0.2">
      <c r="A3251">
        <v>3244</v>
      </c>
      <c r="B3251">
        <v>3049</v>
      </c>
      <c r="C3251">
        <v>15</v>
      </c>
      <c r="D3251">
        <v>12.9</v>
      </c>
      <c r="E3251">
        <v>1.9</v>
      </c>
    </row>
    <row r="3252" spans="1:5" x14ac:dyDescent="0.2">
      <c r="A3252">
        <v>3245</v>
      </c>
      <c r="B3252">
        <v>3050</v>
      </c>
      <c r="C3252">
        <v>16</v>
      </c>
      <c r="D3252">
        <v>13</v>
      </c>
      <c r="E3252">
        <v>2</v>
      </c>
    </row>
    <row r="3253" spans="1:5" x14ac:dyDescent="0.2">
      <c r="A3253">
        <v>3246</v>
      </c>
      <c r="B3253">
        <v>3051</v>
      </c>
      <c r="C3253">
        <v>16</v>
      </c>
      <c r="D3253">
        <v>13</v>
      </c>
      <c r="E3253">
        <v>2</v>
      </c>
    </row>
    <row r="3254" spans="1:5" x14ac:dyDescent="0.2">
      <c r="A3254">
        <v>3247</v>
      </c>
      <c r="B3254">
        <v>3052</v>
      </c>
      <c r="C3254">
        <v>15</v>
      </c>
      <c r="D3254">
        <v>12.9</v>
      </c>
      <c r="E3254">
        <v>1.9</v>
      </c>
    </row>
    <row r="3255" spans="1:5" x14ac:dyDescent="0.2">
      <c r="A3255">
        <v>3248</v>
      </c>
      <c r="B3255">
        <v>3053</v>
      </c>
      <c r="C3255">
        <v>15</v>
      </c>
      <c r="D3255">
        <v>12.9</v>
      </c>
      <c r="E3255">
        <v>1.9</v>
      </c>
    </row>
    <row r="3256" spans="1:5" x14ac:dyDescent="0.2">
      <c r="A3256">
        <v>3249</v>
      </c>
      <c r="B3256">
        <v>3055</v>
      </c>
      <c r="C3256">
        <v>15</v>
      </c>
      <c r="D3256">
        <v>12.8</v>
      </c>
      <c r="E3256">
        <v>1.9</v>
      </c>
    </row>
    <row r="3257" spans="1:5" x14ac:dyDescent="0.2">
      <c r="A3257">
        <v>3250</v>
      </c>
      <c r="B3257">
        <v>3057</v>
      </c>
      <c r="C3257">
        <v>15</v>
      </c>
      <c r="D3257">
        <v>12.6</v>
      </c>
      <c r="E3257">
        <v>2</v>
      </c>
    </row>
    <row r="3258" spans="1:5" x14ac:dyDescent="0.2">
      <c r="A3258">
        <v>3251</v>
      </c>
      <c r="B3258">
        <v>3059</v>
      </c>
      <c r="C3258">
        <v>15</v>
      </c>
      <c r="D3258">
        <v>12.5</v>
      </c>
      <c r="E3258">
        <v>1.9</v>
      </c>
    </row>
    <row r="3259" spans="1:5" x14ac:dyDescent="0.2">
      <c r="A3259">
        <v>3252</v>
      </c>
      <c r="B3259">
        <v>3062</v>
      </c>
      <c r="C3259">
        <v>15</v>
      </c>
      <c r="D3259">
        <v>12.3</v>
      </c>
      <c r="E3259">
        <v>1.9</v>
      </c>
    </row>
    <row r="3260" spans="1:5" x14ac:dyDescent="0.2">
      <c r="A3260">
        <v>3253</v>
      </c>
      <c r="B3260">
        <v>3064</v>
      </c>
      <c r="C3260">
        <v>15</v>
      </c>
      <c r="D3260">
        <v>12.1</v>
      </c>
      <c r="E3260">
        <v>1.9</v>
      </c>
    </row>
    <row r="3261" spans="1:5" x14ac:dyDescent="0.2">
      <c r="A3261">
        <v>3254</v>
      </c>
      <c r="B3261">
        <v>3066</v>
      </c>
      <c r="C3261">
        <v>15</v>
      </c>
      <c r="D3261">
        <v>12</v>
      </c>
      <c r="E3261">
        <v>1.9</v>
      </c>
    </row>
    <row r="3262" spans="1:5" x14ac:dyDescent="0.2">
      <c r="A3262">
        <v>3255</v>
      </c>
      <c r="B3262">
        <v>3068</v>
      </c>
      <c r="C3262">
        <v>15</v>
      </c>
      <c r="D3262">
        <v>11.9</v>
      </c>
      <c r="E3262">
        <v>1.9</v>
      </c>
    </row>
    <row r="3263" spans="1:5" x14ac:dyDescent="0.2">
      <c r="A3263">
        <v>3256</v>
      </c>
      <c r="B3263">
        <v>3070</v>
      </c>
      <c r="C3263">
        <v>15</v>
      </c>
      <c r="D3263">
        <v>11.8</v>
      </c>
      <c r="E3263">
        <v>1.9</v>
      </c>
    </row>
    <row r="3264" spans="1:5" x14ac:dyDescent="0.2">
      <c r="A3264">
        <v>3257</v>
      </c>
      <c r="B3264">
        <v>3071</v>
      </c>
      <c r="C3264">
        <v>15</v>
      </c>
      <c r="D3264">
        <v>11.7</v>
      </c>
      <c r="E3264">
        <v>1.9</v>
      </c>
    </row>
    <row r="3265" spans="1:5" x14ac:dyDescent="0.2">
      <c r="A3265">
        <v>3258</v>
      </c>
      <c r="B3265">
        <v>3072</v>
      </c>
      <c r="C3265">
        <v>15</v>
      </c>
      <c r="D3265">
        <v>11.7</v>
      </c>
      <c r="E3265">
        <v>1.8</v>
      </c>
    </row>
    <row r="3266" spans="1:5" x14ac:dyDescent="0.2">
      <c r="A3266">
        <v>3259</v>
      </c>
      <c r="B3266">
        <v>3074</v>
      </c>
      <c r="C3266">
        <v>15</v>
      </c>
      <c r="D3266">
        <v>11.7</v>
      </c>
      <c r="E3266">
        <v>1.8</v>
      </c>
    </row>
    <row r="3267" spans="1:5" x14ac:dyDescent="0.2">
      <c r="A3267">
        <v>3260</v>
      </c>
      <c r="B3267">
        <v>3074</v>
      </c>
      <c r="C3267">
        <v>15</v>
      </c>
      <c r="D3267">
        <v>11.7</v>
      </c>
      <c r="E3267">
        <v>1.9</v>
      </c>
    </row>
    <row r="3268" spans="1:5" x14ac:dyDescent="0.2">
      <c r="A3268">
        <v>3261</v>
      </c>
      <c r="B3268">
        <v>3075</v>
      </c>
      <c r="C3268">
        <v>15</v>
      </c>
      <c r="D3268">
        <v>11.7</v>
      </c>
      <c r="E3268">
        <v>1.9</v>
      </c>
    </row>
    <row r="3269" spans="1:5" x14ac:dyDescent="0.2">
      <c r="A3269">
        <v>3262</v>
      </c>
      <c r="B3269">
        <v>3076</v>
      </c>
      <c r="C3269">
        <v>15</v>
      </c>
      <c r="D3269">
        <v>11.7</v>
      </c>
      <c r="E3269">
        <v>1.9</v>
      </c>
    </row>
    <row r="3270" spans="1:5" x14ac:dyDescent="0.2">
      <c r="A3270">
        <v>3263</v>
      </c>
      <c r="B3270">
        <v>3077</v>
      </c>
      <c r="C3270">
        <v>15</v>
      </c>
      <c r="D3270">
        <v>11.7</v>
      </c>
      <c r="E3270">
        <v>1.9</v>
      </c>
    </row>
    <row r="3271" spans="1:5" x14ac:dyDescent="0.2">
      <c r="A3271">
        <v>3264</v>
      </c>
      <c r="B3271">
        <v>3078</v>
      </c>
      <c r="C3271">
        <v>15</v>
      </c>
      <c r="D3271">
        <v>11.8</v>
      </c>
      <c r="E3271">
        <v>1.8</v>
      </c>
    </row>
    <row r="3272" spans="1:5" x14ac:dyDescent="0.2">
      <c r="A3272">
        <v>3265</v>
      </c>
      <c r="B3272">
        <v>3079</v>
      </c>
      <c r="C3272">
        <v>15</v>
      </c>
      <c r="D3272">
        <v>11.8</v>
      </c>
      <c r="E3272">
        <v>1.8</v>
      </c>
    </row>
    <row r="3273" spans="1:5" x14ac:dyDescent="0.2">
      <c r="A3273">
        <v>3266</v>
      </c>
      <c r="B3273">
        <v>3080</v>
      </c>
      <c r="C3273">
        <v>15</v>
      </c>
      <c r="D3273">
        <v>11.8</v>
      </c>
      <c r="E3273">
        <v>1.8</v>
      </c>
    </row>
    <row r="3274" spans="1:5" x14ac:dyDescent="0.2">
      <c r="A3274">
        <v>3267</v>
      </c>
      <c r="B3274">
        <v>3081</v>
      </c>
      <c r="C3274">
        <v>15</v>
      </c>
      <c r="D3274">
        <v>11.7</v>
      </c>
      <c r="E3274">
        <v>1.9</v>
      </c>
    </row>
    <row r="3275" spans="1:5" x14ac:dyDescent="0.2">
      <c r="A3275">
        <v>3268</v>
      </c>
      <c r="B3275">
        <v>3082</v>
      </c>
      <c r="C3275">
        <v>15</v>
      </c>
      <c r="D3275">
        <v>11.7</v>
      </c>
      <c r="E3275">
        <v>1.9</v>
      </c>
    </row>
    <row r="3276" spans="1:5" x14ac:dyDescent="0.2">
      <c r="A3276">
        <v>3269</v>
      </c>
      <c r="B3276">
        <v>3084</v>
      </c>
      <c r="C3276">
        <v>15</v>
      </c>
      <c r="D3276">
        <v>11.6</v>
      </c>
      <c r="E3276">
        <v>1.9</v>
      </c>
    </row>
    <row r="3277" spans="1:5" x14ac:dyDescent="0.2">
      <c r="A3277">
        <v>3270</v>
      </c>
      <c r="B3277">
        <v>3086</v>
      </c>
      <c r="C3277">
        <v>15</v>
      </c>
      <c r="D3277">
        <v>11.4</v>
      </c>
      <c r="E3277">
        <v>1.9</v>
      </c>
    </row>
    <row r="3278" spans="1:5" x14ac:dyDescent="0.2">
      <c r="A3278">
        <v>3271</v>
      </c>
      <c r="B3278">
        <v>3088</v>
      </c>
      <c r="C3278">
        <v>15</v>
      </c>
      <c r="D3278">
        <v>11.3</v>
      </c>
      <c r="E3278">
        <v>1.9</v>
      </c>
    </row>
    <row r="3279" spans="1:5" x14ac:dyDescent="0.2">
      <c r="A3279">
        <v>3272</v>
      </c>
      <c r="B3279">
        <v>3091</v>
      </c>
      <c r="C3279">
        <v>15</v>
      </c>
      <c r="D3279">
        <v>11.1</v>
      </c>
      <c r="E3279">
        <v>1.9</v>
      </c>
    </row>
    <row r="3280" spans="1:5" x14ac:dyDescent="0.2">
      <c r="A3280">
        <v>3273</v>
      </c>
      <c r="B3280">
        <v>3093</v>
      </c>
      <c r="C3280">
        <v>16</v>
      </c>
      <c r="D3280">
        <v>10.9</v>
      </c>
      <c r="E3280">
        <v>2</v>
      </c>
    </row>
    <row r="3281" spans="1:5" x14ac:dyDescent="0.2">
      <c r="A3281">
        <v>3274</v>
      </c>
      <c r="B3281">
        <v>3095</v>
      </c>
      <c r="C3281">
        <v>16</v>
      </c>
      <c r="D3281">
        <v>10.8</v>
      </c>
      <c r="E3281">
        <v>2</v>
      </c>
    </row>
    <row r="3282" spans="1:5" x14ac:dyDescent="0.2">
      <c r="A3282">
        <v>3275</v>
      </c>
      <c r="B3282">
        <v>3097</v>
      </c>
      <c r="C3282">
        <v>16</v>
      </c>
      <c r="D3282">
        <v>10.7</v>
      </c>
      <c r="E3282">
        <v>2</v>
      </c>
    </row>
    <row r="3283" spans="1:5" x14ac:dyDescent="0.2">
      <c r="A3283">
        <v>3276</v>
      </c>
      <c r="B3283">
        <v>3098</v>
      </c>
      <c r="C3283">
        <v>16</v>
      </c>
      <c r="D3283">
        <v>10.6</v>
      </c>
      <c r="E3283">
        <v>2</v>
      </c>
    </row>
    <row r="3284" spans="1:5" x14ac:dyDescent="0.2">
      <c r="A3284">
        <v>3277</v>
      </c>
      <c r="B3284">
        <v>3099</v>
      </c>
      <c r="C3284">
        <v>15</v>
      </c>
      <c r="D3284">
        <v>10.7</v>
      </c>
      <c r="E3284">
        <v>1.9</v>
      </c>
    </row>
    <row r="3285" spans="1:5" x14ac:dyDescent="0.2">
      <c r="A3285">
        <v>3278</v>
      </c>
      <c r="B3285">
        <v>3100</v>
      </c>
      <c r="C3285">
        <v>15</v>
      </c>
      <c r="D3285">
        <v>10.7</v>
      </c>
      <c r="E3285">
        <v>1.9</v>
      </c>
    </row>
    <row r="3286" spans="1:5" x14ac:dyDescent="0.2">
      <c r="A3286">
        <v>3279</v>
      </c>
      <c r="B3286">
        <v>3100</v>
      </c>
      <c r="C3286">
        <v>15</v>
      </c>
      <c r="D3286">
        <v>10.8</v>
      </c>
      <c r="E3286">
        <v>1.9</v>
      </c>
    </row>
    <row r="3287" spans="1:5" x14ac:dyDescent="0.2">
      <c r="A3287">
        <v>3280</v>
      </c>
      <c r="B3287">
        <v>3099</v>
      </c>
      <c r="C3287">
        <v>15</v>
      </c>
      <c r="D3287">
        <v>11</v>
      </c>
      <c r="E3287">
        <v>1.9</v>
      </c>
    </row>
    <row r="3288" spans="1:5" x14ac:dyDescent="0.2">
      <c r="A3288">
        <v>3281</v>
      </c>
      <c r="B3288">
        <v>3098</v>
      </c>
      <c r="C3288">
        <v>15</v>
      </c>
      <c r="D3288">
        <v>11.3</v>
      </c>
      <c r="E3288">
        <v>1.9</v>
      </c>
    </row>
    <row r="3289" spans="1:5" x14ac:dyDescent="0.2">
      <c r="A3289">
        <v>3282</v>
      </c>
      <c r="B3289">
        <v>3097</v>
      </c>
      <c r="C3289">
        <v>16</v>
      </c>
      <c r="D3289">
        <v>11.6</v>
      </c>
      <c r="E3289">
        <v>2</v>
      </c>
    </row>
    <row r="3290" spans="1:5" x14ac:dyDescent="0.2">
      <c r="A3290">
        <v>3283</v>
      </c>
      <c r="B3290">
        <v>3095</v>
      </c>
      <c r="C3290">
        <v>16</v>
      </c>
      <c r="D3290">
        <v>12</v>
      </c>
      <c r="E3290">
        <v>2</v>
      </c>
    </row>
    <row r="3291" spans="1:5" x14ac:dyDescent="0.2">
      <c r="A3291">
        <v>3284</v>
      </c>
      <c r="B3291">
        <v>3092</v>
      </c>
      <c r="C3291">
        <v>16</v>
      </c>
      <c r="D3291">
        <v>12.4</v>
      </c>
      <c r="E3291">
        <v>2</v>
      </c>
    </row>
    <row r="3292" spans="1:5" x14ac:dyDescent="0.2">
      <c r="A3292">
        <v>3285</v>
      </c>
      <c r="B3292">
        <v>3089</v>
      </c>
      <c r="C3292">
        <v>15</v>
      </c>
      <c r="D3292">
        <v>12.9</v>
      </c>
      <c r="E3292">
        <v>1.9</v>
      </c>
    </row>
    <row r="3293" spans="1:5" x14ac:dyDescent="0.2">
      <c r="A3293">
        <v>3286</v>
      </c>
      <c r="B3293">
        <v>3086</v>
      </c>
      <c r="C3293">
        <v>15</v>
      </c>
      <c r="D3293">
        <v>13.4</v>
      </c>
      <c r="E3293">
        <v>1.9</v>
      </c>
    </row>
    <row r="3294" spans="1:5" x14ac:dyDescent="0.2">
      <c r="A3294">
        <v>3287</v>
      </c>
      <c r="B3294">
        <v>3083</v>
      </c>
      <c r="C3294">
        <v>15</v>
      </c>
      <c r="D3294">
        <v>13.9</v>
      </c>
      <c r="E3294">
        <v>1.9</v>
      </c>
    </row>
    <row r="3295" spans="1:5" x14ac:dyDescent="0.2">
      <c r="A3295">
        <v>3288</v>
      </c>
      <c r="B3295">
        <v>3079</v>
      </c>
      <c r="C3295">
        <v>16</v>
      </c>
      <c r="D3295">
        <v>14.5</v>
      </c>
      <c r="E3295">
        <v>2</v>
      </c>
    </row>
    <row r="3296" spans="1:5" x14ac:dyDescent="0.2">
      <c r="A3296">
        <v>3289</v>
      </c>
      <c r="B3296">
        <v>3076</v>
      </c>
      <c r="C3296">
        <v>16</v>
      </c>
      <c r="D3296">
        <v>15</v>
      </c>
      <c r="E3296">
        <v>2</v>
      </c>
    </row>
    <row r="3297" spans="1:5" x14ac:dyDescent="0.2">
      <c r="A3297">
        <v>3290</v>
      </c>
      <c r="B3297">
        <v>3074</v>
      </c>
      <c r="C3297">
        <v>16</v>
      </c>
      <c r="D3297">
        <v>15.5</v>
      </c>
      <c r="E3297">
        <v>2</v>
      </c>
    </row>
    <row r="3298" spans="1:5" x14ac:dyDescent="0.2">
      <c r="A3298">
        <v>3291</v>
      </c>
      <c r="B3298">
        <v>3071</v>
      </c>
      <c r="C3298">
        <v>16</v>
      </c>
      <c r="D3298">
        <v>15.9</v>
      </c>
      <c r="E3298">
        <v>2</v>
      </c>
    </row>
    <row r="3299" spans="1:5" x14ac:dyDescent="0.2">
      <c r="A3299">
        <v>3292</v>
      </c>
      <c r="B3299">
        <v>3069</v>
      </c>
      <c r="C3299">
        <v>16</v>
      </c>
      <c r="D3299">
        <v>16.3</v>
      </c>
      <c r="E3299">
        <v>2</v>
      </c>
    </row>
    <row r="3300" spans="1:5" x14ac:dyDescent="0.2">
      <c r="A3300">
        <v>3293</v>
      </c>
      <c r="B3300">
        <v>3068</v>
      </c>
      <c r="C3300">
        <v>16</v>
      </c>
      <c r="D3300">
        <v>16.600000000000001</v>
      </c>
      <c r="E3300">
        <v>2</v>
      </c>
    </row>
    <row r="3301" spans="1:5" x14ac:dyDescent="0.2">
      <c r="A3301">
        <v>3294</v>
      </c>
      <c r="B3301">
        <v>3066</v>
      </c>
      <c r="C3301">
        <v>16</v>
      </c>
      <c r="D3301">
        <v>16.899999999999999</v>
      </c>
      <c r="E3301">
        <v>2</v>
      </c>
    </row>
    <row r="3302" spans="1:5" x14ac:dyDescent="0.2">
      <c r="A3302">
        <v>3295</v>
      </c>
      <c r="B3302">
        <v>3065</v>
      </c>
      <c r="C3302">
        <v>16</v>
      </c>
      <c r="D3302">
        <v>17.2</v>
      </c>
      <c r="E3302">
        <v>2</v>
      </c>
    </row>
    <row r="3303" spans="1:5" x14ac:dyDescent="0.2">
      <c r="A3303">
        <v>3296</v>
      </c>
      <c r="B3303">
        <v>3063</v>
      </c>
      <c r="C3303">
        <v>16</v>
      </c>
      <c r="D3303">
        <v>17.5</v>
      </c>
      <c r="E3303">
        <v>2</v>
      </c>
    </row>
    <row r="3304" spans="1:5" x14ac:dyDescent="0.2">
      <c r="A3304">
        <v>3297</v>
      </c>
      <c r="B3304">
        <v>3062</v>
      </c>
      <c r="C3304">
        <v>16</v>
      </c>
      <c r="D3304">
        <v>17.8</v>
      </c>
      <c r="E3304">
        <v>2</v>
      </c>
    </row>
    <row r="3305" spans="1:5" x14ac:dyDescent="0.2">
      <c r="A3305">
        <v>3298</v>
      </c>
      <c r="B3305">
        <v>3060</v>
      </c>
      <c r="C3305">
        <v>16</v>
      </c>
      <c r="D3305">
        <v>18.100000000000001</v>
      </c>
      <c r="E3305">
        <v>2.1</v>
      </c>
    </row>
    <row r="3306" spans="1:5" x14ac:dyDescent="0.2">
      <c r="A3306">
        <v>3299</v>
      </c>
      <c r="B3306">
        <v>3059</v>
      </c>
      <c r="C3306">
        <v>16</v>
      </c>
      <c r="D3306">
        <v>18.399999999999999</v>
      </c>
      <c r="E3306">
        <v>2.1</v>
      </c>
    </row>
    <row r="3307" spans="1:5" x14ac:dyDescent="0.2">
      <c r="A3307">
        <v>3300</v>
      </c>
      <c r="B3307">
        <v>3057</v>
      </c>
      <c r="C3307">
        <v>16</v>
      </c>
      <c r="D3307">
        <v>18.8</v>
      </c>
      <c r="E3307">
        <v>2.1</v>
      </c>
    </row>
    <row r="3308" spans="1:5" x14ac:dyDescent="0.2">
      <c r="A3308">
        <v>3301</v>
      </c>
      <c r="B3308">
        <v>3056</v>
      </c>
      <c r="C3308">
        <v>16</v>
      </c>
      <c r="D3308">
        <v>19.100000000000001</v>
      </c>
      <c r="E3308">
        <v>2</v>
      </c>
    </row>
    <row r="3309" spans="1:5" x14ac:dyDescent="0.2">
      <c r="A3309">
        <v>3302</v>
      </c>
      <c r="B3309">
        <v>3054</v>
      </c>
      <c r="C3309">
        <v>16</v>
      </c>
      <c r="D3309">
        <v>19.5</v>
      </c>
      <c r="E3309">
        <v>2</v>
      </c>
    </row>
    <row r="3310" spans="1:5" x14ac:dyDescent="0.2">
      <c r="A3310">
        <v>3303</v>
      </c>
      <c r="B3310">
        <v>3052</v>
      </c>
      <c r="C3310">
        <v>16</v>
      </c>
      <c r="D3310">
        <v>19.8</v>
      </c>
      <c r="E3310">
        <v>2</v>
      </c>
    </row>
    <row r="3311" spans="1:5" x14ac:dyDescent="0.2">
      <c r="A3311">
        <v>3304</v>
      </c>
      <c r="B3311">
        <v>3051</v>
      </c>
      <c r="C3311">
        <v>16</v>
      </c>
      <c r="D3311">
        <v>20.100000000000001</v>
      </c>
      <c r="E3311">
        <v>2.1</v>
      </c>
    </row>
    <row r="3312" spans="1:5" x14ac:dyDescent="0.2">
      <c r="A3312">
        <v>3305</v>
      </c>
      <c r="B3312">
        <v>3049</v>
      </c>
      <c r="C3312">
        <v>17</v>
      </c>
      <c r="D3312">
        <v>20.399999999999999</v>
      </c>
      <c r="E3312">
        <v>2.1</v>
      </c>
    </row>
    <row r="3313" spans="1:5" x14ac:dyDescent="0.2">
      <c r="A3313">
        <v>3306</v>
      </c>
      <c r="B3313">
        <v>3048</v>
      </c>
      <c r="C3313">
        <v>17</v>
      </c>
      <c r="D3313">
        <v>20.7</v>
      </c>
      <c r="E3313">
        <v>2.2000000000000002</v>
      </c>
    </row>
    <row r="3314" spans="1:5" x14ac:dyDescent="0.2">
      <c r="A3314">
        <v>3307</v>
      </c>
      <c r="B3314">
        <v>3047</v>
      </c>
      <c r="C3314">
        <v>18</v>
      </c>
      <c r="D3314">
        <v>21</v>
      </c>
      <c r="E3314">
        <v>2.2000000000000002</v>
      </c>
    </row>
    <row r="3315" spans="1:5" x14ac:dyDescent="0.2">
      <c r="A3315">
        <v>3308</v>
      </c>
      <c r="B3315">
        <v>3046</v>
      </c>
      <c r="C3315">
        <v>18</v>
      </c>
      <c r="D3315">
        <v>21.2</v>
      </c>
      <c r="E3315">
        <v>2.2999999999999998</v>
      </c>
    </row>
    <row r="3316" spans="1:5" x14ac:dyDescent="0.2">
      <c r="A3316">
        <v>3309</v>
      </c>
      <c r="B3316">
        <v>3045</v>
      </c>
      <c r="C3316">
        <v>19</v>
      </c>
      <c r="D3316">
        <v>21.4</v>
      </c>
      <c r="E3316">
        <v>2.4</v>
      </c>
    </row>
    <row r="3317" spans="1:5" x14ac:dyDescent="0.2">
      <c r="A3317">
        <v>3310</v>
      </c>
      <c r="B3317">
        <v>3044</v>
      </c>
      <c r="C3317">
        <v>19</v>
      </c>
      <c r="D3317">
        <v>21.6</v>
      </c>
      <c r="E3317">
        <v>2.4</v>
      </c>
    </row>
    <row r="3318" spans="1:5" x14ac:dyDescent="0.2">
      <c r="A3318">
        <v>3311</v>
      </c>
      <c r="B3318">
        <v>3044</v>
      </c>
      <c r="C3318">
        <v>19</v>
      </c>
      <c r="D3318">
        <v>21.8</v>
      </c>
      <c r="E3318">
        <v>2.4</v>
      </c>
    </row>
    <row r="3319" spans="1:5" x14ac:dyDescent="0.2">
      <c r="A3319">
        <v>3312</v>
      </c>
      <c r="B3319">
        <v>3044</v>
      </c>
      <c r="C3319">
        <v>19</v>
      </c>
      <c r="D3319">
        <v>22</v>
      </c>
      <c r="E3319">
        <v>2.4</v>
      </c>
    </row>
    <row r="3320" spans="1:5" x14ac:dyDescent="0.2">
      <c r="A3320">
        <v>3313</v>
      </c>
      <c r="B3320">
        <v>3044</v>
      </c>
      <c r="C3320">
        <v>19</v>
      </c>
      <c r="D3320">
        <v>22</v>
      </c>
      <c r="E3320">
        <v>2.4</v>
      </c>
    </row>
    <row r="3321" spans="1:5" x14ac:dyDescent="0.2">
      <c r="A3321">
        <v>3314</v>
      </c>
      <c r="B3321">
        <v>3044</v>
      </c>
      <c r="C3321">
        <v>19</v>
      </c>
      <c r="D3321">
        <v>22.1</v>
      </c>
      <c r="E3321">
        <v>2.4</v>
      </c>
    </row>
    <row r="3322" spans="1:5" x14ac:dyDescent="0.2">
      <c r="A3322">
        <v>3315</v>
      </c>
      <c r="B3322">
        <v>3045</v>
      </c>
      <c r="C3322">
        <v>18</v>
      </c>
      <c r="D3322">
        <v>22.2</v>
      </c>
      <c r="E3322">
        <v>2.2999999999999998</v>
      </c>
    </row>
    <row r="3323" spans="1:5" x14ac:dyDescent="0.2">
      <c r="A3323">
        <v>3316</v>
      </c>
      <c r="B3323">
        <v>3046</v>
      </c>
      <c r="C3323">
        <v>18</v>
      </c>
      <c r="D3323">
        <v>22.2</v>
      </c>
      <c r="E3323">
        <v>2.2999999999999998</v>
      </c>
    </row>
    <row r="3324" spans="1:5" x14ac:dyDescent="0.2">
      <c r="A3324">
        <v>3317</v>
      </c>
      <c r="B3324">
        <v>3047</v>
      </c>
      <c r="C3324">
        <v>18</v>
      </c>
      <c r="D3324">
        <v>22.2</v>
      </c>
      <c r="E3324">
        <v>2.2000000000000002</v>
      </c>
    </row>
    <row r="3325" spans="1:5" x14ac:dyDescent="0.2">
      <c r="A3325">
        <v>3318</v>
      </c>
      <c r="B3325">
        <v>3048</v>
      </c>
      <c r="C3325">
        <v>17</v>
      </c>
      <c r="D3325">
        <v>22.2</v>
      </c>
      <c r="E3325">
        <v>2.2000000000000002</v>
      </c>
    </row>
    <row r="3326" spans="1:5" x14ac:dyDescent="0.2">
      <c r="A3326">
        <v>3319</v>
      </c>
      <c r="B3326">
        <v>3049</v>
      </c>
      <c r="C3326">
        <v>17</v>
      </c>
      <c r="D3326">
        <v>22.1</v>
      </c>
      <c r="E3326">
        <v>2.2000000000000002</v>
      </c>
    </row>
    <row r="3327" spans="1:5" x14ac:dyDescent="0.2">
      <c r="A3327">
        <v>3320</v>
      </c>
      <c r="B3327">
        <v>3051</v>
      </c>
      <c r="C3327">
        <v>18</v>
      </c>
      <c r="D3327">
        <v>22.1</v>
      </c>
      <c r="E3327">
        <v>2.2000000000000002</v>
      </c>
    </row>
    <row r="3328" spans="1:5" x14ac:dyDescent="0.2">
      <c r="A3328">
        <v>3321</v>
      </c>
      <c r="B3328">
        <v>3052</v>
      </c>
      <c r="C3328">
        <v>18</v>
      </c>
      <c r="D3328">
        <v>22</v>
      </c>
      <c r="E3328">
        <v>2.2999999999999998</v>
      </c>
    </row>
    <row r="3329" spans="1:5" x14ac:dyDescent="0.2">
      <c r="A3329">
        <v>3322</v>
      </c>
      <c r="B3329">
        <v>3054</v>
      </c>
      <c r="C3329">
        <v>18</v>
      </c>
      <c r="D3329">
        <v>21.9</v>
      </c>
      <c r="E3329">
        <v>2.2999999999999998</v>
      </c>
    </row>
    <row r="3330" spans="1:5" x14ac:dyDescent="0.2">
      <c r="A3330">
        <v>3323</v>
      </c>
      <c r="B3330">
        <v>3056</v>
      </c>
      <c r="C3330">
        <v>19</v>
      </c>
      <c r="D3330">
        <v>21.8</v>
      </c>
      <c r="E3330">
        <v>2.4</v>
      </c>
    </row>
    <row r="3331" spans="1:5" x14ac:dyDescent="0.2">
      <c r="A3331">
        <v>3324</v>
      </c>
      <c r="B3331">
        <v>3058</v>
      </c>
      <c r="C3331">
        <v>19</v>
      </c>
      <c r="D3331">
        <v>21.7</v>
      </c>
      <c r="E3331">
        <v>2.4</v>
      </c>
    </row>
    <row r="3332" spans="1:5" x14ac:dyDescent="0.2">
      <c r="A3332">
        <v>3325</v>
      </c>
      <c r="B3332">
        <v>3060</v>
      </c>
      <c r="C3332">
        <v>19</v>
      </c>
      <c r="D3332">
        <v>21.5</v>
      </c>
      <c r="E3332">
        <v>2.4</v>
      </c>
    </row>
    <row r="3333" spans="1:5" x14ac:dyDescent="0.2">
      <c r="A3333">
        <v>3326</v>
      </c>
      <c r="B3333">
        <v>3062</v>
      </c>
      <c r="C3333">
        <v>19</v>
      </c>
      <c r="D3333">
        <v>21.4</v>
      </c>
      <c r="E3333">
        <v>2.4</v>
      </c>
    </row>
    <row r="3334" spans="1:5" x14ac:dyDescent="0.2">
      <c r="A3334">
        <v>3327</v>
      </c>
      <c r="B3334">
        <v>3064</v>
      </c>
      <c r="C3334">
        <v>19</v>
      </c>
      <c r="D3334">
        <v>21.3</v>
      </c>
      <c r="E3334">
        <v>2.4</v>
      </c>
    </row>
    <row r="3335" spans="1:5" x14ac:dyDescent="0.2">
      <c r="A3335">
        <v>3328</v>
      </c>
      <c r="B3335">
        <v>3066</v>
      </c>
      <c r="C3335">
        <v>19</v>
      </c>
      <c r="D3335">
        <v>21.1</v>
      </c>
      <c r="E3335">
        <v>2.4</v>
      </c>
    </row>
    <row r="3336" spans="1:5" x14ac:dyDescent="0.2">
      <c r="A3336">
        <v>3329</v>
      </c>
      <c r="B3336">
        <v>3068</v>
      </c>
      <c r="C3336">
        <v>19</v>
      </c>
      <c r="D3336">
        <v>21</v>
      </c>
      <c r="E3336">
        <v>2.4</v>
      </c>
    </row>
    <row r="3337" spans="1:5" x14ac:dyDescent="0.2">
      <c r="A3337">
        <v>3330</v>
      </c>
      <c r="B3337">
        <v>3070</v>
      </c>
      <c r="C3337">
        <v>18</v>
      </c>
      <c r="D3337">
        <v>20.8</v>
      </c>
      <c r="E3337">
        <v>2.2999999999999998</v>
      </c>
    </row>
    <row r="3338" spans="1:5" x14ac:dyDescent="0.2">
      <c r="A3338">
        <v>3331</v>
      </c>
      <c r="B3338">
        <v>3073</v>
      </c>
      <c r="C3338">
        <v>18</v>
      </c>
      <c r="D3338">
        <v>20.6</v>
      </c>
      <c r="E3338">
        <v>2.2999999999999998</v>
      </c>
    </row>
    <row r="3339" spans="1:5" x14ac:dyDescent="0.2">
      <c r="A3339">
        <v>3332</v>
      </c>
      <c r="B3339">
        <v>3075</v>
      </c>
      <c r="C3339">
        <v>17</v>
      </c>
      <c r="D3339">
        <v>20.5</v>
      </c>
      <c r="E3339">
        <v>2.2000000000000002</v>
      </c>
    </row>
    <row r="3340" spans="1:5" x14ac:dyDescent="0.2">
      <c r="A3340">
        <v>3333</v>
      </c>
      <c r="B3340">
        <v>3077</v>
      </c>
      <c r="C3340">
        <v>17</v>
      </c>
      <c r="D3340">
        <v>20.3</v>
      </c>
      <c r="E3340">
        <v>2.2000000000000002</v>
      </c>
    </row>
    <row r="3341" spans="1:5" x14ac:dyDescent="0.2">
      <c r="A3341">
        <v>3334</v>
      </c>
      <c r="B3341">
        <v>3079</v>
      </c>
      <c r="C3341">
        <v>17</v>
      </c>
      <c r="D3341">
        <v>20.2</v>
      </c>
      <c r="E3341">
        <v>2.2000000000000002</v>
      </c>
    </row>
    <row r="3342" spans="1:5" x14ac:dyDescent="0.2">
      <c r="A3342">
        <v>3335</v>
      </c>
      <c r="B3342">
        <v>3081</v>
      </c>
      <c r="C3342">
        <v>17</v>
      </c>
      <c r="D3342">
        <v>20.100000000000001</v>
      </c>
      <c r="E3342">
        <v>2.2000000000000002</v>
      </c>
    </row>
    <row r="3343" spans="1:5" x14ac:dyDescent="0.2">
      <c r="A3343">
        <v>3336</v>
      </c>
      <c r="B3343">
        <v>3083</v>
      </c>
      <c r="C3343">
        <v>17</v>
      </c>
      <c r="D3343">
        <v>19.899999999999999</v>
      </c>
      <c r="E3343">
        <v>2.2000000000000002</v>
      </c>
    </row>
    <row r="3344" spans="1:5" x14ac:dyDescent="0.2">
      <c r="A3344">
        <v>3337</v>
      </c>
      <c r="B3344">
        <v>3085</v>
      </c>
      <c r="C3344">
        <v>17</v>
      </c>
      <c r="D3344">
        <v>19.8</v>
      </c>
      <c r="E3344">
        <v>2.2000000000000002</v>
      </c>
    </row>
    <row r="3345" spans="1:5" x14ac:dyDescent="0.2">
      <c r="A3345">
        <v>3338</v>
      </c>
      <c r="B3345">
        <v>3087</v>
      </c>
      <c r="C3345">
        <v>17</v>
      </c>
      <c r="D3345">
        <v>19.7</v>
      </c>
      <c r="E3345">
        <v>2.2000000000000002</v>
      </c>
    </row>
    <row r="3346" spans="1:5" x14ac:dyDescent="0.2">
      <c r="A3346">
        <v>3339</v>
      </c>
      <c r="B3346">
        <v>3089</v>
      </c>
      <c r="C3346">
        <v>18</v>
      </c>
      <c r="D3346">
        <v>19.600000000000001</v>
      </c>
      <c r="E3346">
        <v>2.2000000000000002</v>
      </c>
    </row>
    <row r="3347" spans="1:5" x14ac:dyDescent="0.2">
      <c r="A3347">
        <v>3340</v>
      </c>
      <c r="B3347">
        <v>3090</v>
      </c>
      <c r="C3347">
        <v>18</v>
      </c>
      <c r="D3347">
        <v>19.5</v>
      </c>
      <c r="E3347">
        <v>2.2000000000000002</v>
      </c>
    </row>
    <row r="3348" spans="1:5" x14ac:dyDescent="0.2">
      <c r="A3348">
        <v>3341</v>
      </c>
      <c r="B3348">
        <v>3092</v>
      </c>
      <c r="C3348">
        <v>18</v>
      </c>
      <c r="D3348">
        <v>19.399999999999999</v>
      </c>
      <c r="E3348">
        <v>2.2000000000000002</v>
      </c>
    </row>
    <row r="3349" spans="1:5" x14ac:dyDescent="0.2">
      <c r="A3349">
        <v>3342</v>
      </c>
      <c r="B3349">
        <v>3093</v>
      </c>
      <c r="C3349">
        <v>18</v>
      </c>
      <c r="D3349">
        <v>19.399999999999999</v>
      </c>
      <c r="E3349">
        <v>2.2000000000000002</v>
      </c>
    </row>
    <row r="3350" spans="1:5" x14ac:dyDescent="0.2">
      <c r="A3350">
        <v>3343</v>
      </c>
      <c r="B3350">
        <v>3094</v>
      </c>
      <c r="C3350">
        <v>17</v>
      </c>
      <c r="D3350">
        <v>19.399999999999999</v>
      </c>
      <c r="E3350">
        <v>2.2000000000000002</v>
      </c>
    </row>
    <row r="3351" spans="1:5" x14ac:dyDescent="0.2">
      <c r="A3351">
        <v>3344</v>
      </c>
      <c r="B3351">
        <v>3096</v>
      </c>
      <c r="C3351">
        <v>17</v>
      </c>
      <c r="D3351">
        <v>19.3</v>
      </c>
      <c r="E3351">
        <v>2.2000000000000002</v>
      </c>
    </row>
    <row r="3352" spans="1:5" x14ac:dyDescent="0.2">
      <c r="A3352">
        <v>3345</v>
      </c>
      <c r="B3352">
        <v>3097</v>
      </c>
      <c r="C3352">
        <v>17</v>
      </c>
      <c r="D3352">
        <v>19.3</v>
      </c>
      <c r="E3352">
        <v>2.1</v>
      </c>
    </row>
    <row r="3353" spans="1:5" x14ac:dyDescent="0.2">
      <c r="A3353">
        <v>3346</v>
      </c>
      <c r="B3353">
        <v>3098</v>
      </c>
      <c r="C3353">
        <v>16</v>
      </c>
      <c r="D3353">
        <v>19.3</v>
      </c>
      <c r="E3353">
        <v>2.1</v>
      </c>
    </row>
    <row r="3354" spans="1:5" x14ac:dyDescent="0.2">
      <c r="A3354">
        <v>3347</v>
      </c>
      <c r="B3354">
        <v>3099</v>
      </c>
      <c r="C3354">
        <v>16</v>
      </c>
      <c r="D3354">
        <v>19.3</v>
      </c>
      <c r="E3354">
        <v>2.1</v>
      </c>
    </row>
    <row r="3355" spans="1:5" x14ac:dyDescent="0.2">
      <c r="A3355">
        <v>3348</v>
      </c>
      <c r="B3355">
        <v>3100</v>
      </c>
      <c r="C3355">
        <v>16</v>
      </c>
      <c r="D3355">
        <v>19.3</v>
      </c>
      <c r="E3355">
        <v>2.1</v>
      </c>
    </row>
    <row r="3356" spans="1:5" x14ac:dyDescent="0.2">
      <c r="A3356">
        <v>3349</v>
      </c>
      <c r="B3356">
        <v>3101</v>
      </c>
      <c r="C3356">
        <v>16</v>
      </c>
      <c r="D3356">
        <v>19.3</v>
      </c>
      <c r="E3356">
        <v>2.1</v>
      </c>
    </row>
    <row r="3357" spans="1:5" x14ac:dyDescent="0.2">
      <c r="A3357">
        <v>3350</v>
      </c>
      <c r="B3357">
        <v>3102</v>
      </c>
      <c r="C3357">
        <v>17</v>
      </c>
      <c r="D3357">
        <v>19.3</v>
      </c>
      <c r="E3357">
        <v>2.1</v>
      </c>
    </row>
    <row r="3358" spans="1:5" x14ac:dyDescent="0.2">
      <c r="A3358">
        <v>3351</v>
      </c>
      <c r="B3358">
        <v>3103</v>
      </c>
      <c r="C3358">
        <v>17</v>
      </c>
      <c r="D3358">
        <v>19.2</v>
      </c>
      <c r="E3358">
        <v>2.1</v>
      </c>
    </row>
    <row r="3359" spans="1:5" x14ac:dyDescent="0.2">
      <c r="A3359">
        <v>3352</v>
      </c>
      <c r="B3359">
        <v>3104</v>
      </c>
      <c r="C3359">
        <v>17</v>
      </c>
      <c r="D3359">
        <v>19.2</v>
      </c>
      <c r="E3359">
        <v>2.2000000000000002</v>
      </c>
    </row>
    <row r="3360" spans="1:5" x14ac:dyDescent="0.2">
      <c r="A3360">
        <v>3353</v>
      </c>
      <c r="B3360">
        <v>3105</v>
      </c>
      <c r="C3360">
        <v>18</v>
      </c>
      <c r="D3360">
        <v>19.2</v>
      </c>
      <c r="E3360">
        <v>2.2000000000000002</v>
      </c>
    </row>
    <row r="3361" spans="1:5" x14ac:dyDescent="0.2">
      <c r="A3361">
        <v>3354</v>
      </c>
      <c r="B3361">
        <v>3107</v>
      </c>
      <c r="C3361">
        <v>18</v>
      </c>
      <c r="D3361">
        <v>19.100000000000001</v>
      </c>
      <c r="E3361">
        <v>2.2999999999999998</v>
      </c>
    </row>
    <row r="3362" spans="1:5" x14ac:dyDescent="0.2">
      <c r="A3362">
        <v>3355</v>
      </c>
      <c r="B3362">
        <v>3108</v>
      </c>
      <c r="C3362">
        <v>18</v>
      </c>
      <c r="D3362">
        <v>19</v>
      </c>
      <c r="E3362">
        <v>2.2999999999999998</v>
      </c>
    </row>
    <row r="3363" spans="1:5" x14ac:dyDescent="0.2">
      <c r="A3363">
        <v>3356</v>
      </c>
      <c r="B3363">
        <v>3110</v>
      </c>
      <c r="C3363">
        <v>18</v>
      </c>
      <c r="D3363">
        <v>19</v>
      </c>
      <c r="E3363">
        <v>2.2999999999999998</v>
      </c>
    </row>
    <row r="3364" spans="1:5" x14ac:dyDescent="0.2">
      <c r="A3364">
        <v>3357</v>
      </c>
      <c r="B3364">
        <v>3112</v>
      </c>
      <c r="C3364">
        <v>18</v>
      </c>
      <c r="D3364">
        <v>18.8</v>
      </c>
      <c r="E3364">
        <v>2.2999999999999998</v>
      </c>
    </row>
    <row r="3365" spans="1:5" x14ac:dyDescent="0.2">
      <c r="A3365">
        <v>3358</v>
      </c>
      <c r="B3365">
        <v>3114</v>
      </c>
      <c r="C3365">
        <v>18</v>
      </c>
      <c r="D3365">
        <v>18.7</v>
      </c>
      <c r="E3365">
        <v>2.2999999999999998</v>
      </c>
    </row>
    <row r="3366" spans="1:5" x14ac:dyDescent="0.2">
      <c r="A3366">
        <v>3359</v>
      </c>
      <c r="B3366">
        <v>3116</v>
      </c>
      <c r="C3366">
        <v>18</v>
      </c>
      <c r="D3366">
        <v>18.600000000000001</v>
      </c>
      <c r="E3366">
        <v>2.2000000000000002</v>
      </c>
    </row>
    <row r="3367" spans="1:5" x14ac:dyDescent="0.2">
      <c r="A3367">
        <v>3360</v>
      </c>
      <c r="B3367">
        <v>3118</v>
      </c>
      <c r="C3367">
        <v>17</v>
      </c>
      <c r="D3367">
        <v>18.399999999999999</v>
      </c>
      <c r="E3367">
        <v>2.2000000000000002</v>
      </c>
    </row>
    <row r="3368" spans="1:5" x14ac:dyDescent="0.2">
      <c r="A3368">
        <v>3361</v>
      </c>
      <c r="B3368">
        <v>3121</v>
      </c>
      <c r="C3368">
        <v>17</v>
      </c>
      <c r="D3368">
        <v>18.2</v>
      </c>
      <c r="E3368">
        <v>2.2000000000000002</v>
      </c>
    </row>
    <row r="3369" spans="1:5" x14ac:dyDescent="0.2">
      <c r="A3369">
        <v>3362</v>
      </c>
      <c r="B3369">
        <v>3123</v>
      </c>
      <c r="C3369">
        <v>17</v>
      </c>
      <c r="D3369">
        <v>18</v>
      </c>
      <c r="E3369">
        <v>2.1</v>
      </c>
    </row>
    <row r="3370" spans="1:5" x14ac:dyDescent="0.2">
      <c r="A3370">
        <v>3363</v>
      </c>
      <c r="B3370">
        <v>3126</v>
      </c>
      <c r="C3370">
        <v>17</v>
      </c>
      <c r="D3370">
        <v>17.8</v>
      </c>
      <c r="E3370">
        <v>2.1</v>
      </c>
    </row>
    <row r="3371" spans="1:5" x14ac:dyDescent="0.2">
      <c r="A3371">
        <v>3364</v>
      </c>
      <c r="B3371">
        <v>3128</v>
      </c>
      <c r="C3371">
        <v>17</v>
      </c>
      <c r="D3371">
        <v>17.600000000000001</v>
      </c>
      <c r="E3371">
        <v>2.1</v>
      </c>
    </row>
    <row r="3372" spans="1:5" x14ac:dyDescent="0.2">
      <c r="A3372">
        <v>3365</v>
      </c>
      <c r="B3372">
        <v>3131</v>
      </c>
      <c r="C3372">
        <v>17</v>
      </c>
      <c r="D3372">
        <v>17.399999999999999</v>
      </c>
      <c r="E3372">
        <v>2.2000000000000002</v>
      </c>
    </row>
    <row r="3373" spans="1:5" x14ac:dyDescent="0.2">
      <c r="A3373">
        <v>3366</v>
      </c>
      <c r="B3373">
        <v>3133</v>
      </c>
      <c r="C3373">
        <v>17</v>
      </c>
      <c r="D3373">
        <v>17.2</v>
      </c>
      <c r="E3373">
        <v>2.2000000000000002</v>
      </c>
    </row>
    <row r="3374" spans="1:5" x14ac:dyDescent="0.2">
      <c r="A3374">
        <v>3367</v>
      </c>
      <c r="B3374">
        <v>3136</v>
      </c>
      <c r="C3374">
        <v>18</v>
      </c>
      <c r="D3374">
        <v>17</v>
      </c>
      <c r="E3374">
        <v>2.2000000000000002</v>
      </c>
    </row>
    <row r="3375" spans="1:5" x14ac:dyDescent="0.2">
      <c r="A3375">
        <v>3368</v>
      </c>
      <c r="B3375">
        <v>3139</v>
      </c>
      <c r="C3375">
        <v>18</v>
      </c>
      <c r="D3375">
        <v>16.8</v>
      </c>
      <c r="E3375">
        <v>2.2999999999999998</v>
      </c>
    </row>
    <row r="3376" spans="1:5" x14ac:dyDescent="0.2">
      <c r="A3376">
        <v>3369</v>
      </c>
      <c r="B3376">
        <v>3141</v>
      </c>
      <c r="C3376">
        <v>19</v>
      </c>
      <c r="D3376">
        <v>16.600000000000001</v>
      </c>
      <c r="E3376">
        <v>2.4</v>
      </c>
    </row>
    <row r="3377" spans="1:5" x14ac:dyDescent="0.2">
      <c r="A3377">
        <v>3370</v>
      </c>
      <c r="B3377">
        <v>3143</v>
      </c>
      <c r="C3377">
        <v>19</v>
      </c>
      <c r="D3377">
        <v>16.5</v>
      </c>
      <c r="E3377">
        <v>2.4</v>
      </c>
    </row>
    <row r="3378" spans="1:5" x14ac:dyDescent="0.2">
      <c r="A3378">
        <v>3371</v>
      </c>
      <c r="B3378">
        <v>3146</v>
      </c>
      <c r="C3378">
        <v>19</v>
      </c>
      <c r="D3378">
        <v>16.3</v>
      </c>
      <c r="E3378">
        <v>2.4</v>
      </c>
    </row>
    <row r="3379" spans="1:5" x14ac:dyDescent="0.2">
      <c r="A3379">
        <v>3372</v>
      </c>
      <c r="B3379">
        <v>3148</v>
      </c>
      <c r="C3379">
        <v>19</v>
      </c>
      <c r="D3379">
        <v>16.2</v>
      </c>
      <c r="E3379">
        <v>2.4</v>
      </c>
    </row>
    <row r="3380" spans="1:5" x14ac:dyDescent="0.2">
      <c r="A3380">
        <v>3373</v>
      </c>
      <c r="B3380">
        <v>3150</v>
      </c>
      <c r="C3380">
        <v>19</v>
      </c>
      <c r="D3380">
        <v>16</v>
      </c>
      <c r="E3380">
        <v>2.4</v>
      </c>
    </row>
    <row r="3381" spans="1:5" x14ac:dyDescent="0.2">
      <c r="A3381">
        <v>3374</v>
      </c>
      <c r="B3381">
        <v>3152</v>
      </c>
      <c r="C3381">
        <v>19</v>
      </c>
      <c r="D3381">
        <v>15.9</v>
      </c>
      <c r="E3381">
        <v>2.4</v>
      </c>
    </row>
    <row r="3382" spans="1:5" x14ac:dyDescent="0.2">
      <c r="A3382">
        <v>3375</v>
      </c>
      <c r="B3382">
        <v>3154</v>
      </c>
      <c r="C3382">
        <v>19</v>
      </c>
      <c r="D3382">
        <v>15.8</v>
      </c>
      <c r="E3382">
        <v>2.2999999999999998</v>
      </c>
    </row>
    <row r="3383" spans="1:5" x14ac:dyDescent="0.2">
      <c r="A3383">
        <v>3376</v>
      </c>
      <c r="B3383">
        <v>3155</v>
      </c>
      <c r="C3383">
        <v>18</v>
      </c>
      <c r="D3383">
        <v>15.7</v>
      </c>
      <c r="E3383">
        <v>2.2999999999999998</v>
      </c>
    </row>
    <row r="3384" spans="1:5" x14ac:dyDescent="0.2">
      <c r="A3384">
        <v>3377</v>
      </c>
      <c r="B3384">
        <v>3157</v>
      </c>
      <c r="C3384">
        <v>18</v>
      </c>
      <c r="D3384">
        <v>15.6</v>
      </c>
      <c r="E3384">
        <v>2.2000000000000002</v>
      </c>
    </row>
    <row r="3385" spans="1:5" x14ac:dyDescent="0.2">
      <c r="A3385">
        <v>3378</v>
      </c>
      <c r="B3385">
        <v>3159</v>
      </c>
      <c r="C3385">
        <v>17</v>
      </c>
      <c r="D3385">
        <v>15.5</v>
      </c>
      <c r="E3385">
        <v>2.2000000000000002</v>
      </c>
    </row>
    <row r="3386" spans="1:5" x14ac:dyDescent="0.2">
      <c r="A3386">
        <v>3379</v>
      </c>
      <c r="B3386">
        <v>3160</v>
      </c>
      <c r="C3386">
        <v>17</v>
      </c>
      <c r="D3386">
        <v>15.4</v>
      </c>
      <c r="E3386">
        <v>2.1</v>
      </c>
    </row>
    <row r="3387" spans="1:5" x14ac:dyDescent="0.2">
      <c r="A3387">
        <v>3380</v>
      </c>
      <c r="B3387">
        <v>3162</v>
      </c>
      <c r="C3387">
        <v>16</v>
      </c>
      <c r="D3387">
        <v>15.3</v>
      </c>
      <c r="E3387">
        <v>2.1</v>
      </c>
    </row>
    <row r="3388" spans="1:5" x14ac:dyDescent="0.2">
      <c r="A3388">
        <v>3381</v>
      </c>
      <c r="B3388">
        <v>3164</v>
      </c>
      <c r="C3388">
        <v>16</v>
      </c>
      <c r="D3388">
        <v>15.3</v>
      </c>
      <c r="E3388">
        <v>2</v>
      </c>
    </row>
    <row r="3389" spans="1:5" x14ac:dyDescent="0.2">
      <c r="A3389">
        <v>3382</v>
      </c>
      <c r="B3389">
        <v>3165</v>
      </c>
      <c r="C3389">
        <v>16</v>
      </c>
      <c r="D3389">
        <v>15.2</v>
      </c>
      <c r="E3389">
        <v>2</v>
      </c>
    </row>
    <row r="3390" spans="1:5" x14ac:dyDescent="0.2">
      <c r="A3390">
        <v>3383</v>
      </c>
      <c r="B3390">
        <v>3167</v>
      </c>
      <c r="C3390">
        <v>16</v>
      </c>
      <c r="D3390">
        <v>15.1</v>
      </c>
      <c r="E3390">
        <v>2</v>
      </c>
    </row>
    <row r="3391" spans="1:5" x14ac:dyDescent="0.2">
      <c r="A3391">
        <v>3384</v>
      </c>
      <c r="B3391">
        <v>3168</v>
      </c>
      <c r="C3391">
        <v>16</v>
      </c>
      <c r="D3391">
        <v>15.1</v>
      </c>
      <c r="E3391">
        <v>2</v>
      </c>
    </row>
    <row r="3392" spans="1:5" x14ac:dyDescent="0.2">
      <c r="A3392">
        <v>3385</v>
      </c>
      <c r="B3392">
        <v>3169</v>
      </c>
      <c r="C3392">
        <v>16</v>
      </c>
      <c r="D3392">
        <v>15</v>
      </c>
      <c r="E3392">
        <v>2.1</v>
      </c>
    </row>
    <row r="3393" spans="1:5" x14ac:dyDescent="0.2">
      <c r="A3393">
        <v>3386</v>
      </c>
      <c r="B3393">
        <v>3171</v>
      </c>
      <c r="C3393">
        <v>17</v>
      </c>
      <c r="D3393">
        <v>14.9</v>
      </c>
      <c r="E3393">
        <v>2.1</v>
      </c>
    </row>
    <row r="3394" spans="1:5" x14ac:dyDescent="0.2">
      <c r="A3394">
        <v>3387</v>
      </c>
      <c r="B3394">
        <v>3172</v>
      </c>
      <c r="C3394">
        <v>17</v>
      </c>
      <c r="D3394">
        <v>14.9</v>
      </c>
      <c r="E3394">
        <v>2.1</v>
      </c>
    </row>
    <row r="3395" spans="1:5" x14ac:dyDescent="0.2">
      <c r="A3395">
        <v>3388</v>
      </c>
      <c r="B3395">
        <v>3174</v>
      </c>
      <c r="C3395">
        <v>17</v>
      </c>
      <c r="D3395">
        <v>14.8</v>
      </c>
      <c r="E3395">
        <v>2.1</v>
      </c>
    </row>
    <row r="3396" spans="1:5" x14ac:dyDescent="0.2">
      <c r="A3396">
        <v>3389</v>
      </c>
      <c r="B3396">
        <v>3176</v>
      </c>
      <c r="C3396">
        <v>17</v>
      </c>
      <c r="D3396">
        <v>14.7</v>
      </c>
      <c r="E3396">
        <v>2.2000000000000002</v>
      </c>
    </row>
    <row r="3397" spans="1:5" x14ac:dyDescent="0.2">
      <c r="A3397">
        <v>3390</v>
      </c>
      <c r="B3397">
        <v>3177</v>
      </c>
      <c r="C3397">
        <v>17</v>
      </c>
      <c r="D3397">
        <v>14.7</v>
      </c>
      <c r="E3397">
        <v>2.2000000000000002</v>
      </c>
    </row>
    <row r="3398" spans="1:5" x14ac:dyDescent="0.2">
      <c r="A3398">
        <v>3391</v>
      </c>
      <c r="B3398">
        <v>3179</v>
      </c>
      <c r="C3398">
        <v>17</v>
      </c>
      <c r="D3398">
        <v>14.6</v>
      </c>
      <c r="E3398">
        <v>2.2000000000000002</v>
      </c>
    </row>
    <row r="3399" spans="1:5" x14ac:dyDescent="0.2">
      <c r="A3399">
        <v>3392</v>
      </c>
      <c r="B3399">
        <v>3181</v>
      </c>
      <c r="C3399">
        <v>17</v>
      </c>
      <c r="D3399">
        <v>14.5</v>
      </c>
      <c r="E3399">
        <v>2.1</v>
      </c>
    </row>
    <row r="3400" spans="1:5" x14ac:dyDescent="0.2">
      <c r="A3400">
        <v>3393</v>
      </c>
      <c r="B3400">
        <v>3182</v>
      </c>
      <c r="C3400">
        <v>17</v>
      </c>
      <c r="D3400">
        <v>14.4</v>
      </c>
      <c r="E3400">
        <v>2.1</v>
      </c>
    </row>
    <row r="3401" spans="1:5" x14ac:dyDescent="0.2">
      <c r="A3401">
        <v>3394</v>
      </c>
      <c r="B3401">
        <v>3184</v>
      </c>
      <c r="C3401">
        <v>16</v>
      </c>
      <c r="D3401">
        <v>14.3</v>
      </c>
      <c r="E3401">
        <v>2</v>
      </c>
    </row>
    <row r="3402" spans="1:5" x14ac:dyDescent="0.2">
      <c r="A3402">
        <v>3395</v>
      </c>
      <c r="B3402">
        <v>3186</v>
      </c>
      <c r="C3402">
        <v>16</v>
      </c>
      <c r="D3402">
        <v>14.2</v>
      </c>
      <c r="E3402">
        <v>2</v>
      </c>
    </row>
    <row r="3403" spans="1:5" x14ac:dyDescent="0.2">
      <c r="A3403">
        <v>3396</v>
      </c>
      <c r="B3403">
        <v>3188</v>
      </c>
      <c r="C3403">
        <v>15</v>
      </c>
      <c r="D3403">
        <v>14</v>
      </c>
      <c r="E3403">
        <v>2</v>
      </c>
    </row>
    <row r="3404" spans="1:5" x14ac:dyDescent="0.2">
      <c r="A3404">
        <v>3397</v>
      </c>
      <c r="B3404">
        <v>3190</v>
      </c>
      <c r="C3404">
        <v>15</v>
      </c>
      <c r="D3404">
        <v>13.9</v>
      </c>
      <c r="E3404">
        <v>1.9</v>
      </c>
    </row>
    <row r="3405" spans="1:5" x14ac:dyDescent="0.2">
      <c r="A3405">
        <v>3398</v>
      </c>
      <c r="B3405">
        <v>3192</v>
      </c>
      <c r="C3405">
        <v>15</v>
      </c>
      <c r="D3405">
        <v>13.8</v>
      </c>
      <c r="E3405">
        <v>1.9</v>
      </c>
    </row>
    <row r="3406" spans="1:5" x14ac:dyDescent="0.2">
      <c r="A3406">
        <v>3399</v>
      </c>
      <c r="B3406">
        <v>3193</v>
      </c>
      <c r="C3406">
        <v>15</v>
      </c>
      <c r="D3406">
        <v>13.7</v>
      </c>
      <c r="E3406">
        <v>1.9</v>
      </c>
    </row>
    <row r="3407" spans="1:5" x14ac:dyDescent="0.2">
      <c r="A3407">
        <v>3400</v>
      </c>
      <c r="B3407">
        <v>3195</v>
      </c>
      <c r="C3407">
        <v>15</v>
      </c>
      <c r="D3407">
        <v>13.6</v>
      </c>
      <c r="E3407">
        <v>1.9</v>
      </c>
    </row>
    <row r="3408" spans="1:5" x14ac:dyDescent="0.2">
      <c r="A3408">
        <v>3401</v>
      </c>
      <c r="B3408">
        <v>3197</v>
      </c>
      <c r="C3408">
        <v>15</v>
      </c>
      <c r="D3408">
        <v>13.5</v>
      </c>
      <c r="E3408">
        <v>1.9</v>
      </c>
    </row>
    <row r="3409" spans="1:5" x14ac:dyDescent="0.2">
      <c r="A3409">
        <v>3402</v>
      </c>
      <c r="B3409">
        <v>3199</v>
      </c>
      <c r="C3409">
        <v>15</v>
      </c>
      <c r="D3409">
        <v>13.4</v>
      </c>
      <c r="E3409">
        <v>1.9</v>
      </c>
    </row>
    <row r="3410" spans="1:5" x14ac:dyDescent="0.2">
      <c r="A3410">
        <v>3403</v>
      </c>
      <c r="B3410">
        <v>3201</v>
      </c>
      <c r="C3410">
        <v>16</v>
      </c>
      <c r="D3410">
        <v>13.3</v>
      </c>
      <c r="E3410">
        <v>2</v>
      </c>
    </row>
    <row r="3411" spans="1:5" x14ac:dyDescent="0.2">
      <c r="A3411">
        <v>3404</v>
      </c>
      <c r="B3411">
        <v>3202</v>
      </c>
      <c r="C3411">
        <v>16</v>
      </c>
      <c r="D3411">
        <v>13.2</v>
      </c>
      <c r="E3411">
        <v>2</v>
      </c>
    </row>
    <row r="3412" spans="1:5" x14ac:dyDescent="0.2">
      <c r="A3412">
        <v>3405</v>
      </c>
      <c r="B3412">
        <v>3204</v>
      </c>
      <c r="C3412">
        <v>16</v>
      </c>
      <c r="D3412">
        <v>13.1</v>
      </c>
      <c r="E3412">
        <v>2.1</v>
      </c>
    </row>
    <row r="3413" spans="1:5" x14ac:dyDescent="0.2">
      <c r="A3413">
        <v>3406</v>
      </c>
      <c r="B3413">
        <v>3205</v>
      </c>
      <c r="C3413">
        <v>17</v>
      </c>
      <c r="D3413">
        <v>13</v>
      </c>
      <c r="E3413">
        <v>2.1</v>
      </c>
    </row>
    <row r="3414" spans="1:5" x14ac:dyDescent="0.2">
      <c r="A3414">
        <v>3407</v>
      </c>
      <c r="B3414">
        <v>3207</v>
      </c>
      <c r="C3414">
        <v>17</v>
      </c>
      <c r="D3414">
        <v>13</v>
      </c>
      <c r="E3414">
        <v>2.1</v>
      </c>
    </row>
    <row r="3415" spans="1:5" x14ac:dyDescent="0.2">
      <c r="A3415">
        <v>3408</v>
      </c>
      <c r="B3415">
        <v>3208</v>
      </c>
      <c r="C3415">
        <v>17</v>
      </c>
      <c r="D3415">
        <v>12.9</v>
      </c>
      <c r="E3415">
        <v>2.2000000000000002</v>
      </c>
    </row>
    <row r="3416" spans="1:5" x14ac:dyDescent="0.2">
      <c r="A3416">
        <v>3409</v>
      </c>
      <c r="B3416">
        <v>3210</v>
      </c>
      <c r="C3416">
        <v>17</v>
      </c>
      <c r="D3416">
        <v>12.9</v>
      </c>
      <c r="E3416">
        <v>2.2000000000000002</v>
      </c>
    </row>
    <row r="3417" spans="1:5" x14ac:dyDescent="0.2">
      <c r="A3417">
        <v>3410</v>
      </c>
      <c r="B3417">
        <v>3211</v>
      </c>
      <c r="C3417">
        <v>17</v>
      </c>
      <c r="D3417">
        <v>12.9</v>
      </c>
      <c r="E3417">
        <v>2.2000000000000002</v>
      </c>
    </row>
    <row r="3418" spans="1:5" x14ac:dyDescent="0.2">
      <c r="A3418">
        <v>3411</v>
      </c>
      <c r="B3418">
        <v>3212</v>
      </c>
      <c r="C3418">
        <v>17</v>
      </c>
      <c r="D3418">
        <v>12.9</v>
      </c>
      <c r="E3418">
        <v>2.1</v>
      </c>
    </row>
    <row r="3419" spans="1:5" x14ac:dyDescent="0.2">
      <c r="A3419">
        <v>3412</v>
      </c>
      <c r="B3419">
        <v>3213</v>
      </c>
      <c r="C3419">
        <v>17</v>
      </c>
      <c r="D3419">
        <v>12.9</v>
      </c>
      <c r="E3419">
        <v>2.1</v>
      </c>
    </row>
    <row r="3420" spans="1:5" x14ac:dyDescent="0.2">
      <c r="A3420">
        <v>3413</v>
      </c>
      <c r="B3420">
        <v>3214</v>
      </c>
      <c r="C3420">
        <v>17</v>
      </c>
      <c r="D3420">
        <v>12.9</v>
      </c>
      <c r="E3420">
        <v>2.1</v>
      </c>
    </row>
    <row r="3421" spans="1:5" x14ac:dyDescent="0.2">
      <c r="A3421">
        <v>3414</v>
      </c>
      <c r="B3421">
        <v>3214</v>
      </c>
      <c r="C3421">
        <v>17</v>
      </c>
      <c r="D3421">
        <v>12.9</v>
      </c>
      <c r="E3421">
        <v>2.1</v>
      </c>
    </row>
    <row r="3422" spans="1:5" x14ac:dyDescent="0.2">
      <c r="A3422">
        <v>3415</v>
      </c>
      <c r="B3422">
        <v>3215</v>
      </c>
      <c r="C3422">
        <v>16</v>
      </c>
      <c r="D3422">
        <v>13</v>
      </c>
      <c r="E3422">
        <v>2.1</v>
      </c>
    </row>
    <row r="3423" spans="1:5" x14ac:dyDescent="0.2">
      <c r="A3423">
        <v>3416</v>
      </c>
      <c r="B3423">
        <v>3215</v>
      </c>
      <c r="C3423">
        <v>17</v>
      </c>
      <c r="D3423">
        <v>13.1</v>
      </c>
      <c r="E3423">
        <v>2.1</v>
      </c>
    </row>
    <row r="3424" spans="1:5" x14ac:dyDescent="0.2">
      <c r="A3424">
        <v>3417</v>
      </c>
      <c r="B3424">
        <v>3215</v>
      </c>
      <c r="C3424">
        <v>17</v>
      </c>
      <c r="D3424">
        <v>13.2</v>
      </c>
      <c r="E3424">
        <v>2.1</v>
      </c>
    </row>
    <row r="3425" spans="1:5" x14ac:dyDescent="0.2">
      <c r="A3425">
        <v>3418</v>
      </c>
      <c r="B3425">
        <v>3215</v>
      </c>
      <c r="C3425">
        <v>17</v>
      </c>
      <c r="D3425">
        <v>13.3</v>
      </c>
      <c r="E3425">
        <v>2.1</v>
      </c>
    </row>
    <row r="3426" spans="1:5" x14ac:dyDescent="0.2">
      <c r="A3426">
        <v>3419</v>
      </c>
      <c r="B3426">
        <v>3214</v>
      </c>
      <c r="C3426">
        <v>17</v>
      </c>
      <c r="D3426">
        <v>13.5</v>
      </c>
      <c r="E3426">
        <v>2.2000000000000002</v>
      </c>
    </row>
    <row r="3427" spans="1:5" x14ac:dyDescent="0.2">
      <c r="A3427">
        <v>3420</v>
      </c>
      <c r="B3427">
        <v>3214</v>
      </c>
      <c r="C3427">
        <v>18</v>
      </c>
      <c r="D3427">
        <v>13.7</v>
      </c>
      <c r="E3427">
        <v>2.2000000000000002</v>
      </c>
    </row>
    <row r="3428" spans="1:5" x14ac:dyDescent="0.2">
      <c r="A3428">
        <v>3421</v>
      </c>
      <c r="B3428">
        <v>3213</v>
      </c>
      <c r="C3428">
        <v>18</v>
      </c>
      <c r="D3428">
        <v>13.9</v>
      </c>
      <c r="E3428">
        <v>2.2000000000000002</v>
      </c>
    </row>
    <row r="3429" spans="1:5" x14ac:dyDescent="0.2">
      <c r="A3429">
        <v>3422</v>
      </c>
      <c r="B3429">
        <v>3212</v>
      </c>
      <c r="C3429">
        <v>18</v>
      </c>
      <c r="D3429">
        <v>14.2</v>
      </c>
      <c r="E3429">
        <v>2.2000000000000002</v>
      </c>
    </row>
    <row r="3430" spans="1:5" x14ac:dyDescent="0.2">
      <c r="A3430">
        <v>3423</v>
      </c>
      <c r="B3430">
        <v>3210</v>
      </c>
      <c r="C3430">
        <v>18</v>
      </c>
      <c r="D3430">
        <v>14.5</v>
      </c>
      <c r="E3430">
        <v>2.2000000000000002</v>
      </c>
    </row>
    <row r="3431" spans="1:5" x14ac:dyDescent="0.2">
      <c r="A3431">
        <v>3424</v>
      </c>
      <c r="B3431">
        <v>3209</v>
      </c>
      <c r="C3431">
        <v>17</v>
      </c>
      <c r="D3431">
        <v>14.8</v>
      </c>
      <c r="E3431">
        <v>2.2000000000000002</v>
      </c>
    </row>
    <row r="3432" spans="1:5" x14ac:dyDescent="0.2">
      <c r="A3432">
        <v>3425</v>
      </c>
      <c r="B3432">
        <v>3207</v>
      </c>
      <c r="C3432">
        <v>17</v>
      </c>
      <c r="D3432">
        <v>15.2</v>
      </c>
      <c r="E3432">
        <v>2.1</v>
      </c>
    </row>
    <row r="3433" spans="1:5" x14ac:dyDescent="0.2">
      <c r="A3433">
        <v>3426</v>
      </c>
      <c r="B3433">
        <v>3204</v>
      </c>
      <c r="C3433">
        <v>16</v>
      </c>
      <c r="D3433">
        <v>15.6</v>
      </c>
      <c r="E3433">
        <v>2.1</v>
      </c>
    </row>
    <row r="3434" spans="1:5" x14ac:dyDescent="0.2">
      <c r="A3434">
        <v>3427</v>
      </c>
      <c r="B3434">
        <v>3202</v>
      </c>
      <c r="C3434">
        <v>16</v>
      </c>
      <c r="D3434">
        <v>16.100000000000001</v>
      </c>
      <c r="E3434">
        <v>2</v>
      </c>
    </row>
    <row r="3435" spans="1:5" x14ac:dyDescent="0.2">
      <c r="A3435">
        <v>3428</v>
      </c>
      <c r="B3435">
        <v>3200</v>
      </c>
      <c r="C3435">
        <v>16</v>
      </c>
      <c r="D3435">
        <v>16.5</v>
      </c>
      <c r="E3435">
        <v>2</v>
      </c>
    </row>
    <row r="3436" spans="1:5" x14ac:dyDescent="0.2">
      <c r="A3436">
        <v>3429</v>
      </c>
      <c r="B3436">
        <v>3197</v>
      </c>
      <c r="C3436">
        <v>16</v>
      </c>
      <c r="D3436">
        <v>16.899999999999999</v>
      </c>
      <c r="E3436">
        <v>2</v>
      </c>
    </row>
    <row r="3437" spans="1:5" x14ac:dyDescent="0.2">
      <c r="A3437">
        <v>3430</v>
      </c>
      <c r="B3437">
        <v>3195</v>
      </c>
      <c r="C3437">
        <v>16</v>
      </c>
      <c r="D3437">
        <v>17.3</v>
      </c>
      <c r="E3437">
        <v>2</v>
      </c>
    </row>
    <row r="3438" spans="1:5" x14ac:dyDescent="0.2">
      <c r="A3438">
        <v>3431</v>
      </c>
      <c r="B3438">
        <v>3193</v>
      </c>
      <c r="C3438">
        <v>16</v>
      </c>
      <c r="D3438">
        <v>17.7</v>
      </c>
      <c r="E3438">
        <v>2</v>
      </c>
    </row>
    <row r="3439" spans="1:5" x14ac:dyDescent="0.2">
      <c r="A3439">
        <v>3432</v>
      </c>
      <c r="B3439">
        <v>3191</v>
      </c>
      <c r="C3439">
        <v>16</v>
      </c>
      <c r="D3439">
        <v>18.100000000000001</v>
      </c>
      <c r="E3439">
        <v>2</v>
      </c>
    </row>
    <row r="3440" spans="1:5" x14ac:dyDescent="0.2">
      <c r="A3440">
        <v>3433</v>
      </c>
      <c r="B3440">
        <v>3189</v>
      </c>
      <c r="C3440">
        <v>16</v>
      </c>
      <c r="D3440">
        <v>18.399999999999999</v>
      </c>
      <c r="E3440">
        <v>2</v>
      </c>
    </row>
    <row r="3441" spans="1:5" x14ac:dyDescent="0.2">
      <c r="A3441">
        <v>3434</v>
      </c>
      <c r="B3441">
        <v>3188</v>
      </c>
      <c r="C3441">
        <v>15</v>
      </c>
      <c r="D3441">
        <v>18.7</v>
      </c>
      <c r="E3441">
        <v>1.9</v>
      </c>
    </row>
    <row r="3442" spans="1:5" x14ac:dyDescent="0.2">
      <c r="A3442">
        <v>3435</v>
      </c>
      <c r="B3442">
        <v>3187</v>
      </c>
      <c r="C3442">
        <v>15</v>
      </c>
      <c r="D3442">
        <v>18.899999999999999</v>
      </c>
      <c r="E3442">
        <v>1.9</v>
      </c>
    </row>
    <row r="3443" spans="1:5" x14ac:dyDescent="0.2">
      <c r="A3443">
        <v>3436</v>
      </c>
      <c r="B3443">
        <v>3187</v>
      </c>
      <c r="C3443">
        <v>15</v>
      </c>
      <c r="D3443">
        <v>19.100000000000001</v>
      </c>
      <c r="E3443">
        <v>1.9</v>
      </c>
    </row>
    <row r="3444" spans="1:5" x14ac:dyDescent="0.2">
      <c r="A3444">
        <v>3437</v>
      </c>
      <c r="B3444">
        <v>3187</v>
      </c>
      <c r="C3444">
        <v>15</v>
      </c>
      <c r="D3444">
        <v>19.2</v>
      </c>
      <c r="E3444">
        <v>1.9</v>
      </c>
    </row>
    <row r="3445" spans="1:5" x14ac:dyDescent="0.2">
      <c r="A3445">
        <v>3438</v>
      </c>
      <c r="B3445">
        <v>3188</v>
      </c>
      <c r="C3445">
        <v>15</v>
      </c>
      <c r="D3445">
        <v>19.2</v>
      </c>
      <c r="E3445">
        <v>1.9</v>
      </c>
    </row>
    <row r="3446" spans="1:5" x14ac:dyDescent="0.2">
      <c r="A3446">
        <v>3439</v>
      </c>
      <c r="B3446">
        <v>3189</v>
      </c>
      <c r="C3446">
        <v>15</v>
      </c>
      <c r="D3446">
        <v>19.100000000000001</v>
      </c>
      <c r="E3446">
        <v>1.9</v>
      </c>
    </row>
    <row r="3447" spans="1:5" x14ac:dyDescent="0.2">
      <c r="A3447">
        <v>3440</v>
      </c>
      <c r="B3447">
        <v>3191</v>
      </c>
      <c r="C3447">
        <v>15</v>
      </c>
      <c r="D3447">
        <v>19</v>
      </c>
      <c r="E3447">
        <v>1.9</v>
      </c>
    </row>
    <row r="3448" spans="1:5" x14ac:dyDescent="0.2">
      <c r="A3448">
        <v>3441</v>
      </c>
      <c r="B3448">
        <v>3194</v>
      </c>
      <c r="C3448">
        <v>15</v>
      </c>
      <c r="D3448">
        <v>18.8</v>
      </c>
      <c r="E3448">
        <v>1.8</v>
      </c>
    </row>
    <row r="3449" spans="1:5" x14ac:dyDescent="0.2">
      <c r="A3449">
        <v>3442</v>
      </c>
      <c r="B3449">
        <v>3197</v>
      </c>
      <c r="C3449">
        <v>14</v>
      </c>
      <c r="D3449">
        <v>18.600000000000001</v>
      </c>
      <c r="E3449">
        <v>1.8</v>
      </c>
    </row>
    <row r="3450" spans="1:5" x14ac:dyDescent="0.2">
      <c r="A3450">
        <v>3443</v>
      </c>
      <c r="B3450">
        <v>3200</v>
      </c>
      <c r="C3450">
        <v>14</v>
      </c>
      <c r="D3450">
        <v>18.3</v>
      </c>
      <c r="E3450">
        <v>1.8</v>
      </c>
    </row>
    <row r="3451" spans="1:5" x14ac:dyDescent="0.2">
      <c r="A3451">
        <v>3444</v>
      </c>
      <c r="B3451">
        <v>3203</v>
      </c>
      <c r="C3451">
        <v>14</v>
      </c>
      <c r="D3451">
        <v>18</v>
      </c>
      <c r="E3451">
        <v>1.8</v>
      </c>
    </row>
    <row r="3452" spans="1:5" x14ac:dyDescent="0.2">
      <c r="A3452">
        <v>3445</v>
      </c>
      <c r="B3452">
        <v>3207</v>
      </c>
      <c r="C3452">
        <v>14</v>
      </c>
      <c r="D3452">
        <v>17.600000000000001</v>
      </c>
      <c r="E3452">
        <v>1.8</v>
      </c>
    </row>
    <row r="3453" spans="1:5" x14ac:dyDescent="0.2">
      <c r="A3453">
        <v>3446</v>
      </c>
      <c r="B3453">
        <v>3211</v>
      </c>
      <c r="C3453">
        <v>13</v>
      </c>
      <c r="D3453">
        <v>17.3</v>
      </c>
      <c r="E3453">
        <v>1.7</v>
      </c>
    </row>
    <row r="3454" spans="1:5" x14ac:dyDescent="0.2">
      <c r="A3454">
        <v>3447</v>
      </c>
      <c r="B3454">
        <v>3215</v>
      </c>
      <c r="C3454">
        <v>13</v>
      </c>
      <c r="D3454">
        <v>16.899999999999999</v>
      </c>
      <c r="E3454">
        <v>1.6</v>
      </c>
    </row>
    <row r="3455" spans="1:5" x14ac:dyDescent="0.2">
      <c r="A3455">
        <v>3448</v>
      </c>
      <c r="B3455">
        <v>3219</v>
      </c>
      <c r="C3455">
        <v>13</v>
      </c>
      <c r="D3455">
        <v>16.5</v>
      </c>
      <c r="E3455">
        <v>1.6</v>
      </c>
    </row>
    <row r="3456" spans="1:5" x14ac:dyDescent="0.2">
      <c r="A3456">
        <v>3449</v>
      </c>
      <c r="B3456">
        <v>3223</v>
      </c>
      <c r="C3456">
        <v>12</v>
      </c>
      <c r="D3456">
        <v>16.100000000000001</v>
      </c>
      <c r="E3456">
        <v>1.6</v>
      </c>
    </row>
    <row r="3457" spans="1:5" x14ac:dyDescent="0.2">
      <c r="A3457">
        <v>3450</v>
      </c>
      <c r="B3457">
        <v>3227</v>
      </c>
      <c r="C3457">
        <v>12</v>
      </c>
      <c r="D3457">
        <v>15.7</v>
      </c>
      <c r="E3457">
        <v>1.5</v>
      </c>
    </row>
    <row r="3458" spans="1:5" x14ac:dyDescent="0.2">
      <c r="A3458">
        <v>3451</v>
      </c>
      <c r="B3458">
        <v>3231</v>
      </c>
      <c r="C3458">
        <v>12</v>
      </c>
      <c r="D3458">
        <v>15.3</v>
      </c>
      <c r="E3458">
        <v>1.5</v>
      </c>
    </row>
    <row r="3459" spans="1:5" x14ac:dyDescent="0.2">
      <c r="A3459">
        <v>3452</v>
      </c>
      <c r="B3459">
        <v>3236</v>
      </c>
      <c r="C3459">
        <v>12</v>
      </c>
      <c r="D3459">
        <v>14.9</v>
      </c>
      <c r="E3459">
        <v>1.5</v>
      </c>
    </row>
    <row r="3460" spans="1:5" x14ac:dyDescent="0.2">
      <c r="A3460">
        <v>3453</v>
      </c>
      <c r="B3460">
        <v>3240</v>
      </c>
      <c r="C3460">
        <v>12</v>
      </c>
      <c r="D3460">
        <v>14.5</v>
      </c>
      <c r="E3460">
        <v>1.5</v>
      </c>
    </row>
    <row r="3461" spans="1:5" x14ac:dyDescent="0.2">
      <c r="A3461">
        <v>3454</v>
      </c>
      <c r="B3461">
        <v>3244</v>
      </c>
      <c r="C3461">
        <v>12</v>
      </c>
      <c r="D3461">
        <v>14</v>
      </c>
      <c r="E3461">
        <v>1.5</v>
      </c>
    </row>
    <row r="3462" spans="1:5" x14ac:dyDescent="0.2">
      <c r="A3462">
        <v>3455</v>
      </c>
      <c r="B3462">
        <v>3249</v>
      </c>
      <c r="C3462">
        <v>12</v>
      </c>
      <c r="D3462">
        <v>13.6</v>
      </c>
      <c r="E3462">
        <v>1.5</v>
      </c>
    </row>
    <row r="3463" spans="1:5" x14ac:dyDescent="0.2">
      <c r="A3463">
        <v>3456</v>
      </c>
      <c r="B3463">
        <v>3253</v>
      </c>
      <c r="C3463">
        <v>12</v>
      </c>
      <c r="D3463">
        <v>13.2</v>
      </c>
      <c r="E3463">
        <v>1.5</v>
      </c>
    </row>
    <row r="3464" spans="1:5" x14ac:dyDescent="0.2">
      <c r="A3464">
        <v>3457</v>
      </c>
      <c r="B3464">
        <v>3257</v>
      </c>
      <c r="C3464">
        <v>12</v>
      </c>
      <c r="D3464">
        <v>12.8</v>
      </c>
      <c r="E3464">
        <v>1.5</v>
      </c>
    </row>
    <row r="3465" spans="1:5" x14ac:dyDescent="0.2">
      <c r="A3465">
        <v>3458</v>
      </c>
      <c r="B3465">
        <v>3261</v>
      </c>
      <c r="C3465">
        <v>11</v>
      </c>
      <c r="D3465">
        <v>12.5</v>
      </c>
      <c r="E3465">
        <v>1.4</v>
      </c>
    </row>
    <row r="3466" spans="1:5" x14ac:dyDescent="0.2">
      <c r="A3466">
        <v>3459</v>
      </c>
      <c r="B3466">
        <v>3263</v>
      </c>
      <c r="C3466">
        <v>11</v>
      </c>
      <c r="D3466">
        <v>12.3</v>
      </c>
      <c r="E3466">
        <v>1.4</v>
      </c>
    </row>
    <row r="3467" spans="1:5" x14ac:dyDescent="0.2">
      <c r="A3467">
        <v>3460</v>
      </c>
      <c r="B3467">
        <v>3264</v>
      </c>
      <c r="C3467">
        <v>11</v>
      </c>
      <c r="D3467">
        <v>12.3</v>
      </c>
      <c r="E3467">
        <v>1.4</v>
      </c>
    </row>
    <row r="3468" spans="1:5" x14ac:dyDescent="0.2">
      <c r="A3468">
        <v>3461</v>
      </c>
      <c r="B3468">
        <v>3264</v>
      </c>
      <c r="C3468">
        <v>11</v>
      </c>
      <c r="D3468">
        <v>12.4</v>
      </c>
      <c r="E3468">
        <v>1.4</v>
      </c>
    </row>
    <row r="3469" spans="1:5" x14ac:dyDescent="0.2">
      <c r="A3469">
        <v>3462</v>
      </c>
      <c r="B3469">
        <v>3264</v>
      </c>
      <c r="C3469">
        <v>11</v>
      </c>
      <c r="D3469">
        <v>12.6</v>
      </c>
      <c r="E3469">
        <v>1.4</v>
      </c>
    </row>
    <row r="3470" spans="1:5" x14ac:dyDescent="0.2">
      <c r="A3470">
        <v>3463</v>
      </c>
      <c r="B3470">
        <v>3263</v>
      </c>
      <c r="C3470">
        <v>11</v>
      </c>
      <c r="D3470">
        <v>12.7</v>
      </c>
      <c r="E3470">
        <v>1.4</v>
      </c>
    </row>
    <row r="3471" spans="1:5" x14ac:dyDescent="0.2">
      <c r="A3471">
        <v>3464</v>
      </c>
      <c r="B3471">
        <v>3264</v>
      </c>
      <c r="C3471">
        <v>11</v>
      </c>
      <c r="D3471">
        <v>12.8</v>
      </c>
      <c r="E3471">
        <v>1.4</v>
      </c>
    </row>
    <row r="3472" spans="1:5" x14ac:dyDescent="0.2">
      <c r="A3472">
        <v>3465</v>
      </c>
      <c r="B3472">
        <v>3266</v>
      </c>
      <c r="C3472">
        <v>11</v>
      </c>
      <c r="D3472">
        <v>12.7</v>
      </c>
      <c r="E3472">
        <v>1.4</v>
      </c>
    </row>
    <row r="3473" spans="1:5" x14ac:dyDescent="0.2">
      <c r="A3473">
        <v>3466</v>
      </c>
      <c r="B3473">
        <v>3268</v>
      </c>
      <c r="C3473">
        <v>11</v>
      </c>
      <c r="D3473">
        <v>12.5</v>
      </c>
      <c r="E3473">
        <v>1.4</v>
      </c>
    </row>
    <row r="3474" spans="1:5" x14ac:dyDescent="0.2">
      <c r="A3474">
        <v>3467</v>
      </c>
      <c r="B3474">
        <v>3271</v>
      </c>
      <c r="C3474">
        <v>11</v>
      </c>
      <c r="D3474">
        <v>12.2</v>
      </c>
      <c r="E3474">
        <v>1.4</v>
      </c>
    </row>
    <row r="3475" spans="1:5" x14ac:dyDescent="0.2">
      <c r="A3475">
        <v>3468</v>
      </c>
      <c r="B3475">
        <v>3275</v>
      </c>
      <c r="C3475">
        <v>11</v>
      </c>
      <c r="D3475">
        <v>11.9</v>
      </c>
      <c r="E3475">
        <v>1.4</v>
      </c>
    </row>
    <row r="3476" spans="1:5" x14ac:dyDescent="0.2">
      <c r="A3476">
        <v>3469</v>
      </c>
      <c r="B3476">
        <v>3279</v>
      </c>
      <c r="C3476">
        <v>11</v>
      </c>
      <c r="D3476">
        <v>11.6</v>
      </c>
      <c r="E3476">
        <v>1.4</v>
      </c>
    </row>
    <row r="3477" spans="1:5" x14ac:dyDescent="0.2">
      <c r="A3477">
        <v>3470</v>
      </c>
      <c r="B3477">
        <v>3281</v>
      </c>
      <c r="C3477">
        <v>11</v>
      </c>
      <c r="D3477">
        <v>11.4</v>
      </c>
      <c r="E3477">
        <v>1.4</v>
      </c>
    </row>
    <row r="3478" spans="1:5" x14ac:dyDescent="0.2">
      <c r="A3478">
        <v>3471</v>
      </c>
      <c r="B3478">
        <v>3282</v>
      </c>
      <c r="C3478">
        <v>11</v>
      </c>
      <c r="D3478">
        <v>11.3</v>
      </c>
      <c r="E3478">
        <v>1.4</v>
      </c>
    </row>
    <row r="3479" spans="1:5" x14ac:dyDescent="0.2">
      <c r="A3479">
        <v>3472</v>
      </c>
      <c r="B3479">
        <v>3282</v>
      </c>
      <c r="C3479">
        <v>11</v>
      </c>
      <c r="D3479">
        <v>11.5</v>
      </c>
      <c r="E3479">
        <v>1.4</v>
      </c>
    </row>
    <row r="3480" spans="1:5" x14ac:dyDescent="0.2">
      <c r="A3480">
        <v>3473</v>
      </c>
      <c r="B3480">
        <v>3279</v>
      </c>
      <c r="C3480">
        <v>11</v>
      </c>
      <c r="D3480">
        <v>12</v>
      </c>
      <c r="E3480">
        <v>1.4</v>
      </c>
    </row>
    <row r="3481" spans="1:5" x14ac:dyDescent="0.2">
      <c r="A3481">
        <v>3474</v>
      </c>
      <c r="B3481">
        <v>3275</v>
      </c>
      <c r="C3481">
        <v>11</v>
      </c>
      <c r="D3481">
        <v>12.7</v>
      </c>
      <c r="E3481">
        <v>1.4</v>
      </c>
    </row>
    <row r="3482" spans="1:5" x14ac:dyDescent="0.2">
      <c r="A3482">
        <v>3475</v>
      </c>
      <c r="B3482">
        <v>3270</v>
      </c>
      <c r="C3482">
        <v>11</v>
      </c>
      <c r="D3482">
        <v>13.3</v>
      </c>
      <c r="E3482">
        <v>1.4</v>
      </c>
    </row>
    <row r="3483" spans="1:5" x14ac:dyDescent="0.2">
      <c r="A3483">
        <v>3476</v>
      </c>
      <c r="B3483">
        <v>3267</v>
      </c>
      <c r="C3483">
        <v>11</v>
      </c>
      <c r="D3483">
        <v>13.9</v>
      </c>
      <c r="E3483">
        <v>1.4</v>
      </c>
    </row>
    <row r="3484" spans="1:5" x14ac:dyDescent="0.2">
      <c r="A3484">
        <v>3477</v>
      </c>
      <c r="B3484">
        <v>3266</v>
      </c>
      <c r="C3484">
        <v>11</v>
      </c>
      <c r="D3484">
        <v>14.1</v>
      </c>
      <c r="E3484">
        <v>1.4</v>
      </c>
    </row>
    <row r="3485" spans="1:5" x14ac:dyDescent="0.2">
      <c r="A3485">
        <v>3478</v>
      </c>
      <c r="B3485">
        <v>3267</v>
      </c>
      <c r="C3485">
        <v>11</v>
      </c>
      <c r="D3485">
        <v>14.1</v>
      </c>
      <c r="E3485">
        <v>1.4</v>
      </c>
    </row>
    <row r="3486" spans="1:5" x14ac:dyDescent="0.2">
      <c r="A3486">
        <v>3479</v>
      </c>
      <c r="B3486">
        <v>3271</v>
      </c>
      <c r="C3486">
        <v>11</v>
      </c>
      <c r="D3486">
        <v>13.8</v>
      </c>
      <c r="E3486">
        <v>1.4</v>
      </c>
    </row>
    <row r="3487" spans="1:5" x14ac:dyDescent="0.2">
      <c r="A3487">
        <v>3480</v>
      </c>
      <c r="B3487">
        <v>3276</v>
      </c>
      <c r="C3487">
        <v>11</v>
      </c>
      <c r="D3487">
        <v>13.2</v>
      </c>
      <c r="E3487">
        <v>1.4</v>
      </c>
    </row>
    <row r="3488" spans="1:5" x14ac:dyDescent="0.2">
      <c r="A3488">
        <v>3481</v>
      </c>
      <c r="B3488">
        <v>3282</v>
      </c>
      <c r="C3488">
        <v>11</v>
      </c>
      <c r="D3488">
        <v>12.6</v>
      </c>
      <c r="E3488">
        <v>1.4</v>
      </c>
    </row>
    <row r="3489" spans="1:5" x14ac:dyDescent="0.2">
      <c r="A3489">
        <v>3482</v>
      </c>
      <c r="B3489">
        <v>3287</v>
      </c>
      <c r="C3489">
        <v>11</v>
      </c>
      <c r="D3489">
        <v>12</v>
      </c>
      <c r="E3489">
        <v>1.4</v>
      </c>
    </row>
    <row r="3490" spans="1:5" x14ac:dyDescent="0.2">
      <c r="A3490">
        <v>3483</v>
      </c>
      <c r="B3490">
        <v>3291</v>
      </c>
      <c r="C3490">
        <v>11</v>
      </c>
      <c r="D3490">
        <v>11.7</v>
      </c>
      <c r="E3490">
        <v>1.4</v>
      </c>
    </row>
    <row r="3491" spans="1:5" x14ac:dyDescent="0.2">
      <c r="A3491">
        <v>3484</v>
      </c>
      <c r="B3491">
        <v>3294</v>
      </c>
      <c r="C3491">
        <v>11</v>
      </c>
      <c r="D3491">
        <v>11.4</v>
      </c>
      <c r="E3491">
        <v>1.4</v>
      </c>
    </row>
    <row r="3492" spans="1:5" x14ac:dyDescent="0.2">
      <c r="A3492">
        <v>3485</v>
      </c>
      <c r="B3492">
        <v>3296</v>
      </c>
      <c r="C3492">
        <v>11</v>
      </c>
      <c r="D3492">
        <v>11.3</v>
      </c>
      <c r="E3492">
        <v>1.4</v>
      </c>
    </row>
    <row r="3493" spans="1:5" x14ac:dyDescent="0.2">
      <c r="A3493">
        <v>3486</v>
      </c>
      <c r="B3493">
        <v>3297</v>
      </c>
      <c r="C3493">
        <v>11</v>
      </c>
      <c r="D3493">
        <v>11.3</v>
      </c>
      <c r="E3493">
        <v>1.4</v>
      </c>
    </row>
    <row r="3494" spans="1:5" x14ac:dyDescent="0.2">
      <c r="A3494">
        <v>3487</v>
      </c>
      <c r="B3494">
        <v>3299</v>
      </c>
      <c r="C3494">
        <v>11</v>
      </c>
      <c r="D3494">
        <v>11.2</v>
      </c>
      <c r="E3494">
        <v>1.4</v>
      </c>
    </row>
    <row r="3495" spans="1:5" x14ac:dyDescent="0.2">
      <c r="A3495">
        <v>3488</v>
      </c>
      <c r="B3495">
        <v>3301</v>
      </c>
      <c r="C3495">
        <v>11</v>
      </c>
      <c r="D3495">
        <v>11.1</v>
      </c>
      <c r="E3495">
        <v>1.4</v>
      </c>
    </row>
    <row r="3496" spans="1:5" x14ac:dyDescent="0.2">
      <c r="A3496">
        <v>3489</v>
      </c>
      <c r="B3496">
        <v>3303</v>
      </c>
      <c r="C3496">
        <v>11</v>
      </c>
      <c r="D3496">
        <v>11</v>
      </c>
      <c r="E3496">
        <v>1.4</v>
      </c>
    </row>
    <row r="3497" spans="1:5" x14ac:dyDescent="0.2">
      <c r="A3497">
        <v>3490</v>
      </c>
      <c r="B3497">
        <v>3305</v>
      </c>
      <c r="C3497">
        <v>11</v>
      </c>
      <c r="D3497">
        <v>10.8</v>
      </c>
      <c r="E3497">
        <v>1.4</v>
      </c>
    </row>
    <row r="3498" spans="1:5" x14ac:dyDescent="0.2">
      <c r="A3498">
        <v>3491</v>
      </c>
      <c r="B3498">
        <v>3307</v>
      </c>
      <c r="C3498">
        <v>11</v>
      </c>
      <c r="D3498">
        <v>10.7</v>
      </c>
      <c r="E3498">
        <v>1.4</v>
      </c>
    </row>
    <row r="3499" spans="1:5" x14ac:dyDescent="0.2">
      <c r="A3499">
        <v>3492</v>
      </c>
      <c r="B3499">
        <v>3309</v>
      </c>
      <c r="C3499">
        <v>11</v>
      </c>
      <c r="D3499">
        <v>10.5</v>
      </c>
      <c r="E3499">
        <v>1.4</v>
      </c>
    </row>
    <row r="3500" spans="1:5" x14ac:dyDescent="0.2">
      <c r="A3500">
        <v>3493</v>
      </c>
      <c r="B3500">
        <v>3311</v>
      </c>
      <c r="C3500">
        <v>11</v>
      </c>
      <c r="D3500">
        <v>10.4</v>
      </c>
      <c r="E3500">
        <v>1.4</v>
      </c>
    </row>
    <row r="3501" spans="1:5" x14ac:dyDescent="0.2">
      <c r="A3501">
        <v>3494</v>
      </c>
      <c r="B3501">
        <v>3314</v>
      </c>
      <c r="C3501">
        <v>11</v>
      </c>
      <c r="D3501">
        <v>10.199999999999999</v>
      </c>
      <c r="E3501">
        <v>1.4</v>
      </c>
    </row>
    <row r="3502" spans="1:5" x14ac:dyDescent="0.2">
      <c r="A3502">
        <v>3495</v>
      </c>
      <c r="B3502">
        <v>3316</v>
      </c>
      <c r="C3502">
        <v>11</v>
      </c>
      <c r="D3502">
        <v>10</v>
      </c>
      <c r="E3502">
        <v>1.4</v>
      </c>
    </row>
    <row r="3503" spans="1:5" x14ac:dyDescent="0.2">
      <c r="A3503">
        <v>3496</v>
      </c>
      <c r="B3503">
        <v>3318</v>
      </c>
      <c r="C3503">
        <v>11</v>
      </c>
      <c r="D3503">
        <v>9.8000000000000007</v>
      </c>
      <c r="E3503">
        <v>1.4</v>
      </c>
    </row>
    <row r="3504" spans="1:5" x14ac:dyDescent="0.2">
      <c r="A3504">
        <v>3497</v>
      </c>
      <c r="B3504">
        <v>3321</v>
      </c>
      <c r="C3504">
        <v>11</v>
      </c>
      <c r="D3504">
        <v>9.6999999999999993</v>
      </c>
      <c r="E3504">
        <v>1.4</v>
      </c>
    </row>
    <row r="3505" spans="1:5" x14ac:dyDescent="0.2">
      <c r="A3505">
        <v>3498</v>
      </c>
      <c r="B3505">
        <v>3322</v>
      </c>
      <c r="C3505">
        <v>11</v>
      </c>
      <c r="D3505">
        <v>9.6</v>
      </c>
      <c r="E3505">
        <v>1.4</v>
      </c>
    </row>
    <row r="3506" spans="1:5" x14ac:dyDescent="0.2">
      <c r="A3506">
        <v>3499</v>
      </c>
      <c r="B3506">
        <v>3323</v>
      </c>
      <c r="C3506">
        <v>11</v>
      </c>
      <c r="D3506">
        <v>9.6999999999999993</v>
      </c>
      <c r="E3506">
        <v>1.4</v>
      </c>
    </row>
    <row r="3507" spans="1:5" x14ac:dyDescent="0.2">
      <c r="A3507">
        <v>3500</v>
      </c>
      <c r="B3507">
        <v>3322</v>
      </c>
      <c r="C3507">
        <v>11</v>
      </c>
      <c r="D3507">
        <v>9.8000000000000007</v>
      </c>
      <c r="E3507">
        <v>1.4</v>
      </c>
    </row>
    <row r="3508" spans="1:5" x14ac:dyDescent="0.2">
      <c r="A3508">
        <v>3501</v>
      </c>
      <c r="B3508">
        <v>3321</v>
      </c>
      <c r="C3508">
        <v>11</v>
      </c>
      <c r="D3508">
        <v>10.1</v>
      </c>
      <c r="E3508">
        <v>1.4</v>
      </c>
    </row>
    <row r="3509" spans="1:5" x14ac:dyDescent="0.2">
      <c r="A3509">
        <v>3502</v>
      </c>
      <c r="B3509">
        <v>3319</v>
      </c>
      <c r="C3509">
        <v>11</v>
      </c>
      <c r="D3509">
        <v>10.5</v>
      </c>
      <c r="E3509">
        <v>1.4</v>
      </c>
    </row>
    <row r="3510" spans="1:5" x14ac:dyDescent="0.2">
      <c r="A3510">
        <v>3503</v>
      </c>
      <c r="B3510">
        <v>3317</v>
      </c>
      <c r="C3510">
        <v>11</v>
      </c>
      <c r="D3510">
        <v>10.9</v>
      </c>
      <c r="E3510">
        <v>1.4</v>
      </c>
    </row>
    <row r="3511" spans="1:5" x14ac:dyDescent="0.2">
      <c r="A3511">
        <v>3504</v>
      </c>
      <c r="B3511">
        <v>3314</v>
      </c>
      <c r="C3511">
        <v>11</v>
      </c>
      <c r="D3511">
        <v>11.4</v>
      </c>
      <c r="E3511">
        <v>1.4</v>
      </c>
    </row>
    <row r="3512" spans="1:5" x14ac:dyDescent="0.2">
      <c r="A3512">
        <v>3505</v>
      </c>
      <c r="B3512">
        <v>3311</v>
      </c>
      <c r="C3512">
        <v>11</v>
      </c>
      <c r="D3512">
        <v>11.8</v>
      </c>
      <c r="E3512">
        <v>1.4</v>
      </c>
    </row>
    <row r="3513" spans="1:5" x14ac:dyDescent="0.2">
      <c r="A3513">
        <v>3506</v>
      </c>
      <c r="B3513">
        <v>3310</v>
      </c>
      <c r="C3513">
        <v>11</v>
      </c>
      <c r="D3513">
        <v>12.2</v>
      </c>
      <c r="E3513">
        <v>1.4</v>
      </c>
    </row>
    <row r="3514" spans="1:5" x14ac:dyDescent="0.2">
      <c r="A3514">
        <v>3507</v>
      </c>
      <c r="B3514">
        <v>3310</v>
      </c>
      <c r="C3514">
        <v>11</v>
      </c>
      <c r="D3514">
        <v>12.3</v>
      </c>
      <c r="E3514">
        <v>1.4</v>
      </c>
    </row>
    <row r="3515" spans="1:5" x14ac:dyDescent="0.2">
      <c r="A3515">
        <v>3508</v>
      </c>
      <c r="B3515">
        <v>3311</v>
      </c>
      <c r="C3515">
        <v>11</v>
      </c>
      <c r="D3515">
        <v>12.2</v>
      </c>
      <c r="E3515">
        <v>1.4</v>
      </c>
    </row>
    <row r="3516" spans="1:5" x14ac:dyDescent="0.2">
      <c r="A3516">
        <v>3509</v>
      </c>
      <c r="B3516">
        <v>3314</v>
      </c>
      <c r="C3516">
        <v>11</v>
      </c>
      <c r="D3516">
        <v>12</v>
      </c>
      <c r="E3516">
        <v>1.4</v>
      </c>
    </row>
    <row r="3517" spans="1:5" x14ac:dyDescent="0.2">
      <c r="A3517">
        <v>3510</v>
      </c>
      <c r="B3517">
        <v>3316</v>
      </c>
      <c r="C3517">
        <v>11</v>
      </c>
      <c r="D3517">
        <v>11.8</v>
      </c>
      <c r="E3517">
        <v>1.4</v>
      </c>
    </row>
    <row r="3518" spans="1:5" x14ac:dyDescent="0.2">
      <c r="A3518">
        <v>3511</v>
      </c>
      <c r="B3518">
        <v>3318</v>
      </c>
      <c r="C3518">
        <v>11</v>
      </c>
      <c r="D3518">
        <v>11.7</v>
      </c>
      <c r="E3518">
        <v>1.4</v>
      </c>
    </row>
    <row r="3519" spans="1:5" x14ac:dyDescent="0.2">
      <c r="A3519">
        <v>3512</v>
      </c>
      <c r="B3519">
        <v>3320</v>
      </c>
      <c r="C3519">
        <v>11</v>
      </c>
      <c r="D3519">
        <v>11.6</v>
      </c>
      <c r="E3519">
        <v>1.4</v>
      </c>
    </row>
    <row r="3520" spans="1:5" x14ac:dyDescent="0.2">
      <c r="A3520">
        <v>3513</v>
      </c>
      <c r="B3520">
        <v>3321</v>
      </c>
      <c r="C3520">
        <v>11</v>
      </c>
      <c r="D3520">
        <v>11.6</v>
      </c>
      <c r="E3520">
        <v>1.4</v>
      </c>
    </row>
    <row r="3521" spans="1:5" x14ac:dyDescent="0.2">
      <c r="A3521">
        <v>3514</v>
      </c>
      <c r="B3521">
        <v>3322</v>
      </c>
      <c r="C3521">
        <v>11</v>
      </c>
      <c r="D3521">
        <v>11.6</v>
      </c>
      <c r="E3521">
        <v>1.4</v>
      </c>
    </row>
    <row r="3522" spans="1:5" x14ac:dyDescent="0.2">
      <c r="A3522">
        <v>3515</v>
      </c>
      <c r="B3522">
        <v>3322</v>
      </c>
      <c r="C3522">
        <v>11</v>
      </c>
      <c r="D3522">
        <v>11.7</v>
      </c>
      <c r="E3522">
        <v>1.4</v>
      </c>
    </row>
    <row r="3523" spans="1:5" x14ac:dyDescent="0.2">
      <c r="A3523">
        <v>3516</v>
      </c>
      <c r="B3523">
        <v>3323</v>
      </c>
      <c r="C3523">
        <v>11</v>
      </c>
      <c r="D3523">
        <v>11.7</v>
      </c>
      <c r="E3523">
        <v>1.4</v>
      </c>
    </row>
    <row r="3524" spans="1:5" x14ac:dyDescent="0.2">
      <c r="A3524">
        <v>3517</v>
      </c>
      <c r="B3524">
        <v>3324</v>
      </c>
      <c r="C3524">
        <v>11</v>
      </c>
      <c r="D3524">
        <v>11.7</v>
      </c>
      <c r="E3524">
        <v>1.4</v>
      </c>
    </row>
    <row r="3525" spans="1:5" x14ac:dyDescent="0.2">
      <c r="A3525">
        <v>3518</v>
      </c>
      <c r="B3525">
        <v>3325</v>
      </c>
      <c r="C3525">
        <v>11</v>
      </c>
      <c r="D3525">
        <v>11.7</v>
      </c>
      <c r="E3525">
        <v>1.4</v>
      </c>
    </row>
    <row r="3526" spans="1:5" x14ac:dyDescent="0.2">
      <c r="A3526">
        <v>3519</v>
      </c>
      <c r="B3526">
        <v>3325</v>
      </c>
      <c r="C3526">
        <v>11</v>
      </c>
      <c r="D3526">
        <v>11.8</v>
      </c>
      <c r="E3526">
        <v>1.4</v>
      </c>
    </row>
    <row r="3527" spans="1:5" x14ac:dyDescent="0.2">
      <c r="A3527">
        <v>3520</v>
      </c>
      <c r="B3527">
        <v>3325</v>
      </c>
      <c r="C3527">
        <v>11</v>
      </c>
      <c r="D3527">
        <v>11.9</v>
      </c>
      <c r="E3527">
        <v>1.4</v>
      </c>
    </row>
    <row r="3528" spans="1:5" x14ac:dyDescent="0.2">
      <c r="A3528">
        <v>3521</v>
      </c>
      <c r="B3528">
        <v>3324</v>
      </c>
      <c r="C3528">
        <v>11</v>
      </c>
      <c r="D3528">
        <v>12.1</v>
      </c>
      <c r="E3528">
        <v>1.4</v>
      </c>
    </row>
    <row r="3529" spans="1:5" x14ac:dyDescent="0.2">
      <c r="A3529">
        <v>3522</v>
      </c>
      <c r="B3529">
        <v>3323</v>
      </c>
      <c r="C3529">
        <v>11</v>
      </c>
      <c r="D3529">
        <v>12.5</v>
      </c>
      <c r="E3529">
        <v>1.4</v>
      </c>
    </row>
    <row r="3530" spans="1:5" x14ac:dyDescent="0.2">
      <c r="A3530">
        <v>3523</v>
      </c>
      <c r="B3530">
        <v>3321</v>
      </c>
      <c r="C3530">
        <v>11</v>
      </c>
      <c r="D3530">
        <v>12.9</v>
      </c>
      <c r="E3530">
        <v>1.4</v>
      </c>
    </row>
    <row r="3531" spans="1:5" x14ac:dyDescent="0.2">
      <c r="A3531">
        <v>3524</v>
      </c>
      <c r="B3531">
        <v>3318</v>
      </c>
      <c r="C3531">
        <v>11</v>
      </c>
      <c r="D3531">
        <v>13.3</v>
      </c>
      <c r="E3531">
        <v>1.4</v>
      </c>
    </row>
    <row r="3532" spans="1:5" x14ac:dyDescent="0.2">
      <c r="A3532">
        <v>3525</v>
      </c>
      <c r="B3532">
        <v>3316</v>
      </c>
      <c r="C3532">
        <v>11</v>
      </c>
      <c r="D3532">
        <v>13.7</v>
      </c>
      <c r="E3532">
        <v>1.4</v>
      </c>
    </row>
    <row r="3533" spans="1:5" x14ac:dyDescent="0.2">
      <c r="A3533">
        <v>3526</v>
      </c>
      <c r="B3533">
        <v>3314</v>
      </c>
      <c r="C3533">
        <v>11</v>
      </c>
      <c r="D3533">
        <v>14</v>
      </c>
      <c r="E3533">
        <v>1.4</v>
      </c>
    </row>
    <row r="3534" spans="1:5" x14ac:dyDescent="0.2">
      <c r="A3534">
        <v>3527</v>
      </c>
      <c r="B3534">
        <v>3313</v>
      </c>
      <c r="C3534">
        <v>11</v>
      </c>
      <c r="D3534">
        <v>14.3</v>
      </c>
      <c r="E3534">
        <v>1.4</v>
      </c>
    </row>
    <row r="3535" spans="1:5" x14ac:dyDescent="0.2">
      <c r="A3535">
        <v>3528</v>
      </c>
      <c r="B3535">
        <v>3313</v>
      </c>
      <c r="C3535">
        <v>11</v>
      </c>
      <c r="D3535">
        <v>14.5</v>
      </c>
      <c r="E3535">
        <v>1.4</v>
      </c>
    </row>
    <row r="3536" spans="1:5" x14ac:dyDescent="0.2">
      <c r="A3536">
        <v>3529</v>
      </c>
      <c r="B3536">
        <v>3313</v>
      </c>
      <c r="C3536">
        <v>11</v>
      </c>
      <c r="D3536">
        <v>14.6</v>
      </c>
      <c r="E3536">
        <v>1.4</v>
      </c>
    </row>
    <row r="3537" spans="1:5" x14ac:dyDescent="0.2">
      <c r="A3537">
        <v>3530</v>
      </c>
      <c r="B3537">
        <v>3312</v>
      </c>
      <c r="C3537">
        <v>11</v>
      </c>
      <c r="D3537">
        <v>14.8</v>
      </c>
      <c r="E3537">
        <v>1.4</v>
      </c>
    </row>
    <row r="3538" spans="1:5" x14ac:dyDescent="0.2">
      <c r="A3538">
        <v>3531</v>
      </c>
      <c r="B3538">
        <v>3312</v>
      </c>
      <c r="C3538">
        <v>11</v>
      </c>
      <c r="D3538">
        <v>14.9</v>
      </c>
      <c r="E3538">
        <v>1.4</v>
      </c>
    </row>
    <row r="3539" spans="1:5" x14ac:dyDescent="0.2">
      <c r="A3539">
        <v>3532</v>
      </c>
      <c r="B3539">
        <v>3312</v>
      </c>
      <c r="C3539">
        <v>11</v>
      </c>
      <c r="D3539">
        <v>15.1</v>
      </c>
      <c r="E3539">
        <v>1.4</v>
      </c>
    </row>
    <row r="3540" spans="1:5" x14ac:dyDescent="0.2">
      <c r="A3540">
        <v>3533</v>
      </c>
      <c r="B3540">
        <v>3311</v>
      </c>
      <c r="C3540">
        <v>11</v>
      </c>
      <c r="D3540">
        <v>15.3</v>
      </c>
      <c r="E3540">
        <v>1.4</v>
      </c>
    </row>
    <row r="3541" spans="1:5" x14ac:dyDescent="0.2">
      <c r="A3541">
        <v>3534</v>
      </c>
      <c r="B3541">
        <v>3310</v>
      </c>
      <c r="C3541">
        <v>11</v>
      </c>
      <c r="D3541">
        <v>15.5</v>
      </c>
      <c r="E3541">
        <v>1.4</v>
      </c>
    </row>
    <row r="3542" spans="1:5" x14ac:dyDescent="0.2">
      <c r="A3542">
        <v>3535</v>
      </c>
      <c r="B3542">
        <v>3309</v>
      </c>
      <c r="C3542">
        <v>11</v>
      </c>
      <c r="D3542">
        <v>15.8</v>
      </c>
      <c r="E3542">
        <v>1.4</v>
      </c>
    </row>
    <row r="3543" spans="1:5" x14ac:dyDescent="0.2">
      <c r="A3543">
        <v>3536</v>
      </c>
      <c r="B3543">
        <v>3308</v>
      </c>
      <c r="C3543">
        <v>11</v>
      </c>
      <c r="D3543">
        <v>16</v>
      </c>
      <c r="E3543">
        <v>1.4</v>
      </c>
    </row>
    <row r="3544" spans="1:5" x14ac:dyDescent="0.2">
      <c r="A3544">
        <v>3537</v>
      </c>
      <c r="B3544">
        <v>3308</v>
      </c>
      <c r="C3544">
        <v>11</v>
      </c>
      <c r="D3544">
        <v>16.100000000000001</v>
      </c>
      <c r="E3544">
        <v>1.4</v>
      </c>
    </row>
    <row r="3545" spans="1:5" x14ac:dyDescent="0.2">
      <c r="A3545">
        <v>3538</v>
      </c>
      <c r="B3545">
        <v>3309</v>
      </c>
      <c r="C3545">
        <v>11</v>
      </c>
      <c r="D3545">
        <v>16.2</v>
      </c>
      <c r="E3545">
        <v>1.4</v>
      </c>
    </row>
    <row r="3546" spans="1:5" x14ac:dyDescent="0.2">
      <c r="A3546">
        <v>3539</v>
      </c>
      <c r="B3546">
        <v>3309</v>
      </c>
      <c r="C3546">
        <v>11</v>
      </c>
      <c r="D3546">
        <v>16.3</v>
      </c>
      <c r="E3546">
        <v>1.4</v>
      </c>
    </row>
    <row r="3547" spans="1:5" x14ac:dyDescent="0.2">
      <c r="A3547">
        <v>3540</v>
      </c>
      <c r="B3547">
        <v>3308</v>
      </c>
      <c r="C3547">
        <v>11</v>
      </c>
      <c r="D3547">
        <v>16.5</v>
      </c>
      <c r="E3547">
        <v>1.4</v>
      </c>
    </row>
    <row r="3548" spans="1:5" x14ac:dyDescent="0.2">
      <c r="A3548">
        <v>3541</v>
      </c>
      <c r="B3548">
        <v>3307</v>
      </c>
      <c r="C3548">
        <v>11</v>
      </c>
      <c r="D3548">
        <v>16.8</v>
      </c>
      <c r="E3548">
        <v>1.4</v>
      </c>
    </row>
    <row r="3549" spans="1:5" x14ac:dyDescent="0.2">
      <c r="A3549">
        <v>3542</v>
      </c>
      <c r="B3549">
        <v>3305</v>
      </c>
      <c r="C3549">
        <v>11</v>
      </c>
      <c r="D3549">
        <v>17.2</v>
      </c>
      <c r="E3549">
        <v>1.4</v>
      </c>
    </row>
    <row r="3550" spans="1:5" x14ac:dyDescent="0.2">
      <c r="A3550">
        <v>3543</v>
      </c>
      <c r="B3550">
        <v>3302</v>
      </c>
      <c r="C3550">
        <v>11</v>
      </c>
      <c r="D3550">
        <v>17.600000000000001</v>
      </c>
      <c r="E3550">
        <v>1.4</v>
      </c>
    </row>
    <row r="3551" spans="1:5" x14ac:dyDescent="0.2">
      <c r="A3551">
        <v>3544</v>
      </c>
      <c r="B3551">
        <v>3301</v>
      </c>
      <c r="C3551">
        <v>11</v>
      </c>
      <c r="D3551">
        <v>17.899999999999999</v>
      </c>
      <c r="E3551">
        <v>1.4</v>
      </c>
    </row>
    <row r="3552" spans="1:5" x14ac:dyDescent="0.2">
      <c r="A3552">
        <v>3545</v>
      </c>
      <c r="B3552">
        <v>3301</v>
      </c>
      <c r="C3552">
        <v>11</v>
      </c>
      <c r="D3552">
        <v>18</v>
      </c>
      <c r="E3552">
        <v>1.4</v>
      </c>
    </row>
    <row r="3553" spans="1:5" x14ac:dyDescent="0.2">
      <c r="A3553">
        <v>3546</v>
      </c>
      <c r="B3553">
        <v>3303</v>
      </c>
      <c r="C3553">
        <v>11</v>
      </c>
      <c r="D3553">
        <v>17.899999999999999</v>
      </c>
      <c r="E3553">
        <v>1.4</v>
      </c>
    </row>
    <row r="3554" spans="1:5" x14ac:dyDescent="0.2">
      <c r="A3554">
        <v>3547</v>
      </c>
      <c r="B3554">
        <v>3305</v>
      </c>
      <c r="C3554">
        <v>11</v>
      </c>
      <c r="D3554">
        <v>17.8</v>
      </c>
      <c r="E3554">
        <v>1.4</v>
      </c>
    </row>
    <row r="3555" spans="1:5" x14ac:dyDescent="0.2">
      <c r="A3555">
        <v>3548</v>
      </c>
      <c r="B3555">
        <v>3308</v>
      </c>
      <c r="C3555">
        <v>11</v>
      </c>
      <c r="D3555">
        <v>17.600000000000001</v>
      </c>
      <c r="E3555">
        <v>1.4</v>
      </c>
    </row>
    <row r="3556" spans="1:5" x14ac:dyDescent="0.2">
      <c r="A3556">
        <v>3549</v>
      </c>
      <c r="B3556">
        <v>3310</v>
      </c>
      <c r="C3556">
        <v>11</v>
      </c>
      <c r="D3556">
        <v>17.399999999999999</v>
      </c>
      <c r="E3556">
        <v>1.4</v>
      </c>
    </row>
    <row r="3557" spans="1:5" x14ac:dyDescent="0.2">
      <c r="A3557">
        <v>3550</v>
      </c>
      <c r="B3557">
        <v>3311</v>
      </c>
      <c r="C3557">
        <v>11</v>
      </c>
      <c r="D3557">
        <v>17.3</v>
      </c>
      <c r="E3557">
        <v>1.4</v>
      </c>
    </row>
    <row r="3558" spans="1:5" x14ac:dyDescent="0.2">
      <c r="A3558">
        <v>3551</v>
      </c>
      <c r="B3558">
        <v>3312</v>
      </c>
      <c r="C3558">
        <v>11</v>
      </c>
      <c r="D3558">
        <v>17.3</v>
      </c>
      <c r="E3558">
        <v>1.4</v>
      </c>
    </row>
    <row r="3559" spans="1:5" x14ac:dyDescent="0.2">
      <c r="A3559">
        <v>3552</v>
      </c>
      <c r="B3559">
        <v>3313</v>
      </c>
      <c r="C3559">
        <v>11</v>
      </c>
      <c r="D3559">
        <v>17.399999999999999</v>
      </c>
      <c r="E3559">
        <v>1.4</v>
      </c>
    </row>
    <row r="3560" spans="1:5" x14ac:dyDescent="0.2">
      <c r="A3560">
        <v>3553</v>
      </c>
      <c r="B3560">
        <v>3312</v>
      </c>
      <c r="C3560">
        <v>11</v>
      </c>
      <c r="D3560">
        <v>17.600000000000001</v>
      </c>
      <c r="E3560">
        <v>1.4</v>
      </c>
    </row>
    <row r="3561" spans="1:5" x14ac:dyDescent="0.2">
      <c r="A3561">
        <v>3554</v>
      </c>
      <c r="B3561">
        <v>3311</v>
      </c>
      <c r="C3561">
        <v>11</v>
      </c>
      <c r="D3561">
        <v>17.8</v>
      </c>
      <c r="E3561">
        <v>1.4</v>
      </c>
    </row>
    <row r="3562" spans="1:5" x14ac:dyDescent="0.2">
      <c r="A3562">
        <v>3555</v>
      </c>
      <c r="B3562">
        <v>3311</v>
      </c>
      <c r="C3562">
        <v>11</v>
      </c>
      <c r="D3562">
        <v>18</v>
      </c>
      <c r="E3562">
        <v>1.4</v>
      </c>
    </row>
    <row r="3563" spans="1:5" x14ac:dyDescent="0.2">
      <c r="A3563">
        <v>3556</v>
      </c>
      <c r="B3563">
        <v>3311</v>
      </c>
      <c r="C3563">
        <v>11</v>
      </c>
      <c r="D3563">
        <v>18.2</v>
      </c>
      <c r="E3563">
        <v>1.4</v>
      </c>
    </row>
    <row r="3564" spans="1:5" x14ac:dyDescent="0.2">
      <c r="A3564">
        <v>3557</v>
      </c>
      <c r="B3564">
        <v>3312</v>
      </c>
      <c r="C3564">
        <v>11</v>
      </c>
      <c r="D3564">
        <v>18.2</v>
      </c>
      <c r="E3564">
        <v>1.4</v>
      </c>
    </row>
    <row r="3565" spans="1:5" x14ac:dyDescent="0.2">
      <c r="A3565">
        <v>3558</v>
      </c>
      <c r="B3565">
        <v>3314</v>
      </c>
      <c r="C3565">
        <v>11</v>
      </c>
      <c r="D3565">
        <v>18</v>
      </c>
      <c r="E3565">
        <v>1.4</v>
      </c>
    </row>
    <row r="3566" spans="1:5" x14ac:dyDescent="0.2">
      <c r="A3566">
        <v>3559</v>
      </c>
      <c r="B3566">
        <v>3317</v>
      </c>
      <c r="C3566">
        <v>11</v>
      </c>
      <c r="D3566">
        <v>17.8</v>
      </c>
      <c r="E3566">
        <v>1.4</v>
      </c>
    </row>
    <row r="3567" spans="1:5" x14ac:dyDescent="0.2">
      <c r="A3567">
        <v>3560</v>
      </c>
      <c r="B3567">
        <v>3320</v>
      </c>
      <c r="C3567">
        <v>11</v>
      </c>
      <c r="D3567">
        <v>17.5</v>
      </c>
      <c r="E3567">
        <v>1.4</v>
      </c>
    </row>
    <row r="3568" spans="1:5" x14ac:dyDescent="0.2">
      <c r="A3568">
        <v>3561</v>
      </c>
      <c r="B3568">
        <v>3323</v>
      </c>
      <c r="C3568">
        <v>11</v>
      </c>
      <c r="D3568">
        <v>17.2</v>
      </c>
      <c r="E3568">
        <v>1.4</v>
      </c>
    </row>
    <row r="3569" spans="1:5" x14ac:dyDescent="0.2">
      <c r="A3569">
        <v>3562</v>
      </c>
      <c r="B3569">
        <v>3326</v>
      </c>
      <c r="C3569">
        <v>11</v>
      </c>
      <c r="D3569">
        <v>16.899999999999999</v>
      </c>
      <c r="E3569">
        <v>1.4</v>
      </c>
    </row>
    <row r="3570" spans="1:5" x14ac:dyDescent="0.2">
      <c r="A3570">
        <v>3563</v>
      </c>
      <c r="B3570">
        <v>3329</v>
      </c>
      <c r="C3570">
        <v>11</v>
      </c>
      <c r="D3570">
        <v>16.7</v>
      </c>
      <c r="E3570">
        <v>1.4</v>
      </c>
    </row>
    <row r="3571" spans="1:5" x14ac:dyDescent="0.2">
      <c r="A3571">
        <v>3564</v>
      </c>
      <c r="B3571">
        <v>3333</v>
      </c>
      <c r="C3571">
        <v>11</v>
      </c>
      <c r="D3571">
        <v>16.399999999999999</v>
      </c>
      <c r="E3571">
        <v>1.4</v>
      </c>
    </row>
    <row r="3572" spans="1:5" x14ac:dyDescent="0.2">
      <c r="A3572">
        <v>3565</v>
      </c>
      <c r="B3572">
        <v>3336</v>
      </c>
      <c r="C3572">
        <v>11</v>
      </c>
      <c r="D3572">
        <v>16</v>
      </c>
      <c r="E3572">
        <v>1.4</v>
      </c>
    </row>
    <row r="3573" spans="1:5" x14ac:dyDescent="0.2">
      <c r="A3573">
        <v>3566</v>
      </c>
      <c r="B3573">
        <v>3339</v>
      </c>
      <c r="C3573">
        <v>11</v>
      </c>
      <c r="D3573">
        <v>15.8</v>
      </c>
      <c r="E3573">
        <v>1.4</v>
      </c>
    </row>
    <row r="3574" spans="1:5" x14ac:dyDescent="0.2">
      <c r="A3574">
        <v>3567</v>
      </c>
      <c r="B3574">
        <v>3342</v>
      </c>
      <c r="C3574">
        <v>11</v>
      </c>
      <c r="D3574">
        <v>15.6</v>
      </c>
      <c r="E3574">
        <v>1.4</v>
      </c>
    </row>
    <row r="3575" spans="1:5" x14ac:dyDescent="0.2">
      <c r="A3575">
        <v>3568</v>
      </c>
      <c r="B3575">
        <v>3344</v>
      </c>
      <c r="C3575">
        <v>11</v>
      </c>
      <c r="D3575">
        <v>15.4</v>
      </c>
      <c r="E3575">
        <v>1.4</v>
      </c>
    </row>
    <row r="3576" spans="1:5" x14ac:dyDescent="0.2">
      <c r="A3576">
        <v>3569</v>
      </c>
      <c r="B3576">
        <v>3347</v>
      </c>
      <c r="C3576">
        <v>11</v>
      </c>
      <c r="D3576">
        <v>15.2</v>
      </c>
      <c r="E3576">
        <v>1.4</v>
      </c>
    </row>
    <row r="3577" spans="1:5" x14ac:dyDescent="0.2">
      <c r="A3577">
        <v>3570</v>
      </c>
      <c r="B3577">
        <v>3350</v>
      </c>
      <c r="C3577">
        <v>11</v>
      </c>
      <c r="D3577">
        <v>14.9</v>
      </c>
      <c r="E3577">
        <v>1.4</v>
      </c>
    </row>
    <row r="3578" spans="1:5" x14ac:dyDescent="0.2">
      <c r="A3578">
        <v>3571</v>
      </c>
      <c r="B3578">
        <v>3354</v>
      </c>
      <c r="C3578">
        <v>11</v>
      </c>
      <c r="D3578">
        <v>14.6</v>
      </c>
      <c r="E3578">
        <v>1.4</v>
      </c>
    </row>
    <row r="3579" spans="1:5" x14ac:dyDescent="0.2">
      <c r="A3579">
        <v>3572</v>
      </c>
      <c r="B3579">
        <v>3357</v>
      </c>
      <c r="C3579">
        <v>11</v>
      </c>
      <c r="D3579">
        <v>14.2</v>
      </c>
      <c r="E3579">
        <v>1.4</v>
      </c>
    </row>
    <row r="3580" spans="1:5" x14ac:dyDescent="0.2">
      <c r="A3580">
        <v>3573</v>
      </c>
      <c r="B3580">
        <v>3361</v>
      </c>
      <c r="C3580">
        <v>11</v>
      </c>
      <c r="D3580">
        <v>13.9</v>
      </c>
      <c r="E3580">
        <v>1.4</v>
      </c>
    </row>
    <row r="3581" spans="1:5" x14ac:dyDescent="0.2">
      <c r="A3581">
        <v>3574</v>
      </c>
      <c r="B3581">
        <v>3364</v>
      </c>
      <c r="C3581">
        <v>11</v>
      </c>
      <c r="D3581">
        <v>13.6</v>
      </c>
      <c r="E3581">
        <v>1.4</v>
      </c>
    </row>
    <row r="3582" spans="1:5" x14ac:dyDescent="0.2">
      <c r="A3582">
        <v>3575</v>
      </c>
      <c r="B3582">
        <v>3367</v>
      </c>
      <c r="C3582">
        <v>11</v>
      </c>
      <c r="D3582">
        <v>13.3</v>
      </c>
      <c r="E3582">
        <v>1.4</v>
      </c>
    </row>
    <row r="3583" spans="1:5" x14ac:dyDescent="0.2">
      <c r="A3583">
        <v>3576</v>
      </c>
      <c r="B3583">
        <v>3370</v>
      </c>
      <c r="C3583">
        <v>11</v>
      </c>
      <c r="D3583">
        <v>13.1</v>
      </c>
      <c r="E3583">
        <v>1.4</v>
      </c>
    </row>
    <row r="3584" spans="1:5" x14ac:dyDescent="0.2">
      <c r="A3584">
        <v>3577</v>
      </c>
      <c r="B3584">
        <v>3372</v>
      </c>
      <c r="C3584">
        <v>11</v>
      </c>
      <c r="D3584">
        <v>13</v>
      </c>
      <c r="E3584">
        <v>1.4</v>
      </c>
    </row>
    <row r="3585" spans="1:5" x14ac:dyDescent="0.2">
      <c r="A3585">
        <v>3578</v>
      </c>
      <c r="B3585">
        <v>3373</v>
      </c>
      <c r="C3585">
        <v>11</v>
      </c>
      <c r="D3585">
        <v>13</v>
      </c>
      <c r="E3585">
        <v>1.4</v>
      </c>
    </row>
    <row r="3586" spans="1:5" x14ac:dyDescent="0.2">
      <c r="A3586">
        <v>3579</v>
      </c>
      <c r="B3586">
        <v>3374</v>
      </c>
      <c r="C3586">
        <v>11</v>
      </c>
      <c r="D3586">
        <v>13</v>
      </c>
      <c r="E3586">
        <v>1.4</v>
      </c>
    </row>
    <row r="3587" spans="1:5" x14ac:dyDescent="0.2">
      <c r="A3587">
        <v>3580</v>
      </c>
      <c r="B3587">
        <v>3375</v>
      </c>
      <c r="C3587">
        <v>11</v>
      </c>
      <c r="D3587">
        <v>13</v>
      </c>
      <c r="E3587">
        <v>1.4</v>
      </c>
    </row>
    <row r="3588" spans="1:5" x14ac:dyDescent="0.2">
      <c r="A3588">
        <v>3581</v>
      </c>
      <c r="B3588">
        <v>3376</v>
      </c>
      <c r="C3588">
        <v>11</v>
      </c>
      <c r="D3588">
        <v>13</v>
      </c>
      <c r="E3588">
        <v>1.4</v>
      </c>
    </row>
    <row r="3589" spans="1:5" x14ac:dyDescent="0.2">
      <c r="A3589">
        <v>3582</v>
      </c>
      <c r="B3589">
        <v>3377</v>
      </c>
      <c r="C3589">
        <v>11</v>
      </c>
      <c r="D3589">
        <v>13</v>
      </c>
      <c r="E3589">
        <v>1.4</v>
      </c>
    </row>
    <row r="3590" spans="1:5" x14ac:dyDescent="0.2">
      <c r="A3590">
        <v>3583</v>
      </c>
      <c r="B3590">
        <v>3377</v>
      </c>
      <c r="C3590">
        <v>11</v>
      </c>
      <c r="D3590">
        <v>13.1</v>
      </c>
      <c r="E3590">
        <v>1.4</v>
      </c>
    </row>
    <row r="3591" spans="1:5" x14ac:dyDescent="0.2">
      <c r="A3591">
        <v>3584</v>
      </c>
      <c r="B3591">
        <v>3378</v>
      </c>
      <c r="C3591">
        <v>11</v>
      </c>
      <c r="D3591">
        <v>13.1</v>
      </c>
      <c r="E3591">
        <v>1.4</v>
      </c>
    </row>
    <row r="3592" spans="1:5" x14ac:dyDescent="0.2">
      <c r="A3592">
        <v>3585</v>
      </c>
      <c r="B3592">
        <v>3379</v>
      </c>
      <c r="C3592">
        <v>11</v>
      </c>
      <c r="D3592">
        <v>13.1</v>
      </c>
      <c r="E3592">
        <v>1.4</v>
      </c>
    </row>
    <row r="3593" spans="1:5" x14ac:dyDescent="0.2">
      <c r="A3593">
        <v>3586</v>
      </c>
      <c r="B3593">
        <v>3380</v>
      </c>
      <c r="C3593">
        <v>11</v>
      </c>
      <c r="D3593">
        <v>13.1</v>
      </c>
      <c r="E3593">
        <v>1.4</v>
      </c>
    </row>
    <row r="3594" spans="1:5" x14ac:dyDescent="0.2">
      <c r="A3594">
        <v>3587</v>
      </c>
      <c r="B3594">
        <v>3380</v>
      </c>
      <c r="C3594">
        <v>11</v>
      </c>
      <c r="D3594">
        <v>13.2</v>
      </c>
      <c r="E3594">
        <v>1.4</v>
      </c>
    </row>
    <row r="3595" spans="1:5" x14ac:dyDescent="0.2">
      <c r="A3595">
        <v>3588</v>
      </c>
      <c r="B3595">
        <v>3381</v>
      </c>
      <c r="C3595">
        <v>11</v>
      </c>
      <c r="D3595">
        <v>13.3</v>
      </c>
      <c r="E3595">
        <v>1.4</v>
      </c>
    </row>
    <row r="3596" spans="1:5" x14ac:dyDescent="0.2">
      <c r="A3596">
        <v>3589</v>
      </c>
      <c r="B3596">
        <v>3381</v>
      </c>
      <c r="C3596">
        <v>11</v>
      </c>
      <c r="D3596">
        <v>13.3</v>
      </c>
      <c r="E3596">
        <v>1.4</v>
      </c>
    </row>
    <row r="3597" spans="1:5" x14ac:dyDescent="0.2">
      <c r="A3597">
        <v>3590</v>
      </c>
      <c r="B3597">
        <v>3381</v>
      </c>
      <c r="C3597">
        <v>11</v>
      </c>
      <c r="D3597">
        <v>13.4</v>
      </c>
      <c r="E3597">
        <v>1.4</v>
      </c>
    </row>
    <row r="3598" spans="1:5" x14ac:dyDescent="0.2">
      <c r="A3598">
        <v>3591</v>
      </c>
      <c r="B3598">
        <v>3382</v>
      </c>
      <c r="C3598">
        <v>11</v>
      </c>
      <c r="D3598">
        <v>13.4</v>
      </c>
      <c r="E3598">
        <v>1.4</v>
      </c>
    </row>
    <row r="3599" spans="1:5" x14ac:dyDescent="0.2">
      <c r="A3599">
        <v>3592</v>
      </c>
      <c r="B3599">
        <v>3384</v>
      </c>
      <c r="C3599">
        <v>11</v>
      </c>
      <c r="D3599">
        <v>13.3</v>
      </c>
      <c r="E3599">
        <v>1.4</v>
      </c>
    </row>
    <row r="3600" spans="1:5" x14ac:dyDescent="0.2">
      <c r="A3600">
        <v>3593</v>
      </c>
      <c r="B3600">
        <v>3386</v>
      </c>
      <c r="C3600">
        <v>11</v>
      </c>
      <c r="D3600">
        <v>13.2</v>
      </c>
      <c r="E3600">
        <v>1.4</v>
      </c>
    </row>
    <row r="3601" spans="1:5" x14ac:dyDescent="0.2">
      <c r="A3601">
        <v>3594</v>
      </c>
      <c r="B3601">
        <v>3389</v>
      </c>
      <c r="C3601">
        <v>11</v>
      </c>
      <c r="D3601">
        <v>13</v>
      </c>
      <c r="E3601">
        <v>1.4</v>
      </c>
    </row>
    <row r="3602" spans="1:5" x14ac:dyDescent="0.2">
      <c r="A3602">
        <v>3595</v>
      </c>
      <c r="B3602">
        <v>3391</v>
      </c>
      <c r="C3602">
        <v>11</v>
      </c>
      <c r="D3602">
        <v>12.8</v>
      </c>
      <c r="E3602">
        <v>1.4</v>
      </c>
    </row>
    <row r="3603" spans="1:5" x14ac:dyDescent="0.2">
      <c r="A3603">
        <v>3596</v>
      </c>
      <c r="B3603">
        <v>3393</v>
      </c>
      <c r="C3603">
        <v>11</v>
      </c>
      <c r="D3603">
        <v>12.7</v>
      </c>
      <c r="E3603">
        <v>1.4</v>
      </c>
    </row>
    <row r="3604" spans="1:5" x14ac:dyDescent="0.2">
      <c r="A3604">
        <v>3597</v>
      </c>
      <c r="B3604">
        <v>3393</v>
      </c>
      <c r="C3604">
        <v>11</v>
      </c>
      <c r="D3604">
        <v>12.8</v>
      </c>
      <c r="E3604">
        <v>1.4</v>
      </c>
    </row>
    <row r="3605" spans="1:5" x14ac:dyDescent="0.2">
      <c r="A3605">
        <v>3598</v>
      </c>
      <c r="B3605">
        <v>3392</v>
      </c>
      <c r="C3605">
        <v>11</v>
      </c>
      <c r="D3605">
        <v>13</v>
      </c>
      <c r="E3605">
        <v>1.4</v>
      </c>
    </row>
    <row r="3606" spans="1:5" x14ac:dyDescent="0.2">
      <c r="A3606">
        <v>3599</v>
      </c>
      <c r="B3606">
        <v>3390</v>
      </c>
      <c r="C3606">
        <v>11</v>
      </c>
      <c r="D3606">
        <v>13.4</v>
      </c>
      <c r="E3606">
        <v>1.4</v>
      </c>
    </row>
    <row r="3607" spans="1:5" x14ac:dyDescent="0.2">
      <c r="A3607">
        <v>3600</v>
      </c>
      <c r="B3607">
        <v>3388</v>
      </c>
      <c r="C3607">
        <v>11</v>
      </c>
      <c r="D3607">
        <v>13.9</v>
      </c>
      <c r="E3607">
        <v>1.4</v>
      </c>
    </row>
    <row r="3608" spans="1:5" x14ac:dyDescent="0.2">
      <c r="A3608">
        <v>3601</v>
      </c>
      <c r="B3608">
        <v>3385</v>
      </c>
      <c r="C3608">
        <v>11</v>
      </c>
      <c r="D3608">
        <v>14.3</v>
      </c>
      <c r="E3608">
        <v>1.4</v>
      </c>
    </row>
    <row r="3609" spans="1:5" x14ac:dyDescent="0.2">
      <c r="A3609">
        <v>3602</v>
      </c>
      <c r="B3609">
        <v>3382</v>
      </c>
      <c r="C3609">
        <v>11</v>
      </c>
      <c r="D3609">
        <v>14.8</v>
      </c>
      <c r="E3609">
        <v>1.4</v>
      </c>
    </row>
    <row r="3610" spans="1:5" x14ac:dyDescent="0.2">
      <c r="A3610">
        <v>3603</v>
      </c>
      <c r="B3610">
        <v>3380</v>
      </c>
      <c r="C3610">
        <v>11</v>
      </c>
      <c r="D3610">
        <v>15.2</v>
      </c>
      <c r="E3610">
        <v>1.4</v>
      </c>
    </row>
    <row r="3611" spans="1:5" x14ac:dyDescent="0.2">
      <c r="A3611">
        <v>3604</v>
      </c>
      <c r="B3611">
        <v>3378</v>
      </c>
      <c r="C3611">
        <v>11</v>
      </c>
      <c r="D3611">
        <v>15.5</v>
      </c>
      <c r="E3611">
        <v>1.4</v>
      </c>
    </row>
    <row r="3612" spans="1:5" x14ac:dyDescent="0.2">
      <c r="A3612">
        <v>3605</v>
      </c>
      <c r="B3612">
        <v>3377</v>
      </c>
      <c r="C3612">
        <v>11</v>
      </c>
      <c r="D3612">
        <v>15.8</v>
      </c>
      <c r="E3612">
        <v>1.4</v>
      </c>
    </row>
    <row r="3613" spans="1:5" x14ac:dyDescent="0.2">
      <c r="A3613">
        <v>3606</v>
      </c>
      <c r="B3613">
        <v>3376</v>
      </c>
      <c r="C3613">
        <v>11</v>
      </c>
      <c r="D3613">
        <v>16</v>
      </c>
      <c r="E3613">
        <v>1.4</v>
      </c>
    </row>
    <row r="3614" spans="1:5" x14ac:dyDescent="0.2">
      <c r="A3614">
        <v>3607</v>
      </c>
      <c r="B3614">
        <v>3376</v>
      </c>
      <c r="C3614">
        <v>11</v>
      </c>
      <c r="D3614">
        <v>16.2</v>
      </c>
      <c r="E3614">
        <v>1.4</v>
      </c>
    </row>
    <row r="3615" spans="1:5" x14ac:dyDescent="0.2">
      <c r="A3615">
        <v>3608</v>
      </c>
      <c r="B3615">
        <v>3375</v>
      </c>
      <c r="C3615">
        <v>11</v>
      </c>
      <c r="D3615">
        <v>16.5</v>
      </c>
      <c r="E3615">
        <v>1.4</v>
      </c>
    </row>
    <row r="3616" spans="1:5" x14ac:dyDescent="0.2">
      <c r="A3616">
        <v>3609</v>
      </c>
      <c r="B3616">
        <v>3374</v>
      </c>
      <c r="C3616">
        <v>11</v>
      </c>
      <c r="D3616">
        <v>16.7</v>
      </c>
      <c r="E3616">
        <v>1.4</v>
      </c>
    </row>
    <row r="3617" spans="1:5" x14ac:dyDescent="0.2">
      <c r="A3617">
        <v>3610</v>
      </c>
      <c r="B3617">
        <v>3373</v>
      </c>
      <c r="C3617">
        <v>11</v>
      </c>
      <c r="D3617">
        <v>16.899999999999999</v>
      </c>
      <c r="E3617">
        <v>1.4</v>
      </c>
    </row>
    <row r="3618" spans="1:5" x14ac:dyDescent="0.2">
      <c r="A3618">
        <v>3611</v>
      </c>
      <c r="B3618">
        <v>3373</v>
      </c>
      <c r="C3618">
        <v>11</v>
      </c>
      <c r="D3618">
        <v>17.100000000000001</v>
      </c>
      <c r="E3618">
        <v>1.4</v>
      </c>
    </row>
    <row r="3619" spans="1:5" x14ac:dyDescent="0.2">
      <c r="A3619">
        <v>3612</v>
      </c>
      <c r="B3619">
        <v>3373</v>
      </c>
      <c r="C3619">
        <v>11</v>
      </c>
      <c r="D3619">
        <v>17.2</v>
      </c>
      <c r="E3619">
        <v>1.4</v>
      </c>
    </row>
    <row r="3620" spans="1:5" x14ac:dyDescent="0.2">
      <c r="A3620">
        <v>3613</v>
      </c>
      <c r="B3620">
        <v>3373</v>
      </c>
      <c r="C3620">
        <v>11</v>
      </c>
      <c r="D3620">
        <v>17.3</v>
      </c>
      <c r="E3620">
        <v>1.4</v>
      </c>
    </row>
    <row r="3621" spans="1:5" x14ac:dyDescent="0.2">
      <c r="A3621">
        <v>3614</v>
      </c>
      <c r="B3621">
        <v>3374</v>
      </c>
      <c r="C3621">
        <v>11</v>
      </c>
      <c r="D3621">
        <v>17.3</v>
      </c>
      <c r="E3621">
        <v>1.4</v>
      </c>
    </row>
    <row r="3622" spans="1:5" x14ac:dyDescent="0.2">
      <c r="A3622">
        <v>3615</v>
      </c>
      <c r="B3622">
        <v>3375</v>
      </c>
      <c r="C3622">
        <v>11</v>
      </c>
      <c r="D3622">
        <v>17.3</v>
      </c>
      <c r="E3622">
        <v>1.4</v>
      </c>
    </row>
    <row r="3623" spans="1:5" x14ac:dyDescent="0.2">
      <c r="A3623">
        <v>3616</v>
      </c>
      <c r="B3623">
        <v>3377</v>
      </c>
      <c r="C3623">
        <v>11</v>
      </c>
      <c r="D3623">
        <v>17.2</v>
      </c>
      <c r="E3623">
        <v>1.5</v>
      </c>
    </row>
    <row r="3624" spans="1:5" x14ac:dyDescent="0.2">
      <c r="A3624">
        <v>3617</v>
      </c>
      <c r="B3624">
        <v>3378</v>
      </c>
      <c r="C3624">
        <v>11</v>
      </c>
      <c r="D3624">
        <v>17.100000000000001</v>
      </c>
      <c r="E3624">
        <v>1.5</v>
      </c>
    </row>
    <row r="3625" spans="1:5" x14ac:dyDescent="0.2">
      <c r="A3625">
        <v>3618</v>
      </c>
      <c r="B3625">
        <v>3379</v>
      </c>
      <c r="C3625">
        <v>12</v>
      </c>
      <c r="D3625">
        <v>17.100000000000001</v>
      </c>
      <c r="E3625">
        <v>1.5</v>
      </c>
    </row>
    <row r="3626" spans="1:5" x14ac:dyDescent="0.2">
      <c r="A3626">
        <v>3619</v>
      </c>
      <c r="B3626">
        <v>3380</v>
      </c>
      <c r="C3626">
        <v>12</v>
      </c>
      <c r="D3626">
        <v>17.100000000000001</v>
      </c>
      <c r="E3626">
        <v>1.5</v>
      </c>
    </row>
    <row r="3627" spans="1:5" x14ac:dyDescent="0.2">
      <c r="A3627">
        <v>3620</v>
      </c>
      <c r="B3627">
        <v>3381</v>
      </c>
      <c r="C3627">
        <v>12</v>
      </c>
      <c r="D3627">
        <v>17.2</v>
      </c>
      <c r="E3627">
        <v>1.5</v>
      </c>
    </row>
    <row r="3628" spans="1:5" x14ac:dyDescent="0.2">
      <c r="A3628">
        <v>3621</v>
      </c>
      <c r="B3628">
        <v>3381</v>
      </c>
      <c r="C3628">
        <v>12</v>
      </c>
      <c r="D3628">
        <v>17.2</v>
      </c>
      <c r="E3628">
        <v>1.5</v>
      </c>
    </row>
    <row r="3629" spans="1:5" x14ac:dyDescent="0.2">
      <c r="A3629">
        <v>3622</v>
      </c>
      <c r="B3629">
        <v>3381</v>
      </c>
      <c r="C3629">
        <v>12</v>
      </c>
      <c r="D3629">
        <v>17.3</v>
      </c>
      <c r="E3629">
        <v>1.5</v>
      </c>
    </row>
    <row r="3630" spans="1:5" x14ac:dyDescent="0.2">
      <c r="A3630">
        <v>3623</v>
      </c>
      <c r="B3630">
        <v>3381</v>
      </c>
      <c r="C3630">
        <v>12</v>
      </c>
      <c r="D3630">
        <v>17.5</v>
      </c>
      <c r="E3630">
        <v>1.5</v>
      </c>
    </row>
    <row r="3631" spans="1:5" x14ac:dyDescent="0.2">
      <c r="A3631">
        <v>3624</v>
      </c>
      <c r="B3631">
        <v>3382</v>
      </c>
      <c r="C3631">
        <v>12</v>
      </c>
      <c r="D3631">
        <v>17.600000000000001</v>
      </c>
      <c r="E3631">
        <v>1.5</v>
      </c>
    </row>
    <row r="3632" spans="1:5" x14ac:dyDescent="0.2">
      <c r="A3632">
        <v>3625</v>
      </c>
      <c r="B3632">
        <v>3382</v>
      </c>
      <c r="C3632">
        <v>12</v>
      </c>
      <c r="D3632">
        <v>17.600000000000001</v>
      </c>
      <c r="E3632">
        <v>1.5</v>
      </c>
    </row>
    <row r="3633" spans="1:5" x14ac:dyDescent="0.2">
      <c r="A3633">
        <v>3626</v>
      </c>
      <c r="B3633">
        <v>3382</v>
      </c>
      <c r="C3633">
        <v>12</v>
      </c>
      <c r="D3633">
        <v>17.8</v>
      </c>
      <c r="E3633">
        <v>1.5</v>
      </c>
    </row>
    <row r="3634" spans="1:5" x14ac:dyDescent="0.2">
      <c r="A3634">
        <v>3627</v>
      </c>
      <c r="B3634">
        <v>3382</v>
      </c>
      <c r="C3634">
        <v>12</v>
      </c>
      <c r="D3634">
        <v>17.899999999999999</v>
      </c>
      <c r="E3634">
        <v>1.5</v>
      </c>
    </row>
    <row r="3635" spans="1:5" x14ac:dyDescent="0.2">
      <c r="A3635">
        <v>3628</v>
      </c>
      <c r="B3635">
        <v>3382</v>
      </c>
      <c r="C3635">
        <v>12</v>
      </c>
      <c r="D3635">
        <v>18</v>
      </c>
      <c r="E3635">
        <v>1.5</v>
      </c>
    </row>
    <row r="3636" spans="1:5" x14ac:dyDescent="0.2">
      <c r="A3636">
        <v>3629</v>
      </c>
      <c r="B3636">
        <v>3383</v>
      </c>
      <c r="C3636">
        <v>12</v>
      </c>
      <c r="D3636">
        <v>18.100000000000001</v>
      </c>
      <c r="E3636">
        <v>1.5</v>
      </c>
    </row>
    <row r="3637" spans="1:5" x14ac:dyDescent="0.2">
      <c r="A3637">
        <v>3630</v>
      </c>
      <c r="B3637">
        <v>3383</v>
      </c>
      <c r="C3637">
        <v>12</v>
      </c>
      <c r="D3637">
        <v>18.100000000000001</v>
      </c>
      <c r="E3637">
        <v>1.5</v>
      </c>
    </row>
    <row r="3638" spans="1:5" x14ac:dyDescent="0.2">
      <c r="A3638">
        <v>3631</v>
      </c>
      <c r="B3638">
        <v>3383</v>
      </c>
      <c r="C3638">
        <v>12</v>
      </c>
      <c r="D3638">
        <v>18.2</v>
      </c>
      <c r="E3638">
        <v>1.5</v>
      </c>
    </row>
    <row r="3639" spans="1:5" x14ac:dyDescent="0.2">
      <c r="A3639">
        <v>3632</v>
      </c>
      <c r="B3639">
        <v>3384</v>
      </c>
      <c r="C3639">
        <v>12</v>
      </c>
      <c r="D3639">
        <v>18.2</v>
      </c>
      <c r="E3639">
        <v>1.6</v>
      </c>
    </row>
    <row r="3640" spans="1:5" x14ac:dyDescent="0.2">
      <c r="A3640">
        <v>3633</v>
      </c>
      <c r="B3640">
        <v>3385</v>
      </c>
      <c r="C3640">
        <v>12</v>
      </c>
      <c r="D3640">
        <v>18.2</v>
      </c>
      <c r="E3640">
        <v>1.6</v>
      </c>
    </row>
    <row r="3641" spans="1:5" x14ac:dyDescent="0.2">
      <c r="A3641">
        <v>3634</v>
      </c>
      <c r="B3641">
        <v>3386</v>
      </c>
      <c r="C3641">
        <v>13</v>
      </c>
      <c r="D3641">
        <v>18.2</v>
      </c>
      <c r="E3641">
        <v>1.6</v>
      </c>
    </row>
    <row r="3642" spans="1:5" x14ac:dyDescent="0.2">
      <c r="A3642">
        <v>3635</v>
      </c>
      <c r="B3642">
        <v>3388</v>
      </c>
      <c r="C3642">
        <v>13</v>
      </c>
      <c r="D3642">
        <v>18.100000000000001</v>
      </c>
      <c r="E3642">
        <v>1.6</v>
      </c>
    </row>
    <row r="3643" spans="1:5" x14ac:dyDescent="0.2">
      <c r="A3643">
        <v>3636</v>
      </c>
      <c r="B3643">
        <v>3390</v>
      </c>
      <c r="C3643">
        <v>13</v>
      </c>
      <c r="D3643">
        <v>18</v>
      </c>
      <c r="E3643">
        <v>1.6</v>
      </c>
    </row>
    <row r="3644" spans="1:5" x14ac:dyDescent="0.2">
      <c r="A3644">
        <v>3637</v>
      </c>
      <c r="B3644">
        <v>3393</v>
      </c>
      <c r="C3644">
        <v>13</v>
      </c>
      <c r="D3644">
        <v>17.7</v>
      </c>
      <c r="E3644">
        <v>1.6</v>
      </c>
    </row>
    <row r="3645" spans="1:5" x14ac:dyDescent="0.2">
      <c r="A3645">
        <v>3638</v>
      </c>
      <c r="B3645">
        <v>3397</v>
      </c>
      <c r="C3645">
        <v>13</v>
      </c>
      <c r="D3645">
        <v>17.3</v>
      </c>
      <c r="E3645">
        <v>1.6</v>
      </c>
    </row>
    <row r="3646" spans="1:5" x14ac:dyDescent="0.2">
      <c r="A3646">
        <v>3639</v>
      </c>
      <c r="B3646">
        <v>3401</v>
      </c>
      <c r="C3646">
        <v>13</v>
      </c>
      <c r="D3646">
        <v>16.899999999999999</v>
      </c>
      <c r="E3646">
        <v>1.6</v>
      </c>
    </row>
    <row r="3647" spans="1:5" x14ac:dyDescent="0.2">
      <c r="A3647">
        <v>3640</v>
      </c>
      <c r="B3647">
        <v>3405</v>
      </c>
      <c r="C3647">
        <v>13</v>
      </c>
      <c r="D3647">
        <v>16.5</v>
      </c>
      <c r="E3647">
        <v>1.6</v>
      </c>
    </row>
    <row r="3648" spans="1:5" x14ac:dyDescent="0.2">
      <c r="A3648">
        <v>3641</v>
      </c>
      <c r="B3648">
        <v>3409</v>
      </c>
      <c r="C3648">
        <v>13</v>
      </c>
      <c r="D3648">
        <v>16.100000000000001</v>
      </c>
      <c r="E3648">
        <v>1.6</v>
      </c>
    </row>
    <row r="3649" spans="1:5" x14ac:dyDescent="0.2">
      <c r="A3649">
        <v>3642</v>
      </c>
      <c r="B3649">
        <v>3413</v>
      </c>
      <c r="C3649">
        <v>13</v>
      </c>
      <c r="D3649">
        <v>15.8</v>
      </c>
      <c r="E3649">
        <v>1.6</v>
      </c>
    </row>
    <row r="3650" spans="1:5" x14ac:dyDescent="0.2">
      <c r="A3650">
        <v>3643</v>
      </c>
      <c r="B3650">
        <v>3417</v>
      </c>
      <c r="C3650">
        <v>13</v>
      </c>
      <c r="D3650">
        <v>15.5</v>
      </c>
      <c r="E3650">
        <v>1.6</v>
      </c>
    </row>
    <row r="3651" spans="1:5" x14ac:dyDescent="0.2">
      <c r="A3651">
        <v>3644</v>
      </c>
      <c r="B3651">
        <v>3420</v>
      </c>
      <c r="C3651">
        <v>13</v>
      </c>
      <c r="D3651">
        <v>15.2</v>
      </c>
      <c r="E3651">
        <v>1.6</v>
      </c>
    </row>
    <row r="3652" spans="1:5" x14ac:dyDescent="0.2">
      <c r="A3652">
        <v>3645</v>
      </c>
      <c r="B3652">
        <v>3422</v>
      </c>
      <c r="C3652">
        <v>13</v>
      </c>
      <c r="D3652">
        <v>15</v>
      </c>
      <c r="E3652">
        <v>1.6</v>
      </c>
    </row>
    <row r="3653" spans="1:5" x14ac:dyDescent="0.2">
      <c r="A3653">
        <v>3646</v>
      </c>
      <c r="B3653">
        <v>3425</v>
      </c>
      <c r="C3653">
        <v>13</v>
      </c>
      <c r="D3653">
        <v>14.8</v>
      </c>
      <c r="E3653">
        <v>1.7</v>
      </c>
    </row>
    <row r="3654" spans="1:5" x14ac:dyDescent="0.2">
      <c r="A3654">
        <v>3647</v>
      </c>
      <c r="B3654">
        <v>3428</v>
      </c>
      <c r="C3654">
        <v>13</v>
      </c>
      <c r="D3654">
        <v>14.5</v>
      </c>
      <c r="E3654">
        <v>1.7</v>
      </c>
    </row>
    <row r="3655" spans="1:5" x14ac:dyDescent="0.2">
      <c r="A3655">
        <v>3648</v>
      </c>
      <c r="B3655">
        <v>3431</v>
      </c>
      <c r="C3655">
        <v>14</v>
      </c>
      <c r="D3655">
        <v>14.3</v>
      </c>
      <c r="E3655">
        <v>1.7</v>
      </c>
    </row>
    <row r="3656" spans="1:5" x14ac:dyDescent="0.2">
      <c r="A3656">
        <v>3649</v>
      </c>
      <c r="B3656">
        <v>3433</v>
      </c>
      <c r="C3656">
        <v>14</v>
      </c>
      <c r="D3656">
        <v>14.1</v>
      </c>
      <c r="E3656">
        <v>1.8</v>
      </c>
    </row>
    <row r="3657" spans="1:5" x14ac:dyDescent="0.2">
      <c r="A3657">
        <v>3650</v>
      </c>
      <c r="B3657">
        <v>3436</v>
      </c>
      <c r="C3657">
        <v>14</v>
      </c>
      <c r="D3657">
        <v>13.9</v>
      </c>
      <c r="E3657">
        <v>1.8</v>
      </c>
    </row>
    <row r="3658" spans="1:5" x14ac:dyDescent="0.2">
      <c r="A3658">
        <v>3651</v>
      </c>
      <c r="B3658">
        <v>3438</v>
      </c>
      <c r="C3658">
        <v>15</v>
      </c>
      <c r="D3658">
        <v>13.8</v>
      </c>
      <c r="E3658">
        <v>1.9</v>
      </c>
    </row>
    <row r="3659" spans="1:5" x14ac:dyDescent="0.2">
      <c r="A3659">
        <v>3652</v>
      </c>
      <c r="B3659">
        <v>3439</v>
      </c>
      <c r="C3659">
        <v>15</v>
      </c>
      <c r="D3659">
        <v>13.7</v>
      </c>
      <c r="E3659">
        <v>1.9</v>
      </c>
    </row>
    <row r="3660" spans="1:5" x14ac:dyDescent="0.2">
      <c r="A3660">
        <v>3653</v>
      </c>
      <c r="B3660">
        <v>3439</v>
      </c>
      <c r="C3660">
        <v>16</v>
      </c>
      <c r="D3660">
        <v>13.8</v>
      </c>
      <c r="E3660">
        <v>2</v>
      </c>
    </row>
    <row r="3661" spans="1:5" x14ac:dyDescent="0.2">
      <c r="A3661">
        <v>3654</v>
      </c>
      <c r="B3661">
        <v>3439</v>
      </c>
      <c r="C3661">
        <v>16</v>
      </c>
      <c r="D3661">
        <v>14</v>
      </c>
      <c r="E3661">
        <v>2</v>
      </c>
    </row>
    <row r="3662" spans="1:5" x14ac:dyDescent="0.2">
      <c r="A3662">
        <v>3655</v>
      </c>
      <c r="B3662">
        <v>3438</v>
      </c>
      <c r="C3662">
        <v>16</v>
      </c>
      <c r="D3662">
        <v>14.2</v>
      </c>
      <c r="E3662">
        <v>2.1</v>
      </c>
    </row>
    <row r="3663" spans="1:5" x14ac:dyDescent="0.2">
      <c r="A3663">
        <v>3656</v>
      </c>
      <c r="B3663">
        <v>3437</v>
      </c>
      <c r="C3663">
        <v>16</v>
      </c>
      <c r="D3663">
        <v>14.5</v>
      </c>
      <c r="E3663">
        <v>2.1</v>
      </c>
    </row>
    <row r="3664" spans="1:5" x14ac:dyDescent="0.2">
      <c r="A3664">
        <v>3657</v>
      </c>
      <c r="B3664">
        <v>3435</v>
      </c>
      <c r="C3664">
        <v>17</v>
      </c>
      <c r="D3664">
        <v>14.8</v>
      </c>
      <c r="E3664">
        <v>2.1</v>
      </c>
    </row>
    <row r="3665" spans="1:5" x14ac:dyDescent="0.2">
      <c r="A3665">
        <v>3658</v>
      </c>
      <c r="B3665">
        <v>3433</v>
      </c>
      <c r="C3665">
        <v>17</v>
      </c>
      <c r="D3665">
        <v>15.2</v>
      </c>
      <c r="E3665">
        <v>2.1</v>
      </c>
    </row>
    <row r="3666" spans="1:5" x14ac:dyDescent="0.2">
      <c r="A3666">
        <v>3659</v>
      </c>
      <c r="B3666">
        <v>3430</v>
      </c>
      <c r="C3666">
        <v>17</v>
      </c>
      <c r="D3666">
        <v>15.7</v>
      </c>
      <c r="E3666">
        <v>2.1</v>
      </c>
    </row>
    <row r="3667" spans="1:5" x14ac:dyDescent="0.2">
      <c r="A3667">
        <v>3660</v>
      </c>
      <c r="B3667">
        <v>3428</v>
      </c>
      <c r="C3667">
        <v>17</v>
      </c>
      <c r="D3667">
        <v>16.2</v>
      </c>
      <c r="E3667">
        <v>2.1</v>
      </c>
    </row>
    <row r="3668" spans="1:5" x14ac:dyDescent="0.2">
      <c r="A3668">
        <v>3661</v>
      </c>
      <c r="B3668">
        <v>3425</v>
      </c>
      <c r="C3668">
        <v>17</v>
      </c>
      <c r="D3668">
        <v>16.7</v>
      </c>
      <c r="E3668">
        <v>2.2000000000000002</v>
      </c>
    </row>
    <row r="3669" spans="1:5" x14ac:dyDescent="0.2">
      <c r="A3669">
        <v>3662</v>
      </c>
      <c r="B3669">
        <v>3421</v>
      </c>
      <c r="C3669">
        <v>17</v>
      </c>
      <c r="D3669">
        <v>17.2</v>
      </c>
      <c r="E3669">
        <v>2.2000000000000002</v>
      </c>
    </row>
    <row r="3670" spans="1:5" x14ac:dyDescent="0.2">
      <c r="A3670">
        <v>3663</v>
      </c>
      <c r="B3670">
        <v>3418</v>
      </c>
      <c r="C3670">
        <v>18</v>
      </c>
      <c r="D3670">
        <v>17.7</v>
      </c>
      <c r="E3670">
        <v>2.2999999999999998</v>
      </c>
    </row>
    <row r="3671" spans="1:5" x14ac:dyDescent="0.2">
      <c r="A3671">
        <v>3664</v>
      </c>
      <c r="B3671">
        <v>3415</v>
      </c>
      <c r="C3671">
        <v>18</v>
      </c>
      <c r="D3671">
        <v>18.3</v>
      </c>
      <c r="E3671">
        <v>2.2999999999999998</v>
      </c>
    </row>
    <row r="3672" spans="1:5" x14ac:dyDescent="0.2">
      <c r="A3672">
        <v>3665</v>
      </c>
      <c r="B3672">
        <v>3411</v>
      </c>
      <c r="C3672">
        <v>19</v>
      </c>
      <c r="D3672">
        <v>18.8</v>
      </c>
      <c r="E3672">
        <v>2.4</v>
      </c>
    </row>
    <row r="3673" spans="1:5" x14ac:dyDescent="0.2">
      <c r="A3673">
        <v>3666</v>
      </c>
      <c r="B3673">
        <v>3408</v>
      </c>
      <c r="C3673">
        <v>19</v>
      </c>
      <c r="D3673">
        <v>19.399999999999999</v>
      </c>
      <c r="E3673">
        <v>2.5</v>
      </c>
    </row>
    <row r="3674" spans="1:5" x14ac:dyDescent="0.2">
      <c r="A3674">
        <v>3667</v>
      </c>
      <c r="B3674">
        <v>3405</v>
      </c>
      <c r="C3674">
        <v>20</v>
      </c>
      <c r="D3674">
        <v>19.899999999999999</v>
      </c>
      <c r="E3674">
        <v>2.5</v>
      </c>
    </row>
    <row r="3675" spans="1:5" x14ac:dyDescent="0.2">
      <c r="A3675">
        <v>3668</v>
      </c>
      <c r="B3675">
        <v>3402</v>
      </c>
      <c r="C3675">
        <v>20</v>
      </c>
      <c r="D3675">
        <v>20.3</v>
      </c>
      <c r="E3675">
        <v>2.5</v>
      </c>
    </row>
    <row r="3676" spans="1:5" x14ac:dyDescent="0.2">
      <c r="A3676">
        <v>3669</v>
      </c>
      <c r="B3676">
        <v>3400</v>
      </c>
      <c r="C3676">
        <v>20</v>
      </c>
      <c r="D3676">
        <v>20.8</v>
      </c>
      <c r="E3676">
        <v>2.5</v>
      </c>
    </row>
    <row r="3677" spans="1:5" x14ac:dyDescent="0.2">
      <c r="A3677">
        <v>3670</v>
      </c>
      <c r="B3677">
        <v>3398</v>
      </c>
      <c r="C3677">
        <v>20</v>
      </c>
      <c r="D3677">
        <v>21.1</v>
      </c>
      <c r="E3677">
        <v>2.5</v>
      </c>
    </row>
    <row r="3678" spans="1:5" x14ac:dyDescent="0.2">
      <c r="A3678">
        <v>3671</v>
      </c>
      <c r="B3678">
        <v>3396</v>
      </c>
      <c r="C3678">
        <v>19</v>
      </c>
      <c r="D3678">
        <v>21.5</v>
      </c>
      <c r="E3678">
        <v>2.5</v>
      </c>
    </row>
    <row r="3679" spans="1:5" x14ac:dyDescent="0.2">
      <c r="A3679">
        <v>3672</v>
      </c>
      <c r="B3679">
        <v>3395</v>
      </c>
      <c r="C3679">
        <v>19</v>
      </c>
      <c r="D3679">
        <v>21.8</v>
      </c>
      <c r="E3679">
        <v>2.4</v>
      </c>
    </row>
    <row r="3680" spans="1:5" x14ac:dyDescent="0.2">
      <c r="A3680">
        <v>3673</v>
      </c>
      <c r="B3680">
        <v>3394</v>
      </c>
      <c r="C3680">
        <v>19</v>
      </c>
      <c r="D3680">
        <v>22.1</v>
      </c>
      <c r="E3680">
        <v>2.4</v>
      </c>
    </row>
    <row r="3681" spans="1:5" x14ac:dyDescent="0.2">
      <c r="A3681">
        <v>3674</v>
      </c>
      <c r="B3681">
        <v>3393</v>
      </c>
      <c r="C3681">
        <v>18</v>
      </c>
      <c r="D3681">
        <v>22.3</v>
      </c>
      <c r="E3681">
        <v>2.2999999999999998</v>
      </c>
    </row>
    <row r="3682" spans="1:5" x14ac:dyDescent="0.2">
      <c r="A3682">
        <v>3675</v>
      </c>
      <c r="B3682">
        <v>3393</v>
      </c>
      <c r="C3682">
        <v>18</v>
      </c>
      <c r="D3682">
        <v>22.4</v>
      </c>
      <c r="E3682">
        <v>2.2000000000000002</v>
      </c>
    </row>
    <row r="3683" spans="1:5" x14ac:dyDescent="0.2">
      <c r="A3683">
        <v>3676</v>
      </c>
      <c r="B3683">
        <v>3393</v>
      </c>
      <c r="C3683">
        <v>17</v>
      </c>
      <c r="D3683">
        <v>22.6</v>
      </c>
      <c r="E3683">
        <v>2.2000000000000002</v>
      </c>
    </row>
    <row r="3684" spans="1:5" x14ac:dyDescent="0.2">
      <c r="A3684">
        <v>3677</v>
      </c>
      <c r="B3684">
        <v>3393</v>
      </c>
      <c r="C3684">
        <v>17</v>
      </c>
      <c r="D3684">
        <v>22.6</v>
      </c>
      <c r="E3684">
        <v>2.2000000000000002</v>
      </c>
    </row>
    <row r="3685" spans="1:5" x14ac:dyDescent="0.2">
      <c r="A3685">
        <v>3678</v>
      </c>
      <c r="B3685">
        <v>3394</v>
      </c>
      <c r="C3685">
        <v>17</v>
      </c>
      <c r="D3685">
        <v>22.6</v>
      </c>
      <c r="E3685">
        <v>2.2000000000000002</v>
      </c>
    </row>
    <row r="3686" spans="1:5" x14ac:dyDescent="0.2">
      <c r="A3686">
        <v>3679</v>
      </c>
      <c r="B3686">
        <v>3395</v>
      </c>
      <c r="C3686">
        <v>17</v>
      </c>
      <c r="D3686">
        <v>22.6</v>
      </c>
      <c r="E3686">
        <v>2.2000000000000002</v>
      </c>
    </row>
    <row r="3687" spans="1:5" x14ac:dyDescent="0.2">
      <c r="A3687">
        <v>3680</v>
      </c>
      <c r="B3687">
        <v>3397</v>
      </c>
      <c r="C3687">
        <v>18</v>
      </c>
      <c r="D3687">
        <v>22.6</v>
      </c>
      <c r="E3687">
        <v>2.2000000000000002</v>
      </c>
    </row>
    <row r="3688" spans="1:5" x14ac:dyDescent="0.2">
      <c r="A3688">
        <v>3681</v>
      </c>
      <c r="B3688">
        <v>3399</v>
      </c>
      <c r="C3688">
        <v>18</v>
      </c>
      <c r="D3688">
        <v>22.4</v>
      </c>
      <c r="E3688">
        <v>2.2999999999999998</v>
      </c>
    </row>
    <row r="3689" spans="1:5" x14ac:dyDescent="0.2">
      <c r="A3689">
        <v>3682</v>
      </c>
      <c r="B3689">
        <v>3401</v>
      </c>
      <c r="C3689">
        <v>18</v>
      </c>
      <c r="D3689">
        <v>22.3</v>
      </c>
      <c r="E3689">
        <v>2.2999999999999998</v>
      </c>
    </row>
    <row r="3690" spans="1:5" x14ac:dyDescent="0.2">
      <c r="A3690">
        <v>3683</v>
      </c>
      <c r="B3690">
        <v>3404</v>
      </c>
      <c r="C3690">
        <v>19</v>
      </c>
      <c r="D3690">
        <v>22.1</v>
      </c>
      <c r="E3690">
        <v>2.4</v>
      </c>
    </row>
    <row r="3691" spans="1:5" x14ac:dyDescent="0.2">
      <c r="A3691">
        <v>3684</v>
      </c>
      <c r="B3691">
        <v>3407</v>
      </c>
      <c r="C3691">
        <v>19</v>
      </c>
      <c r="D3691">
        <v>21.8</v>
      </c>
      <c r="E3691">
        <v>2.4</v>
      </c>
    </row>
    <row r="3692" spans="1:5" x14ac:dyDescent="0.2">
      <c r="A3692">
        <v>3685</v>
      </c>
      <c r="B3692">
        <v>3410</v>
      </c>
      <c r="C3692">
        <v>19</v>
      </c>
      <c r="D3692">
        <v>21.5</v>
      </c>
      <c r="E3692">
        <v>2.4</v>
      </c>
    </row>
    <row r="3693" spans="1:5" x14ac:dyDescent="0.2">
      <c r="A3693">
        <v>3686</v>
      </c>
      <c r="B3693">
        <v>3414</v>
      </c>
      <c r="C3693">
        <v>19</v>
      </c>
      <c r="D3693">
        <v>21.1</v>
      </c>
      <c r="E3693">
        <v>2.4</v>
      </c>
    </row>
    <row r="3694" spans="1:5" x14ac:dyDescent="0.2">
      <c r="A3694">
        <v>3687</v>
      </c>
      <c r="B3694">
        <v>3418</v>
      </c>
      <c r="C3694">
        <v>18</v>
      </c>
      <c r="D3694">
        <v>20.7</v>
      </c>
      <c r="E3694">
        <v>2.2999999999999998</v>
      </c>
    </row>
    <row r="3695" spans="1:5" x14ac:dyDescent="0.2">
      <c r="A3695">
        <v>3688</v>
      </c>
      <c r="B3695">
        <v>3422</v>
      </c>
      <c r="C3695">
        <v>18</v>
      </c>
      <c r="D3695">
        <v>20.3</v>
      </c>
      <c r="E3695">
        <v>2.2999999999999998</v>
      </c>
    </row>
    <row r="3696" spans="1:5" x14ac:dyDescent="0.2">
      <c r="A3696">
        <v>3689</v>
      </c>
      <c r="B3696">
        <v>3427</v>
      </c>
      <c r="C3696">
        <v>18</v>
      </c>
      <c r="D3696">
        <v>19.899999999999999</v>
      </c>
      <c r="E3696">
        <v>2.2999999999999998</v>
      </c>
    </row>
    <row r="3697" spans="1:5" x14ac:dyDescent="0.2">
      <c r="A3697">
        <v>3690</v>
      </c>
      <c r="B3697">
        <v>3431</v>
      </c>
      <c r="C3697">
        <v>18</v>
      </c>
      <c r="D3697">
        <v>19.399999999999999</v>
      </c>
      <c r="E3697">
        <v>2.2000000000000002</v>
      </c>
    </row>
    <row r="3698" spans="1:5" x14ac:dyDescent="0.2">
      <c r="A3698">
        <v>3691</v>
      </c>
      <c r="B3698">
        <v>3435</v>
      </c>
      <c r="C3698">
        <v>17</v>
      </c>
      <c r="D3698">
        <v>19</v>
      </c>
      <c r="E3698">
        <v>2.2000000000000002</v>
      </c>
    </row>
    <row r="3699" spans="1:5" x14ac:dyDescent="0.2">
      <c r="A3699">
        <v>3692</v>
      </c>
      <c r="B3699">
        <v>3440</v>
      </c>
      <c r="C3699">
        <v>17</v>
      </c>
      <c r="D3699">
        <v>18.600000000000001</v>
      </c>
      <c r="E3699">
        <v>2.2000000000000002</v>
      </c>
    </row>
    <row r="3700" spans="1:5" x14ac:dyDescent="0.2">
      <c r="A3700">
        <v>3693</v>
      </c>
      <c r="B3700">
        <v>3444</v>
      </c>
      <c r="C3700">
        <v>17</v>
      </c>
      <c r="D3700">
        <v>18.100000000000001</v>
      </c>
      <c r="E3700">
        <v>2.2000000000000002</v>
      </c>
    </row>
    <row r="3701" spans="1:5" x14ac:dyDescent="0.2">
      <c r="A3701">
        <v>3694</v>
      </c>
      <c r="B3701">
        <v>3448</v>
      </c>
      <c r="C3701">
        <v>18</v>
      </c>
      <c r="D3701">
        <v>17.7</v>
      </c>
      <c r="E3701">
        <v>2.2000000000000002</v>
      </c>
    </row>
    <row r="3702" spans="1:5" x14ac:dyDescent="0.2">
      <c r="A3702">
        <v>3695</v>
      </c>
      <c r="B3702">
        <v>3452</v>
      </c>
      <c r="C3702">
        <v>18</v>
      </c>
      <c r="D3702">
        <v>17.399999999999999</v>
      </c>
      <c r="E3702">
        <v>2.2000000000000002</v>
      </c>
    </row>
    <row r="3703" spans="1:5" x14ac:dyDescent="0.2">
      <c r="A3703">
        <v>3696</v>
      </c>
      <c r="B3703">
        <v>3456</v>
      </c>
      <c r="C3703">
        <v>18</v>
      </c>
      <c r="D3703">
        <v>17</v>
      </c>
      <c r="E3703">
        <v>2.2999999999999998</v>
      </c>
    </row>
    <row r="3704" spans="1:5" x14ac:dyDescent="0.2">
      <c r="A3704">
        <v>3697</v>
      </c>
      <c r="B3704">
        <v>3459</v>
      </c>
      <c r="C3704">
        <v>18</v>
      </c>
      <c r="D3704">
        <v>16.8</v>
      </c>
      <c r="E3704">
        <v>2.2999999999999998</v>
      </c>
    </row>
    <row r="3705" spans="1:5" x14ac:dyDescent="0.2">
      <c r="A3705">
        <v>3698</v>
      </c>
      <c r="B3705">
        <v>3461</v>
      </c>
      <c r="C3705">
        <v>19</v>
      </c>
      <c r="D3705">
        <v>16.600000000000001</v>
      </c>
      <c r="E3705">
        <v>2.2999999999999998</v>
      </c>
    </row>
    <row r="3706" spans="1:5" x14ac:dyDescent="0.2">
      <c r="A3706">
        <v>3699</v>
      </c>
      <c r="B3706">
        <v>3464</v>
      </c>
      <c r="C3706">
        <v>19</v>
      </c>
      <c r="D3706">
        <v>16.399999999999999</v>
      </c>
      <c r="E3706">
        <v>2.4</v>
      </c>
    </row>
    <row r="3707" spans="1:5" x14ac:dyDescent="0.2">
      <c r="A3707">
        <v>3700</v>
      </c>
      <c r="B3707">
        <v>3465</v>
      </c>
      <c r="C3707">
        <v>19</v>
      </c>
      <c r="D3707">
        <v>16.3</v>
      </c>
      <c r="E3707">
        <v>2.2999999999999998</v>
      </c>
    </row>
    <row r="3708" spans="1:5" x14ac:dyDescent="0.2">
      <c r="A3708">
        <v>3701</v>
      </c>
      <c r="B3708">
        <v>3466</v>
      </c>
      <c r="C3708">
        <v>18</v>
      </c>
      <c r="D3708">
        <v>16.3</v>
      </c>
      <c r="E3708">
        <v>2.2999999999999998</v>
      </c>
    </row>
    <row r="3709" spans="1:5" x14ac:dyDescent="0.2">
      <c r="A3709">
        <v>3702</v>
      </c>
      <c r="B3709">
        <v>3467</v>
      </c>
      <c r="C3709">
        <v>18</v>
      </c>
      <c r="D3709">
        <v>16.399999999999999</v>
      </c>
      <c r="E3709">
        <v>2.2999999999999998</v>
      </c>
    </row>
    <row r="3710" spans="1:5" x14ac:dyDescent="0.2">
      <c r="A3710">
        <v>3703</v>
      </c>
      <c r="B3710">
        <v>3467</v>
      </c>
      <c r="C3710">
        <v>18</v>
      </c>
      <c r="D3710">
        <v>16.5</v>
      </c>
      <c r="E3710">
        <v>2.2999999999999998</v>
      </c>
    </row>
    <row r="3711" spans="1:5" x14ac:dyDescent="0.2">
      <c r="A3711">
        <v>3704</v>
      </c>
      <c r="B3711">
        <v>3467</v>
      </c>
      <c r="C3711">
        <v>17</v>
      </c>
      <c r="D3711">
        <v>16.600000000000001</v>
      </c>
      <c r="E3711">
        <v>2.2000000000000002</v>
      </c>
    </row>
    <row r="3712" spans="1:5" x14ac:dyDescent="0.2">
      <c r="A3712">
        <v>3705</v>
      </c>
      <c r="B3712">
        <v>3466</v>
      </c>
      <c r="C3712">
        <v>17</v>
      </c>
      <c r="D3712">
        <v>16.8</v>
      </c>
      <c r="E3712">
        <v>2.2000000000000002</v>
      </c>
    </row>
    <row r="3713" spans="1:5" x14ac:dyDescent="0.2">
      <c r="A3713">
        <v>3706</v>
      </c>
      <c r="B3713">
        <v>3465</v>
      </c>
      <c r="C3713">
        <v>17</v>
      </c>
      <c r="D3713">
        <v>17</v>
      </c>
      <c r="E3713">
        <v>2.1</v>
      </c>
    </row>
    <row r="3714" spans="1:5" x14ac:dyDescent="0.2">
      <c r="A3714">
        <v>3707</v>
      </c>
      <c r="B3714">
        <v>3465</v>
      </c>
      <c r="C3714">
        <v>17</v>
      </c>
      <c r="D3714">
        <v>17.3</v>
      </c>
      <c r="E3714">
        <v>2.1</v>
      </c>
    </row>
    <row r="3715" spans="1:5" x14ac:dyDescent="0.2">
      <c r="A3715">
        <v>3708</v>
      </c>
      <c r="B3715">
        <v>3464</v>
      </c>
      <c r="C3715">
        <v>17</v>
      </c>
      <c r="D3715">
        <v>17.5</v>
      </c>
      <c r="E3715">
        <v>2.1</v>
      </c>
    </row>
    <row r="3716" spans="1:5" x14ac:dyDescent="0.2">
      <c r="A3716">
        <v>3709</v>
      </c>
      <c r="B3716">
        <v>3463</v>
      </c>
      <c r="C3716">
        <v>17</v>
      </c>
      <c r="D3716">
        <v>17.7</v>
      </c>
      <c r="E3716">
        <v>2.1</v>
      </c>
    </row>
    <row r="3717" spans="1:5" x14ac:dyDescent="0.2">
      <c r="A3717">
        <v>3710</v>
      </c>
      <c r="B3717">
        <v>3462</v>
      </c>
      <c r="C3717">
        <v>17</v>
      </c>
      <c r="D3717">
        <v>17.899999999999999</v>
      </c>
      <c r="E3717">
        <v>2.2000000000000002</v>
      </c>
    </row>
    <row r="3718" spans="1:5" x14ac:dyDescent="0.2">
      <c r="A3718">
        <v>3711</v>
      </c>
      <c r="B3718">
        <v>3462</v>
      </c>
      <c r="C3718">
        <v>17</v>
      </c>
      <c r="D3718">
        <v>18.100000000000001</v>
      </c>
      <c r="E3718">
        <v>2.2000000000000002</v>
      </c>
    </row>
    <row r="3719" spans="1:5" x14ac:dyDescent="0.2">
      <c r="A3719">
        <v>3712</v>
      </c>
      <c r="B3719">
        <v>3462</v>
      </c>
      <c r="C3719">
        <v>18</v>
      </c>
      <c r="D3719">
        <v>18.2</v>
      </c>
      <c r="E3719">
        <v>2.2000000000000002</v>
      </c>
    </row>
    <row r="3720" spans="1:5" x14ac:dyDescent="0.2">
      <c r="A3720">
        <v>3713</v>
      </c>
      <c r="B3720">
        <v>3462</v>
      </c>
      <c r="C3720">
        <v>18</v>
      </c>
      <c r="D3720">
        <v>18.3</v>
      </c>
      <c r="E3720">
        <v>2.2999999999999998</v>
      </c>
    </row>
    <row r="3721" spans="1:5" x14ac:dyDescent="0.2">
      <c r="A3721">
        <v>3714</v>
      </c>
      <c r="B3721">
        <v>3463</v>
      </c>
      <c r="C3721">
        <v>18</v>
      </c>
      <c r="D3721">
        <v>18.399999999999999</v>
      </c>
      <c r="E3721">
        <v>2.2999999999999998</v>
      </c>
    </row>
    <row r="3722" spans="1:5" x14ac:dyDescent="0.2">
      <c r="A3722">
        <v>3715</v>
      </c>
      <c r="B3722">
        <v>3464</v>
      </c>
      <c r="C3722">
        <v>18</v>
      </c>
      <c r="D3722">
        <v>18.399999999999999</v>
      </c>
      <c r="E3722">
        <v>2.2999999999999998</v>
      </c>
    </row>
    <row r="3723" spans="1:5" x14ac:dyDescent="0.2">
      <c r="A3723">
        <v>3716</v>
      </c>
      <c r="B3723">
        <v>3465</v>
      </c>
      <c r="C3723">
        <v>18</v>
      </c>
      <c r="D3723">
        <v>18.3</v>
      </c>
      <c r="E3723">
        <v>2.2999999999999998</v>
      </c>
    </row>
    <row r="3724" spans="1:5" x14ac:dyDescent="0.2">
      <c r="A3724">
        <v>3717</v>
      </c>
      <c r="B3724">
        <v>3468</v>
      </c>
      <c r="C3724">
        <v>18</v>
      </c>
      <c r="D3724">
        <v>18.100000000000001</v>
      </c>
      <c r="E3724">
        <v>2.2000000000000002</v>
      </c>
    </row>
    <row r="3725" spans="1:5" x14ac:dyDescent="0.2">
      <c r="A3725">
        <v>3718</v>
      </c>
      <c r="B3725">
        <v>3470</v>
      </c>
      <c r="C3725">
        <v>17</v>
      </c>
      <c r="D3725">
        <v>17.899999999999999</v>
      </c>
      <c r="E3725">
        <v>2.2000000000000002</v>
      </c>
    </row>
    <row r="3726" spans="1:5" x14ac:dyDescent="0.2">
      <c r="A3726">
        <v>3719</v>
      </c>
      <c r="B3726">
        <v>3473</v>
      </c>
      <c r="C3726">
        <v>17</v>
      </c>
      <c r="D3726">
        <v>17.7</v>
      </c>
      <c r="E3726">
        <v>2.1</v>
      </c>
    </row>
    <row r="3727" spans="1:5" x14ac:dyDescent="0.2">
      <c r="A3727">
        <v>3720</v>
      </c>
      <c r="B3727">
        <v>3476</v>
      </c>
      <c r="C3727">
        <v>17</v>
      </c>
      <c r="D3727">
        <v>17.399999999999999</v>
      </c>
      <c r="E3727">
        <v>2.1</v>
      </c>
    </row>
    <row r="3728" spans="1:5" x14ac:dyDescent="0.2">
      <c r="A3728">
        <v>3721</v>
      </c>
      <c r="B3728">
        <v>3479</v>
      </c>
      <c r="C3728">
        <v>16</v>
      </c>
      <c r="D3728">
        <v>17.100000000000001</v>
      </c>
      <c r="E3728">
        <v>2.1</v>
      </c>
    </row>
    <row r="3729" spans="1:5" x14ac:dyDescent="0.2">
      <c r="A3729">
        <v>3722</v>
      </c>
      <c r="B3729">
        <v>3483</v>
      </c>
      <c r="C3729">
        <v>16</v>
      </c>
      <c r="D3729">
        <v>16.8</v>
      </c>
      <c r="E3729">
        <v>2</v>
      </c>
    </row>
    <row r="3730" spans="1:5" x14ac:dyDescent="0.2">
      <c r="A3730">
        <v>3723</v>
      </c>
      <c r="B3730">
        <v>3486</v>
      </c>
      <c r="C3730">
        <v>16</v>
      </c>
      <c r="D3730">
        <v>16.5</v>
      </c>
      <c r="E3730">
        <v>2</v>
      </c>
    </row>
    <row r="3731" spans="1:5" x14ac:dyDescent="0.2">
      <c r="A3731">
        <v>3724</v>
      </c>
      <c r="B3731">
        <v>3490</v>
      </c>
      <c r="C3731">
        <v>16</v>
      </c>
      <c r="D3731">
        <v>16.2</v>
      </c>
      <c r="E3731">
        <v>2</v>
      </c>
    </row>
    <row r="3732" spans="1:5" x14ac:dyDescent="0.2">
      <c r="A3732">
        <v>3725</v>
      </c>
      <c r="B3732">
        <v>3493</v>
      </c>
      <c r="C3732">
        <v>16</v>
      </c>
      <c r="D3732">
        <v>15.9</v>
      </c>
      <c r="E3732">
        <v>2</v>
      </c>
    </row>
    <row r="3733" spans="1:5" x14ac:dyDescent="0.2">
      <c r="A3733">
        <v>3726</v>
      </c>
      <c r="B3733">
        <v>3496</v>
      </c>
      <c r="C3733">
        <v>16</v>
      </c>
      <c r="D3733">
        <v>15.6</v>
      </c>
      <c r="E3733">
        <v>2.1</v>
      </c>
    </row>
    <row r="3734" spans="1:5" x14ac:dyDescent="0.2">
      <c r="A3734">
        <v>3727</v>
      </c>
      <c r="B3734">
        <v>3500</v>
      </c>
      <c r="C3734">
        <v>17</v>
      </c>
      <c r="D3734">
        <v>15.3</v>
      </c>
      <c r="E3734">
        <v>2.1</v>
      </c>
    </row>
    <row r="3735" spans="1:5" x14ac:dyDescent="0.2">
      <c r="A3735">
        <v>3728</v>
      </c>
      <c r="B3735">
        <v>3503</v>
      </c>
      <c r="C3735">
        <v>17</v>
      </c>
      <c r="D3735">
        <v>15</v>
      </c>
      <c r="E3735">
        <v>2.1</v>
      </c>
    </row>
    <row r="3736" spans="1:5" x14ac:dyDescent="0.2">
      <c r="A3736">
        <v>3729</v>
      </c>
      <c r="B3736">
        <v>3505</v>
      </c>
      <c r="C3736">
        <v>17</v>
      </c>
      <c r="D3736">
        <v>14.8</v>
      </c>
      <c r="E3736">
        <v>2.2000000000000002</v>
      </c>
    </row>
    <row r="3737" spans="1:5" x14ac:dyDescent="0.2">
      <c r="A3737">
        <v>3730</v>
      </c>
      <c r="B3737">
        <v>3508</v>
      </c>
      <c r="C3737">
        <v>18</v>
      </c>
      <c r="D3737">
        <v>14.7</v>
      </c>
      <c r="E3737">
        <v>2.2000000000000002</v>
      </c>
    </row>
    <row r="3738" spans="1:5" x14ac:dyDescent="0.2">
      <c r="A3738">
        <v>3731</v>
      </c>
      <c r="B3738">
        <v>3509</v>
      </c>
      <c r="C3738">
        <v>18</v>
      </c>
      <c r="D3738">
        <v>14.5</v>
      </c>
      <c r="E3738">
        <v>2.2000000000000002</v>
      </c>
    </row>
    <row r="3739" spans="1:5" x14ac:dyDescent="0.2">
      <c r="A3739">
        <v>3732</v>
      </c>
      <c r="B3739">
        <v>3511</v>
      </c>
      <c r="C3739">
        <v>18</v>
      </c>
      <c r="D3739">
        <v>14.5</v>
      </c>
      <c r="E3739">
        <v>2.2000000000000002</v>
      </c>
    </row>
    <row r="3740" spans="1:5" x14ac:dyDescent="0.2">
      <c r="A3740">
        <v>3733</v>
      </c>
      <c r="B3740">
        <v>3512</v>
      </c>
      <c r="C3740">
        <v>18</v>
      </c>
      <c r="D3740">
        <v>14.5</v>
      </c>
      <c r="E3740">
        <v>2.2000000000000002</v>
      </c>
    </row>
    <row r="3741" spans="1:5" x14ac:dyDescent="0.2">
      <c r="A3741">
        <v>3734</v>
      </c>
      <c r="B3741">
        <v>3512</v>
      </c>
      <c r="C3741">
        <v>17</v>
      </c>
      <c r="D3741">
        <v>14.5</v>
      </c>
      <c r="E3741">
        <v>2.2000000000000002</v>
      </c>
    </row>
    <row r="3742" spans="1:5" x14ac:dyDescent="0.2">
      <c r="A3742">
        <v>3735</v>
      </c>
      <c r="B3742">
        <v>3513</v>
      </c>
      <c r="C3742">
        <v>17</v>
      </c>
      <c r="D3742">
        <v>14.6</v>
      </c>
      <c r="E3742">
        <v>2.2000000000000002</v>
      </c>
    </row>
    <row r="3743" spans="1:5" x14ac:dyDescent="0.2">
      <c r="A3743">
        <v>3736</v>
      </c>
      <c r="B3743">
        <v>3512</v>
      </c>
      <c r="C3743">
        <v>17</v>
      </c>
      <c r="D3743">
        <v>14.8</v>
      </c>
      <c r="E3743">
        <v>2.1</v>
      </c>
    </row>
    <row r="3744" spans="1:5" x14ac:dyDescent="0.2">
      <c r="A3744">
        <v>3737</v>
      </c>
      <c r="B3744">
        <v>3512</v>
      </c>
      <c r="C3744">
        <v>17</v>
      </c>
      <c r="D3744">
        <v>15</v>
      </c>
      <c r="E3744">
        <v>2.1</v>
      </c>
    </row>
    <row r="3745" spans="1:5" x14ac:dyDescent="0.2">
      <c r="A3745">
        <v>3738</v>
      </c>
      <c r="B3745">
        <v>3511</v>
      </c>
      <c r="C3745">
        <v>16</v>
      </c>
      <c r="D3745">
        <v>15.2</v>
      </c>
      <c r="E3745">
        <v>2.1</v>
      </c>
    </row>
    <row r="3746" spans="1:5" x14ac:dyDescent="0.2">
      <c r="A3746">
        <v>3739</v>
      </c>
      <c r="B3746">
        <v>3510</v>
      </c>
      <c r="C3746">
        <v>16</v>
      </c>
      <c r="D3746">
        <v>15.4</v>
      </c>
      <c r="E3746">
        <v>2</v>
      </c>
    </row>
    <row r="3747" spans="1:5" x14ac:dyDescent="0.2">
      <c r="A3747">
        <v>3740</v>
      </c>
      <c r="B3747">
        <v>3509</v>
      </c>
      <c r="C3747">
        <v>16</v>
      </c>
      <c r="D3747">
        <v>15.7</v>
      </c>
      <c r="E3747">
        <v>2</v>
      </c>
    </row>
    <row r="3748" spans="1:5" x14ac:dyDescent="0.2">
      <c r="A3748">
        <v>3741</v>
      </c>
      <c r="B3748">
        <v>3508</v>
      </c>
      <c r="C3748">
        <v>16</v>
      </c>
      <c r="D3748">
        <v>16</v>
      </c>
      <c r="E3748">
        <v>2</v>
      </c>
    </row>
    <row r="3749" spans="1:5" x14ac:dyDescent="0.2">
      <c r="A3749">
        <v>3742</v>
      </c>
      <c r="B3749">
        <v>3506</v>
      </c>
      <c r="C3749">
        <v>16</v>
      </c>
      <c r="D3749">
        <v>16.3</v>
      </c>
      <c r="E3749">
        <v>2.1</v>
      </c>
    </row>
    <row r="3750" spans="1:5" x14ac:dyDescent="0.2">
      <c r="A3750">
        <v>3743</v>
      </c>
      <c r="B3750">
        <v>3504</v>
      </c>
      <c r="C3750">
        <v>16</v>
      </c>
      <c r="D3750">
        <v>16.600000000000001</v>
      </c>
      <c r="E3750">
        <v>2.1</v>
      </c>
    </row>
    <row r="3751" spans="1:5" x14ac:dyDescent="0.2">
      <c r="A3751">
        <v>3744</v>
      </c>
      <c r="B3751">
        <v>3503</v>
      </c>
      <c r="C3751">
        <v>17</v>
      </c>
      <c r="D3751">
        <v>17</v>
      </c>
      <c r="E3751">
        <v>2.1</v>
      </c>
    </row>
    <row r="3752" spans="1:5" x14ac:dyDescent="0.2">
      <c r="A3752">
        <v>3745</v>
      </c>
      <c r="B3752">
        <v>3501</v>
      </c>
      <c r="C3752">
        <v>17</v>
      </c>
      <c r="D3752">
        <v>17.3</v>
      </c>
      <c r="E3752">
        <v>2.2000000000000002</v>
      </c>
    </row>
    <row r="3753" spans="1:5" x14ac:dyDescent="0.2">
      <c r="A3753">
        <v>3746</v>
      </c>
      <c r="B3753">
        <v>3499</v>
      </c>
      <c r="C3753">
        <v>18</v>
      </c>
      <c r="D3753">
        <v>17.7</v>
      </c>
      <c r="E3753">
        <v>2.2000000000000002</v>
      </c>
    </row>
    <row r="3754" spans="1:5" x14ac:dyDescent="0.2">
      <c r="A3754">
        <v>3747</v>
      </c>
      <c r="B3754">
        <v>3497</v>
      </c>
      <c r="C3754">
        <v>18</v>
      </c>
      <c r="D3754">
        <v>18</v>
      </c>
      <c r="E3754">
        <v>2.2999999999999998</v>
      </c>
    </row>
    <row r="3755" spans="1:5" x14ac:dyDescent="0.2">
      <c r="A3755">
        <v>3748</v>
      </c>
      <c r="B3755">
        <v>3495</v>
      </c>
      <c r="C3755">
        <v>18</v>
      </c>
      <c r="D3755">
        <v>18.399999999999999</v>
      </c>
      <c r="E3755">
        <v>2.2999999999999998</v>
      </c>
    </row>
    <row r="3756" spans="1:5" x14ac:dyDescent="0.2">
      <c r="A3756">
        <v>3749</v>
      </c>
      <c r="B3756">
        <v>3494</v>
      </c>
      <c r="C3756">
        <v>18</v>
      </c>
      <c r="D3756">
        <v>18.7</v>
      </c>
      <c r="E3756">
        <v>2.2999999999999998</v>
      </c>
    </row>
    <row r="3757" spans="1:5" x14ac:dyDescent="0.2">
      <c r="A3757">
        <v>3750</v>
      </c>
      <c r="B3757">
        <v>3492</v>
      </c>
      <c r="C3757">
        <v>18</v>
      </c>
      <c r="D3757">
        <v>19.100000000000001</v>
      </c>
      <c r="E3757">
        <v>2.2999999999999998</v>
      </c>
    </row>
    <row r="3758" spans="1:5" x14ac:dyDescent="0.2">
      <c r="A3758">
        <v>3751</v>
      </c>
      <c r="B3758">
        <v>3491</v>
      </c>
      <c r="C3758">
        <v>18</v>
      </c>
      <c r="D3758">
        <v>19.399999999999999</v>
      </c>
      <c r="E3758">
        <v>2.2999999999999998</v>
      </c>
    </row>
    <row r="3759" spans="1:5" x14ac:dyDescent="0.2">
      <c r="A3759">
        <v>3752</v>
      </c>
      <c r="B3759">
        <v>3489</v>
      </c>
      <c r="C3759">
        <v>18</v>
      </c>
      <c r="D3759">
        <v>19.7</v>
      </c>
      <c r="E3759">
        <v>2.2999999999999998</v>
      </c>
    </row>
    <row r="3760" spans="1:5" x14ac:dyDescent="0.2">
      <c r="A3760">
        <v>3753</v>
      </c>
      <c r="B3760">
        <v>3488</v>
      </c>
      <c r="C3760">
        <v>18</v>
      </c>
      <c r="D3760">
        <v>19.899999999999999</v>
      </c>
      <c r="E3760">
        <v>2.2000000000000002</v>
      </c>
    </row>
    <row r="3761" spans="1:5" x14ac:dyDescent="0.2">
      <c r="A3761">
        <v>3754</v>
      </c>
      <c r="B3761">
        <v>3487</v>
      </c>
      <c r="C3761">
        <v>17</v>
      </c>
      <c r="D3761">
        <v>20.2</v>
      </c>
      <c r="E3761">
        <v>2.2000000000000002</v>
      </c>
    </row>
    <row r="3762" spans="1:5" x14ac:dyDescent="0.2">
      <c r="A3762">
        <v>3755</v>
      </c>
      <c r="B3762">
        <v>3486</v>
      </c>
      <c r="C3762">
        <v>17</v>
      </c>
      <c r="D3762">
        <v>20.399999999999999</v>
      </c>
      <c r="E3762">
        <v>2.1</v>
      </c>
    </row>
    <row r="3763" spans="1:5" x14ac:dyDescent="0.2">
      <c r="A3763">
        <v>3756</v>
      </c>
      <c r="B3763">
        <v>3486</v>
      </c>
      <c r="C3763">
        <v>17</v>
      </c>
      <c r="D3763">
        <v>20.6</v>
      </c>
      <c r="E3763">
        <v>2.1</v>
      </c>
    </row>
    <row r="3764" spans="1:5" x14ac:dyDescent="0.2">
      <c r="A3764">
        <v>3757</v>
      </c>
      <c r="B3764">
        <v>3485</v>
      </c>
      <c r="C3764">
        <v>16</v>
      </c>
      <c r="D3764">
        <v>20.8</v>
      </c>
      <c r="E3764">
        <v>2.1</v>
      </c>
    </row>
    <row r="3765" spans="1:5" x14ac:dyDescent="0.2">
      <c r="A3765">
        <v>3758</v>
      </c>
      <c r="B3765">
        <v>3485</v>
      </c>
      <c r="C3765">
        <v>16</v>
      </c>
      <c r="D3765">
        <v>21</v>
      </c>
      <c r="E3765">
        <v>2.1</v>
      </c>
    </row>
    <row r="3766" spans="1:5" x14ac:dyDescent="0.2">
      <c r="A3766">
        <v>3759</v>
      </c>
      <c r="B3766">
        <v>3485</v>
      </c>
      <c r="C3766">
        <v>16</v>
      </c>
      <c r="D3766">
        <v>21.1</v>
      </c>
      <c r="E3766">
        <v>2.1</v>
      </c>
    </row>
    <row r="3767" spans="1:5" x14ac:dyDescent="0.2">
      <c r="A3767">
        <v>3760</v>
      </c>
      <c r="B3767">
        <v>3485</v>
      </c>
      <c r="C3767">
        <v>16</v>
      </c>
      <c r="D3767">
        <v>21.2</v>
      </c>
      <c r="E3767">
        <v>2.1</v>
      </c>
    </row>
    <row r="3768" spans="1:5" x14ac:dyDescent="0.2">
      <c r="A3768">
        <v>3761</v>
      </c>
      <c r="B3768">
        <v>3485</v>
      </c>
      <c r="C3768">
        <v>17</v>
      </c>
      <c r="D3768">
        <v>21.3</v>
      </c>
      <c r="E3768">
        <v>2.1</v>
      </c>
    </row>
    <row r="3769" spans="1:5" x14ac:dyDescent="0.2">
      <c r="A3769">
        <v>3762</v>
      </c>
      <c r="B3769">
        <v>3486</v>
      </c>
      <c r="C3769">
        <v>17</v>
      </c>
      <c r="D3769">
        <v>21.4</v>
      </c>
      <c r="E3769">
        <v>2.1</v>
      </c>
    </row>
    <row r="3770" spans="1:5" x14ac:dyDescent="0.2">
      <c r="A3770">
        <v>3763</v>
      </c>
      <c r="B3770">
        <v>3487</v>
      </c>
      <c r="C3770">
        <v>17</v>
      </c>
      <c r="D3770">
        <v>21.4</v>
      </c>
      <c r="E3770">
        <v>2.2000000000000002</v>
      </c>
    </row>
    <row r="3771" spans="1:5" x14ac:dyDescent="0.2">
      <c r="A3771">
        <v>3764</v>
      </c>
      <c r="B3771">
        <v>3488</v>
      </c>
      <c r="C3771">
        <v>18</v>
      </c>
      <c r="D3771">
        <v>21.4</v>
      </c>
      <c r="E3771">
        <v>2.2000000000000002</v>
      </c>
    </row>
    <row r="3772" spans="1:5" x14ac:dyDescent="0.2">
      <c r="A3772">
        <v>3765</v>
      </c>
      <c r="B3772">
        <v>3489</v>
      </c>
      <c r="C3772">
        <v>18</v>
      </c>
      <c r="D3772">
        <v>21.3</v>
      </c>
      <c r="E3772">
        <v>2.2999999999999998</v>
      </c>
    </row>
    <row r="3773" spans="1:5" x14ac:dyDescent="0.2">
      <c r="A3773">
        <v>3766</v>
      </c>
      <c r="B3773">
        <v>3490</v>
      </c>
      <c r="C3773">
        <v>18</v>
      </c>
      <c r="D3773">
        <v>21.3</v>
      </c>
      <c r="E3773">
        <v>2.2999999999999998</v>
      </c>
    </row>
    <row r="3774" spans="1:5" x14ac:dyDescent="0.2">
      <c r="A3774">
        <v>3767</v>
      </c>
      <c r="B3774">
        <v>3492</v>
      </c>
      <c r="C3774">
        <v>19</v>
      </c>
      <c r="D3774">
        <v>21.2</v>
      </c>
      <c r="E3774">
        <v>2.4</v>
      </c>
    </row>
    <row r="3775" spans="1:5" x14ac:dyDescent="0.2">
      <c r="A3775">
        <v>3768</v>
      </c>
      <c r="B3775">
        <v>3494</v>
      </c>
      <c r="C3775">
        <v>19</v>
      </c>
      <c r="D3775">
        <v>21</v>
      </c>
      <c r="E3775">
        <v>2.4</v>
      </c>
    </row>
    <row r="3776" spans="1:5" x14ac:dyDescent="0.2">
      <c r="A3776">
        <v>3769</v>
      </c>
      <c r="B3776">
        <v>3496</v>
      </c>
      <c r="C3776">
        <v>19</v>
      </c>
      <c r="D3776">
        <v>20.9</v>
      </c>
      <c r="E3776">
        <v>2.4</v>
      </c>
    </row>
    <row r="3777" spans="1:5" x14ac:dyDescent="0.2">
      <c r="A3777">
        <v>3770</v>
      </c>
      <c r="B3777">
        <v>3499</v>
      </c>
      <c r="C3777">
        <v>18</v>
      </c>
      <c r="D3777">
        <v>20.7</v>
      </c>
      <c r="E3777">
        <v>2.2999999999999998</v>
      </c>
    </row>
    <row r="3778" spans="1:5" x14ac:dyDescent="0.2">
      <c r="A3778">
        <v>3771</v>
      </c>
      <c r="B3778">
        <v>3502</v>
      </c>
      <c r="C3778">
        <v>18</v>
      </c>
      <c r="D3778">
        <v>20.5</v>
      </c>
      <c r="E3778">
        <v>2.2999999999999998</v>
      </c>
    </row>
    <row r="3779" spans="1:5" x14ac:dyDescent="0.2">
      <c r="A3779">
        <v>3772</v>
      </c>
      <c r="B3779">
        <v>3504</v>
      </c>
      <c r="C3779">
        <v>18</v>
      </c>
      <c r="D3779">
        <v>20.2</v>
      </c>
      <c r="E3779">
        <v>2.2999999999999998</v>
      </c>
    </row>
    <row r="3780" spans="1:5" x14ac:dyDescent="0.2">
      <c r="A3780">
        <v>3773</v>
      </c>
      <c r="B3780">
        <v>3507</v>
      </c>
      <c r="C3780">
        <v>18</v>
      </c>
      <c r="D3780">
        <v>20</v>
      </c>
      <c r="E3780">
        <v>2.2999999999999998</v>
      </c>
    </row>
    <row r="3781" spans="1:5" x14ac:dyDescent="0.2">
      <c r="A3781">
        <v>3774</v>
      </c>
      <c r="B3781">
        <v>3510</v>
      </c>
      <c r="C3781">
        <v>18</v>
      </c>
      <c r="D3781">
        <v>19.8</v>
      </c>
      <c r="E3781">
        <v>2.2999999999999998</v>
      </c>
    </row>
    <row r="3782" spans="1:5" x14ac:dyDescent="0.2">
      <c r="A3782">
        <v>3775</v>
      </c>
      <c r="B3782">
        <v>3513</v>
      </c>
      <c r="C3782">
        <v>18</v>
      </c>
      <c r="D3782">
        <v>19.600000000000001</v>
      </c>
      <c r="E3782">
        <v>2.2999999999999998</v>
      </c>
    </row>
    <row r="3783" spans="1:5" x14ac:dyDescent="0.2">
      <c r="A3783">
        <v>3776</v>
      </c>
      <c r="B3783">
        <v>3515</v>
      </c>
      <c r="C3783">
        <v>18</v>
      </c>
      <c r="D3783">
        <v>19.399999999999999</v>
      </c>
      <c r="E3783">
        <v>2.2999999999999998</v>
      </c>
    </row>
    <row r="3784" spans="1:5" x14ac:dyDescent="0.2">
      <c r="A3784">
        <v>3777</v>
      </c>
      <c r="B3784">
        <v>3517</v>
      </c>
      <c r="C3784">
        <v>18</v>
      </c>
      <c r="D3784">
        <v>19.2</v>
      </c>
      <c r="E3784">
        <v>2.2999999999999998</v>
      </c>
    </row>
    <row r="3785" spans="1:5" x14ac:dyDescent="0.2">
      <c r="A3785">
        <v>3778</v>
      </c>
      <c r="B3785">
        <v>3519</v>
      </c>
      <c r="C3785">
        <v>19</v>
      </c>
      <c r="D3785">
        <v>19.100000000000001</v>
      </c>
      <c r="E3785">
        <v>2.4</v>
      </c>
    </row>
    <row r="3786" spans="1:5" x14ac:dyDescent="0.2">
      <c r="A3786">
        <v>3779</v>
      </c>
      <c r="B3786">
        <v>3521</v>
      </c>
      <c r="C3786">
        <v>19</v>
      </c>
      <c r="D3786">
        <v>19</v>
      </c>
      <c r="E3786">
        <v>2.4</v>
      </c>
    </row>
    <row r="3787" spans="1:5" x14ac:dyDescent="0.2">
      <c r="A3787">
        <v>3780</v>
      </c>
      <c r="B3787">
        <v>3523</v>
      </c>
      <c r="C3787">
        <v>19</v>
      </c>
      <c r="D3787">
        <v>18.899999999999999</v>
      </c>
      <c r="E3787">
        <v>2.4</v>
      </c>
    </row>
    <row r="3788" spans="1:5" x14ac:dyDescent="0.2">
      <c r="A3788">
        <v>3781</v>
      </c>
      <c r="B3788">
        <v>3524</v>
      </c>
      <c r="C3788">
        <v>20</v>
      </c>
      <c r="D3788">
        <v>18.899999999999999</v>
      </c>
      <c r="E3788">
        <v>2.5</v>
      </c>
    </row>
    <row r="3789" spans="1:5" x14ac:dyDescent="0.2">
      <c r="A3789">
        <v>3782</v>
      </c>
      <c r="B3789">
        <v>3524</v>
      </c>
      <c r="C3789">
        <v>20</v>
      </c>
      <c r="D3789">
        <v>19</v>
      </c>
      <c r="E3789">
        <v>2.5</v>
      </c>
    </row>
    <row r="3790" spans="1:5" x14ac:dyDescent="0.2">
      <c r="A3790">
        <v>3783</v>
      </c>
      <c r="B3790">
        <v>3524</v>
      </c>
      <c r="C3790">
        <v>20</v>
      </c>
      <c r="D3790">
        <v>19.100000000000001</v>
      </c>
      <c r="E3790">
        <v>2.5</v>
      </c>
    </row>
    <row r="3791" spans="1:5" x14ac:dyDescent="0.2">
      <c r="A3791">
        <v>3784</v>
      </c>
      <c r="B3791">
        <v>3523</v>
      </c>
      <c r="C3791">
        <v>20</v>
      </c>
      <c r="D3791">
        <v>19.399999999999999</v>
      </c>
      <c r="E3791">
        <v>2.5</v>
      </c>
    </row>
    <row r="3792" spans="1:5" x14ac:dyDescent="0.2">
      <c r="A3792">
        <v>3785</v>
      </c>
      <c r="B3792">
        <v>3522</v>
      </c>
      <c r="C3792">
        <v>20</v>
      </c>
      <c r="D3792">
        <v>19.7</v>
      </c>
      <c r="E3792">
        <v>2.5</v>
      </c>
    </row>
    <row r="3793" spans="1:5" x14ac:dyDescent="0.2">
      <c r="A3793">
        <v>3786</v>
      </c>
      <c r="B3793">
        <v>3520</v>
      </c>
      <c r="C3793">
        <v>19</v>
      </c>
      <c r="D3793">
        <v>20</v>
      </c>
      <c r="E3793">
        <v>2.5</v>
      </c>
    </row>
    <row r="3794" spans="1:5" x14ac:dyDescent="0.2">
      <c r="A3794">
        <v>3787</v>
      </c>
      <c r="B3794">
        <v>3517</v>
      </c>
      <c r="C3794">
        <v>19</v>
      </c>
      <c r="D3794">
        <v>20.5</v>
      </c>
      <c r="E3794">
        <v>2.4</v>
      </c>
    </row>
    <row r="3795" spans="1:5" x14ac:dyDescent="0.2">
      <c r="A3795">
        <v>3788</v>
      </c>
      <c r="B3795">
        <v>3514</v>
      </c>
      <c r="C3795">
        <v>19</v>
      </c>
      <c r="D3795">
        <v>20.9</v>
      </c>
      <c r="E3795">
        <v>2.4</v>
      </c>
    </row>
    <row r="3796" spans="1:5" x14ac:dyDescent="0.2">
      <c r="A3796">
        <v>3789</v>
      </c>
      <c r="B3796">
        <v>3511</v>
      </c>
      <c r="C3796">
        <v>18</v>
      </c>
      <c r="D3796">
        <v>21.5</v>
      </c>
      <c r="E3796">
        <v>2.2999999999999998</v>
      </c>
    </row>
    <row r="3797" spans="1:5" x14ac:dyDescent="0.2">
      <c r="A3797">
        <v>3790</v>
      </c>
      <c r="B3797">
        <v>3508</v>
      </c>
      <c r="C3797">
        <v>18</v>
      </c>
      <c r="D3797">
        <v>22</v>
      </c>
      <c r="E3797">
        <v>2.2999999999999998</v>
      </c>
    </row>
    <row r="3798" spans="1:5" x14ac:dyDescent="0.2">
      <c r="A3798">
        <v>3791</v>
      </c>
      <c r="B3798">
        <v>3504</v>
      </c>
      <c r="C3798">
        <v>18</v>
      </c>
      <c r="D3798">
        <v>22.6</v>
      </c>
      <c r="E3798">
        <v>2.2999999999999998</v>
      </c>
    </row>
    <row r="3799" spans="1:5" x14ac:dyDescent="0.2">
      <c r="A3799">
        <v>3792</v>
      </c>
      <c r="B3799">
        <v>3500</v>
      </c>
      <c r="C3799">
        <v>18</v>
      </c>
      <c r="D3799">
        <v>23.2</v>
      </c>
      <c r="E3799">
        <v>2.2999999999999998</v>
      </c>
    </row>
    <row r="3800" spans="1:5" x14ac:dyDescent="0.2">
      <c r="A3800">
        <v>3793</v>
      </c>
      <c r="B3800">
        <v>3496</v>
      </c>
      <c r="C3800">
        <v>18</v>
      </c>
      <c r="D3800">
        <v>23.8</v>
      </c>
      <c r="E3800">
        <v>2.2999999999999998</v>
      </c>
    </row>
    <row r="3801" spans="1:5" x14ac:dyDescent="0.2">
      <c r="A3801">
        <v>3794</v>
      </c>
      <c r="B3801">
        <v>3492</v>
      </c>
      <c r="C3801">
        <v>18</v>
      </c>
      <c r="D3801">
        <v>24.5</v>
      </c>
      <c r="E3801">
        <v>2.2999999999999998</v>
      </c>
    </row>
    <row r="3802" spans="1:5" x14ac:dyDescent="0.2">
      <c r="A3802">
        <v>3795</v>
      </c>
      <c r="B3802">
        <v>3489</v>
      </c>
      <c r="C3802">
        <v>19</v>
      </c>
      <c r="D3802">
        <v>25.1</v>
      </c>
      <c r="E3802">
        <v>2.4</v>
      </c>
    </row>
    <row r="3803" spans="1:5" x14ac:dyDescent="0.2">
      <c r="A3803">
        <v>3796</v>
      </c>
      <c r="B3803">
        <v>3485</v>
      </c>
      <c r="C3803">
        <v>19</v>
      </c>
      <c r="D3803">
        <v>25.7</v>
      </c>
      <c r="E3803">
        <v>2.4</v>
      </c>
    </row>
    <row r="3804" spans="1:5" x14ac:dyDescent="0.2">
      <c r="A3804">
        <v>3797</v>
      </c>
      <c r="B3804">
        <v>3481</v>
      </c>
      <c r="C3804">
        <v>19</v>
      </c>
      <c r="D3804">
        <v>26.3</v>
      </c>
      <c r="E3804">
        <v>2.4</v>
      </c>
    </row>
    <row r="3805" spans="1:5" x14ac:dyDescent="0.2">
      <c r="A3805">
        <v>3798</v>
      </c>
      <c r="B3805">
        <v>3478</v>
      </c>
      <c r="C3805">
        <v>19</v>
      </c>
      <c r="D3805">
        <v>26.8</v>
      </c>
      <c r="E3805">
        <v>2.4</v>
      </c>
    </row>
    <row r="3806" spans="1:5" x14ac:dyDescent="0.2">
      <c r="A3806">
        <v>3799</v>
      </c>
      <c r="B3806">
        <v>3475</v>
      </c>
      <c r="C3806">
        <v>19</v>
      </c>
      <c r="D3806">
        <v>27.3</v>
      </c>
      <c r="E3806">
        <v>2.4</v>
      </c>
    </row>
    <row r="3807" spans="1:5" x14ac:dyDescent="0.2">
      <c r="A3807">
        <v>3800</v>
      </c>
      <c r="B3807">
        <v>3472</v>
      </c>
      <c r="C3807">
        <v>19</v>
      </c>
      <c r="D3807">
        <v>27.8</v>
      </c>
      <c r="E3807">
        <v>2.4</v>
      </c>
    </row>
    <row r="3808" spans="1:5" x14ac:dyDescent="0.2">
      <c r="A3808">
        <v>3801</v>
      </c>
      <c r="B3808">
        <v>3470</v>
      </c>
      <c r="C3808">
        <v>19</v>
      </c>
      <c r="D3808">
        <v>28.2</v>
      </c>
      <c r="E3808">
        <v>2.4</v>
      </c>
    </row>
    <row r="3809" spans="1:5" x14ac:dyDescent="0.2">
      <c r="A3809">
        <v>3802</v>
      </c>
      <c r="B3809">
        <v>3468</v>
      </c>
      <c r="C3809">
        <v>18</v>
      </c>
      <c r="D3809">
        <v>28.6</v>
      </c>
      <c r="E3809">
        <v>2.4</v>
      </c>
    </row>
    <row r="3810" spans="1:5" x14ac:dyDescent="0.2">
      <c r="A3810">
        <v>3803</v>
      </c>
      <c r="B3810">
        <v>3466</v>
      </c>
      <c r="C3810">
        <v>18</v>
      </c>
      <c r="D3810">
        <v>28.9</v>
      </c>
      <c r="E3810">
        <v>2.2999999999999998</v>
      </c>
    </row>
    <row r="3811" spans="1:5" x14ac:dyDescent="0.2">
      <c r="A3811">
        <v>3804</v>
      </c>
      <c r="B3811">
        <v>3465</v>
      </c>
      <c r="C3811">
        <v>18</v>
      </c>
      <c r="D3811">
        <v>29.2</v>
      </c>
      <c r="E3811">
        <v>2.2999999999999998</v>
      </c>
    </row>
    <row r="3812" spans="1:5" x14ac:dyDescent="0.2">
      <c r="A3812">
        <v>3805</v>
      </c>
      <c r="B3812">
        <v>3464</v>
      </c>
      <c r="C3812">
        <v>18</v>
      </c>
      <c r="D3812">
        <v>29.5</v>
      </c>
      <c r="E3812">
        <v>2.2999999999999998</v>
      </c>
    </row>
    <row r="3813" spans="1:5" x14ac:dyDescent="0.2">
      <c r="A3813">
        <v>3806</v>
      </c>
      <c r="B3813">
        <v>3463</v>
      </c>
      <c r="C3813">
        <v>18</v>
      </c>
      <c r="D3813">
        <v>29.7</v>
      </c>
      <c r="E3813">
        <v>2.2999999999999998</v>
      </c>
    </row>
    <row r="3814" spans="1:5" x14ac:dyDescent="0.2">
      <c r="A3814">
        <v>3807</v>
      </c>
      <c r="B3814">
        <v>3463</v>
      </c>
      <c r="C3814">
        <v>18</v>
      </c>
      <c r="D3814">
        <v>29.9</v>
      </c>
      <c r="E3814">
        <v>2.2999999999999998</v>
      </c>
    </row>
    <row r="3815" spans="1:5" x14ac:dyDescent="0.2">
      <c r="A3815">
        <v>3808</v>
      </c>
      <c r="B3815">
        <v>3463</v>
      </c>
      <c r="C3815">
        <v>18</v>
      </c>
      <c r="D3815">
        <v>30</v>
      </c>
      <c r="E3815">
        <v>2.2999999999999998</v>
      </c>
    </row>
    <row r="3816" spans="1:5" x14ac:dyDescent="0.2">
      <c r="A3816">
        <v>3809</v>
      </c>
      <c r="B3816">
        <v>3463</v>
      </c>
      <c r="C3816">
        <v>18</v>
      </c>
      <c r="D3816">
        <v>30.1</v>
      </c>
      <c r="E3816">
        <v>2.4</v>
      </c>
    </row>
    <row r="3817" spans="1:5" x14ac:dyDescent="0.2">
      <c r="A3817">
        <v>3810</v>
      </c>
      <c r="B3817">
        <v>3463</v>
      </c>
      <c r="C3817">
        <v>19</v>
      </c>
      <c r="D3817">
        <v>30.2</v>
      </c>
      <c r="E3817">
        <v>2.4</v>
      </c>
    </row>
    <row r="3818" spans="1:5" x14ac:dyDescent="0.2">
      <c r="A3818">
        <v>3811</v>
      </c>
      <c r="B3818">
        <v>3464</v>
      </c>
      <c r="C3818">
        <v>19</v>
      </c>
      <c r="D3818">
        <v>30.2</v>
      </c>
      <c r="E3818">
        <v>2.4</v>
      </c>
    </row>
    <row r="3819" spans="1:5" x14ac:dyDescent="0.2">
      <c r="A3819">
        <v>3812</v>
      </c>
      <c r="B3819">
        <v>3465</v>
      </c>
      <c r="C3819">
        <v>19</v>
      </c>
      <c r="D3819">
        <v>30.2</v>
      </c>
      <c r="E3819">
        <v>2.5</v>
      </c>
    </row>
    <row r="3820" spans="1:5" x14ac:dyDescent="0.2">
      <c r="A3820">
        <v>3813</v>
      </c>
      <c r="B3820">
        <v>3467</v>
      </c>
      <c r="C3820">
        <v>19</v>
      </c>
      <c r="D3820">
        <v>30.1</v>
      </c>
      <c r="E3820">
        <v>2.5</v>
      </c>
    </row>
    <row r="3821" spans="1:5" x14ac:dyDescent="0.2">
      <c r="A3821">
        <v>3814</v>
      </c>
      <c r="B3821">
        <v>3469</v>
      </c>
      <c r="C3821">
        <v>19</v>
      </c>
      <c r="D3821">
        <v>30</v>
      </c>
      <c r="E3821">
        <v>2.5</v>
      </c>
    </row>
    <row r="3822" spans="1:5" x14ac:dyDescent="0.2">
      <c r="A3822">
        <v>3815</v>
      </c>
      <c r="B3822">
        <v>3471</v>
      </c>
      <c r="C3822">
        <v>19</v>
      </c>
      <c r="D3822">
        <v>29.9</v>
      </c>
      <c r="E3822">
        <v>2.5</v>
      </c>
    </row>
    <row r="3823" spans="1:5" x14ac:dyDescent="0.2">
      <c r="A3823">
        <v>3816</v>
      </c>
      <c r="B3823">
        <v>3473</v>
      </c>
      <c r="C3823">
        <v>19</v>
      </c>
      <c r="D3823">
        <v>29.7</v>
      </c>
      <c r="E3823">
        <v>2.4</v>
      </c>
    </row>
    <row r="3824" spans="1:5" x14ac:dyDescent="0.2">
      <c r="A3824">
        <v>3817</v>
      </c>
      <c r="B3824">
        <v>3475</v>
      </c>
      <c r="C3824">
        <v>18</v>
      </c>
      <c r="D3824">
        <v>29.5</v>
      </c>
      <c r="E3824">
        <v>2.4</v>
      </c>
    </row>
    <row r="3825" spans="1:5" x14ac:dyDescent="0.2">
      <c r="A3825">
        <v>3818</v>
      </c>
      <c r="B3825">
        <v>3478</v>
      </c>
      <c r="C3825">
        <v>18</v>
      </c>
      <c r="D3825">
        <v>29.3</v>
      </c>
      <c r="E3825">
        <v>2.2999999999999998</v>
      </c>
    </row>
    <row r="3826" spans="1:5" x14ac:dyDescent="0.2">
      <c r="A3826">
        <v>3819</v>
      </c>
      <c r="B3826">
        <v>3481</v>
      </c>
      <c r="C3826">
        <v>17</v>
      </c>
      <c r="D3826">
        <v>29</v>
      </c>
      <c r="E3826">
        <v>2.2000000000000002</v>
      </c>
    </row>
    <row r="3827" spans="1:5" x14ac:dyDescent="0.2">
      <c r="A3827">
        <v>3820</v>
      </c>
      <c r="B3827">
        <v>3484</v>
      </c>
      <c r="C3827">
        <v>17</v>
      </c>
      <c r="D3827">
        <v>28.7</v>
      </c>
      <c r="E3827">
        <v>2.2000000000000002</v>
      </c>
    </row>
    <row r="3828" spans="1:5" x14ac:dyDescent="0.2">
      <c r="A3828">
        <v>3821</v>
      </c>
      <c r="B3828">
        <v>3488</v>
      </c>
      <c r="C3828">
        <v>17</v>
      </c>
      <c r="D3828">
        <v>28.4</v>
      </c>
      <c r="E3828">
        <v>2.1</v>
      </c>
    </row>
    <row r="3829" spans="1:5" x14ac:dyDescent="0.2">
      <c r="A3829">
        <v>3822</v>
      </c>
      <c r="B3829">
        <v>3491</v>
      </c>
      <c r="C3829">
        <v>16</v>
      </c>
      <c r="D3829">
        <v>28.1</v>
      </c>
      <c r="E3829">
        <v>2.1</v>
      </c>
    </row>
    <row r="3830" spans="1:5" x14ac:dyDescent="0.2">
      <c r="A3830">
        <v>3823</v>
      </c>
      <c r="B3830">
        <v>3495</v>
      </c>
      <c r="C3830">
        <v>16</v>
      </c>
      <c r="D3830">
        <v>27.8</v>
      </c>
      <c r="E3830">
        <v>2.1</v>
      </c>
    </row>
    <row r="3831" spans="1:5" x14ac:dyDescent="0.2">
      <c r="A3831">
        <v>3824</v>
      </c>
      <c r="B3831">
        <v>3498</v>
      </c>
      <c r="C3831">
        <v>16</v>
      </c>
      <c r="D3831">
        <v>27.5</v>
      </c>
      <c r="E3831">
        <v>2.1</v>
      </c>
    </row>
    <row r="3832" spans="1:5" x14ac:dyDescent="0.2">
      <c r="A3832">
        <v>3825</v>
      </c>
      <c r="B3832">
        <v>3502</v>
      </c>
      <c r="C3832">
        <v>17</v>
      </c>
      <c r="D3832">
        <v>27.1</v>
      </c>
      <c r="E3832">
        <v>2.1</v>
      </c>
    </row>
    <row r="3833" spans="1:5" x14ac:dyDescent="0.2">
      <c r="A3833">
        <v>3826</v>
      </c>
      <c r="B3833">
        <v>3506</v>
      </c>
      <c r="C3833">
        <v>17</v>
      </c>
      <c r="D3833">
        <v>26.8</v>
      </c>
      <c r="E3833">
        <v>2.2000000000000002</v>
      </c>
    </row>
    <row r="3834" spans="1:5" x14ac:dyDescent="0.2">
      <c r="A3834">
        <v>3827</v>
      </c>
      <c r="B3834">
        <v>3509</v>
      </c>
      <c r="C3834">
        <v>18</v>
      </c>
      <c r="D3834">
        <v>26.4</v>
      </c>
      <c r="E3834">
        <v>2.2000000000000002</v>
      </c>
    </row>
    <row r="3835" spans="1:5" x14ac:dyDescent="0.2">
      <c r="A3835">
        <v>3828</v>
      </c>
      <c r="B3835">
        <v>3513</v>
      </c>
      <c r="C3835">
        <v>18</v>
      </c>
      <c r="D3835">
        <v>26</v>
      </c>
      <c r="E3835">
        <v>2.2999999999999998</v>
      </c>
    </row>
    <row r="3836" spans="1:5" x14ac:dyDescent="0.2">
      <c r="A3836">
        <v>3829</v>
      </c>
      <c r="B3836">
        <v>3517</v>
      </c>
      <c r="C3836">
        <v>18</v>
      </c>
      <c r="D3836">
        <v>25.7</v>
      </c>
      <c r="E3836">
        <v>2.2999999999999998</v>
      </c>
    </row>
    <row r="3837" spans="1:5" x14ac:dyDescent="0.2">
      <c r="A3837">
        <v>3830</v>
      </c>
      <c r="B3837">
        <v>3521</v>
      </c>
      <c r="C3837">
        <v>19</v>
      </c>
      <c r="D3837">
        <v>25.3</v>
      </c>
      <c r="E3837">
        <v>2.4</v>
      </c>
    </row>
    <row r="3838" spans="1:5" x14ac:dyDescent="0.2">
      <c r="A3838">
        <v>3831</v>
      </c>
      <c r="B3838">
        <v>3524</v>
      </c>
      <c r="C3838">
        <v>19</v>
      </c>
      <c r="D3838">
        <v>25</v>
      </c>
      <c r="E3838">
        <v>2.4</v>
      </c>
    </row>
    <row r="3839" spans="1:5" x14ac:dyDescent="0.2">
      <c r="A3839">
        <v>3832</v>
      </c>
      <c r="B3839">
        <v>3528</v>
      </c>
      <c r="C3839">
        <v>19</v>
      </c>
      <c r="D3839">
        <v>24.7</v>
      </c>
      <c r="E3839">
        <v>2.4</v>
      </c>
    </row>
    <row r="3840" spans="1:5" x14ac:dyDescent="0.2">
      <c r="A3840">
        <v>3833</v>
      </c>
      <c r="B3840">
        <v>3531</v>
      </c>
      <c r="C3840">
        <v>19</v>
      </c>
      <c r="D3840">
        <v>24.4</v>
      </c>
      <c r="E3840">
        <v>2.4</v>
      </c>
    </row>
    <row r="3841" spans="1:5" x14ac:dyDescent="0.2">
      <c r="A3841">
        <v>3834</v>
      </c>
      <c r="B3841">
        <v>3534</v>
      </c>
      <c r="C3841">
        <v>18</v>
      </c>
      <c r="D3841">
        <v>24.1</v>
      </c>
      <c r="E3841">
        <v>2.2999999999999998</v>
      </c>
    </row>
    <row r="3842" spans="1:5" x14ac:dyDescent="0.2">
      <c r="A3842">
        <v>3835</v>
      </c>
      <c r="B3842">
        <v>3538</v>
      </c>
      <c r="C3842">
        <v>18</v>
      </c>
      <c r="D3842">
        <v>23.8</v>
      </c>
      <c r="E3842">
        <v>2.2999999999999998</v>
      </c>
    </row>
    <row r="3843" spans="1:5" x14ac:dyDescent="0.2">
      <c r="A3843">
        <v>3836</v>
      </c>
      <c r="B3843">
        <v>3541</v>
      </c>
      <c r="C3843">
        <v>18</v>
      </c>
      <c r="D3843">
        <v>23.5</v>
      </c>
      <c r="E3843">
        <v>2.2999999999999998</v>
      </c>
    </row>
    <row r="3844" spans="1:5" x14ac:dyDescent="0.2">
      <c r="A3844">
        <v>3837</v>
      </c>
      <c r="B3844">
        <v>3544</v>
      </c>
      <c r="C3844">
        <v>17</v>
      </c>
      <c r="D3844">
        <v>23.2</v>
      </c>
      <c r="E3844">
        <v>2.2000000000000002</v>
      </c>
    </row>
    <row r="3845" spans="1:5" x14ac:dyDescent="0.2">
      <c r="A3845">
        <v>3838</v>
      </c>
      <c r="B3845">
        <v>3547</v>
      </c>
      <c r="C3845">
        <v>17</v>
      </c>
      <c r="D3845">
        <v>23</v>
      </c>
      <c r="E3845">
        <v>2.2000000000000002</v>
      </c>
    </row>
    <row r="3846" spans="1:5" x14ac:dyDescent="0.2">
      <c r="A3846">
        <v>3839</v>
      </c>
      <c r="B3846">
        <v>3549</v>
      </c>
      <c r="C3846">
        <v>17</v>
      </c>
      <c r="D3846">
        <v>22.8</v>
      </c>
      <c r="E3846">
        <v>2.2000000000000002</v>
      </c>
    </row>
    <row r="3847" spans="1:5" x14ac:dyDescent="0.2">
      <c r="A3847">
        <v>3840</v>
      </c>
      <c r="B3847">
        <v>3552</v>
      </c>
      <c r="C3847">
        <v>17</v>
      </c>
      <c r="D3847">
        <v>22.6</v>
      </c>
      <c r="E3847">
        <v>2.2000000000000002</v>
      </c>
    </row>
    <row r="3848" spans="1:5" x14ac:dyDescent="0.2">
      <c r="A3848">
        <v>3841</v>
      </c>
      <c r="B3848">
        <v>3554</v>
      </c>
      <c r="C3848">
        <v>17</v>
      </c>
      <c r="D3848">
        <v>22.4</v>
      </c>
      <c r="E3848">
        <v>2.2000000000000002</v>
      </c>
    </row>
    <row r="3849" spans="1:5" x14ac:dyDescent="0.2">
      <c r="A3849">
        <v>3842</v>
      </c>
      <c r="B3849">
        <v>3557</v>
      </c>
      <c r="C3849">
        <v>17</v>
      </c>
      <c r="D3849">
        <v>22.2</v>
      </c>
      <c r="E3849">
        <v>2.2000000000000002</v>
      </c>
    </row>
    <row r="3850" spans="1:5" x14ac:dyDescent="0.2">
      <c r="A3850">
        <v>3843</v>
      </c>
      <c r="B3850">
        <v>3559</v>
      </c>
      <c r="C3850">
        <v>17</v>
      </c>
      <c r="D3850">
        <v>22.1</v>
      </c>
      <c r="E3850">
        <v>2.2000000000000002</v>
      </c>
    </row>
    <row r="3851" spans="1:5" x14ac:dyDescent="0.2">
      <c r="A3851">
        <v>3844</v>
      </c>
      <c r="B3851">
        <v>3561</v>
      </c>
      <c r="C3851">
        <v>18</v>
      </c>
      <c r="D3851">
        <v>22</v>
      </c>
      <c r="E3851">
        <v>2.2999999999999998</v>
      </c>
    </row>
    <row r="3852" spans="1:5" x14ac:dyDescent="0.2">
      <c r="A3852">
        <v>3845</v>
      </c>
      <c r="B3852">
        <v>3562</v>
      </c>
      <c r="C3852">
        <v>18</v>
      </c>
      <c r="D3852">
        <v>21.9</v>
      </c>
      <c r="E3852">
        <v>2.2999999999999998</v>
      </c>
    </row>
    <row r="3853" spans="1:5" x14ac:dyDescent="0.2">
      <c r="A3853">
        <v>3846</v>
      </c>
      <c r="B3853">
        <v>3564</v>
      </c>
      <c r="C3853">
        <v>19</v>
      </c>
      <c r="D3853">
        <v>21.8</v>
      </c>
      <c r="E3853">
        <v>2.4</v>
      </c>
    </row>
    <row r="3854" spans="1:5" x14ac:dyDescent="0.2">
      <c r="A3854">
        <v>3847</v>
      </c>
      <c r="B3854">
        <v>3566</v>
      </c>
      <c r="C3854">
        <v>19</v>
      </c>
      <c r="D3854">
        <v>21.7</v>
      </c>
      <c r="E3854">
        <v>2.4</v>
      </c>
    </row>
    <row r="3855" spans="1:5" x14ac:dyDescent="0.2">
      <c r="A3855">
        <v>3848</v>
      </c>
      <c r="B3855">
        <v>3567</v>
      </c>
      <c r="C3855">
        <v>19</v>
      </c>
      <c r="D3855">
        <v>21.7</v>
      </c>
      <c r="E3855">
        <v>2.5</v>
      </c>
    </row>
    <row r="3856" spans="1:5" x14ac:dyDescent="0.2">
      <c r="A3856">
        <v>3849</v>
      </c>
      <c r="B3856">
        <v>3568</v>
      </c>
      <c r="C3856">
        <v>20</v>
      </c>
      <c r="D3856">
        <v>21.7</v>
      </c>
      <c r="E3856">
        <v>2.5</v>
      </c>
    </row>
    <row r="3857" spans="1:5" x14ac:dyDescent="0.2">
      <c r="A3857">
        <v>3850</v>
      </c>
      <c r="B3857">
        <v>3569</v>
      </c>
      <c r="C3857">
        <v>20</v>
      </c>
      <c r="D3857">
        <v>21.7</v>
      </c>
      <c r="E3857">
        <v>2.5</v>
      </c>
    </row>
    <row r="3858" spans="1:5" x14ac:dyDescent="0.2">
      <c r="A3858">
        <v>3851</v>
      </c>
      <c r="B3858">
        <v>3569</v>
      </c>
      <c r="C3858">
        <v>20</v>
      </c>
      <c r="D3858">
        <v>21.7</v>
      </c>
      <c r="E3858">
        <v>2.5</v>
      </c>
    </row>
    <row r="3859" spans="1:5" x14ac:dyDescent="0.2">
      <c r="A3859">
        <v>3852</v>
      </c>
      <c r="B3859">
        <v>3570</v>
      </c>
      <c r="C3859">
        <v>19</v>
      </c>
      <c r="D3859">
        <v>21.8</v>
      </c>
      <c r="E3859">
        <v>2.5</v>
      </c>
    </row>
    <row r="3860" spans="1:5" x14ac:dyDescent="0.2">
      <c r="A3860">
        <v>3853</v>
      </c>
      <c r="B3860">
        <v>3570</v>
      </c>
      <c r="C3860">
        <v>19</v>
      </c>
      <c r="D3860">
        <v>21.9</v>
      </c>
      <c r="E3860">
        <v>2.4</v>
      </c>
    </row>
    <row r="3861" spans="1:5" x14ac:dyDescent="0.2">
      <c r="A3861">
        <v>3854</v>
      </c>
      <c r="B3861">
        <v>3570</v>
      </c>
      <c r="C3861">
        <v>19</v>
      </c>
      <c r="D3861">
        <v>22</v>
      </c>
      <c r="E3861">
        <v>2.4</v>
      </c>
    </row>
    <row r="3862" spans="1:5" x14ac:dyDescent="0.2">
      <c r="A3862">
        <v>3855</v>
      </c>
      <c r="B3862">
        <v>3570</v>
      </c>
      <c r="C3862">
        <v>18</v>
      </c>
      <c r="D3862">
        <v>22.2</v>
      </c>
      <c r="E3862">
        <v>2.2999999999999998</v>
      </c>
    </row>
    <row r="3863" spans="1:5" x14ac:dyDescent="0.2">
      <c r="A3863">
        <v>3856</v>
      </c>
      <c r="B3863">
        <v>3570</v>
      </c>
      <c r="C3863">
        <v>18</v>
      </c>
      <c r="D3863">
        <v>22.3</v>
      </c>
      <c r="E3863">
        <v>2.2999999999999998</v>
      </c>
    </row>
    <row r="3864" spans="1:5" x14ac:dyDescent="0.2">
      <c r="A3864">
        <v>3857</v>
      </c>
      <c r="B3864">
        <v>3570</v>
      </c>
      <c r="C3864">
        <v>18</v>
      </c>
      <c r="D3864">
        <v>22.4</v>
      </c>
      <c r="E3864">
        <v>2.2999999999999998</v>
      </c>
    </row>
    <row r="3865" spans="1:5" x14ac:dyDescent="0.2">
      <c r="A3865">
        <v>3858</v>
      </c>
      <c r="B3865">
        <v>3569</v>
      </c>
      <c r="C3865">
        <v>18</v>
      </c>
      <c r="D3865">
        <v>22.6</v>
      </c>
      <c r="E3865">
        <v>2.2999999999999998</v>
      </c>
    </row>
    <row r="3866" spans="1:5" x14ac:dyDescent="0.2">
      <c r="A3866">
        <v>3859</v>
      </c>
      <c r="B3866">
        <v>3569</v>
      </c>
      <c r="C3866">
        <v>18</v>
      </c>
      <c r="D3866">
        <v>22.8</v>
      </c>
      <c r="E3866">
        <v>2.2999999999999998</v>
      </c>
    </row>
    <row r="3867" spans="1:5" x14ac:dyDescent="0.2">
      <c r="A3867">
        <v>3860</v>
      </c>
      <c r="B3867">
        <v>3568</v>
      </c>
      <c r="C3867">
        <v>18</v>
      </c>
      <c r="D3867">
        <v>22.9</v>
      </c>
      <c r="E3867">
        <v>2.2999999999999998</v>
      </c>
    </row>
    <row r="3868" spans="1:5" x14ac:dyDescent="0.2">
      <c r="A3868">
        <v>3861</v>
      </c>
      <c r="B3868">
        <v>3568</v>
      </c>
      <c r="C3868">
        <v>18</v>
      </c>
      <c r="D3868">
        <v>23.1</v>
      </c>
      <c r="E3868">
        <v>2.2999999999999998</v>
      </c>
    </row>
    <row r="3869" spans="1:5" x14ac:dyDescent="0.2">
      <c r="A3869">
        <v>3862</v>
      </c>
      <c r="B3869">
        <v>3568</v>
      </c>
      <c r="C3869">
        <v>19</v>
      </c>
      <c r="D3869">
        <v>23.3</v>
      </c>
      <c r="E3869">
        <v>2.4</v>
      </c>
    </row>
    <row r="3870" spans="1:5" x14ac:dyDescent="0.2">
      <c r="A3870">
        <v>3863</v>
      </c>
      <c r="B3870">
        <v>3568</v>
      </c>
      <c r="C3870">
        <v>19</v>
      </c>
      <c r="D3870">
        <v>23.4</v>
      </c>
      <c r="E3870">
        <v>2.4</v>
      </c>
    </row>
    <row r="3871" spans="1:5" x14ac:dyDescent="0.2">
      <c r="A3871">
        <v>3864</v>
      </c>
      <c r="B3871">
        <v>3567</v>
      </c>
      <c r="C3871">
        <v>19</v>
      </c>
      <c r="D3871">
        <v>23.6</v>
      </c>
      <c r="E3871">
        <v>2.5</v>
      </c>
    </row>
    <row r="3872" spans="1:5" x14ac:dyDescent="0.2">
      <c r="A3872">
        <v>3865</v>
      </c>
      <c r="B3872">
        <v>3567</v>
      </c>
      <c r="C3872">
        <v>20</v>
      </c>
      <c r="D3872">
        <v>23.7</v>
      </c>
      <c r="E3872">
        <v>2.5</v>
      </c>
    </row>
    <row r="3873" spans="1:5" x14ac:dyDescent="0.2">
      <c r="A3873">
        <v>3866</v>
      </c>
      <c r="B3873">
        <v>3567</v>
      </c>
      <c r="C3873">
        <v>20</v>
      </c>
      <c r="D3873">
        <v>23.8</v>
      </c>
      <c r="E3873">
        <v>2.5</v>
      </c>
    </row>
    <row r="3874" spans="1:5" x14ac:dyDescent="0.2">
      <c r="A3874">
        <v>3867</v>
      </c>
      <c r="B3874">
        <v>3567</v>
      </c>
      <c r="C3874">
        <v>20</v>
      </c>
      <c r="D3874">
        <v>23.9</v>
      </c>
      <c r="E3874">
        <v>2.5</v>
      </c>
    </row>
    <row r="3875" spans="1:5" x14ac:dyDescent="0.2">
      <c r="A3875">
        <v>3868</v>
      </c>
      <c r="B3875">
        <v>3568</v>
      </c>
      <c r="C3875">
        <v>19</v>
      </c>
      <c r="D3875">
        <v>24</v>
      </c>
      <c r="E3875">
        <v>2.5</v>
      </c>
    </row>
    <row r="3876" spans="1:5" x14ac:dyDescent="0.2">
      <c r="A3876">
        <v>3869</v>
      </c>
      <c r="B3876">
        <v>3568</v>
      </c>
      <c r="C3876">
        <v>19</v>
      </c>
      <c r="D3876">
        <v>24.1</v>
      </c>
      <c r="E3876">
        <v>2.4</v>
      </c>
    </row>
    <row r="3877" spans="1:5" x14ac:dyDescent="0.2">
      <c r="A3877">
        <v>3870</v>
      </c>
      <c r="B3877">
        <v>3569</v>
      </c>
      <c r="C3877">
        <v>18</v>
      </c>
      <c r="D3877">
        <v>24.1</v>
      </c>
      <c r="E3877">
        <v>2.2999999999999998</v>
      </c>
    </row>
    <row r="3878" spans="1:5" x14ac:dyDescent="0.2">
      <c r="A3878">
        <v>3871</v>
      </c>
      <c r="B3878">
        <v>3570</v>
      </c>
      <c r="C3878">
        <v>18</v>
      </c>
      <c r="D3878">
        <v>24.2</v>
      </c>
      <c r="E3878">
        <v>2.2999999999999998</v>
      </c>
    </row>
    <row r="3879" spans="1:5" x14ac:dyDescent="0.2">
      <c r="A3879">
        <v>3872</v>
      </c>
      <c r="B3879">
        <v>3570</v>
      </c>
      <c r="C3879">
        <v>17</v>
      </c>
      <c r="D3879">
        <v>24.2</v>
      </c>
      <c r="E3879">
        <v>2.2000000000000002</v>
      </c>
    </row>
    <row r="3880" spans="1:5" x14ac:dyDescent="0.2">
      <c r="A3880">
        <v>3873</v>
      </c>
      <c r="B3880">
        <v>3571</v>
      </c>
      <c r="C3880">
        <v>17</v>
      </c>
      <c r="D3880">
        <v>24.2</v>
      </c>
      <c r="E3880">
        <v>2.2000000000000002</v>
      </c>
    </row>
    <row r="3881" spans="1:5" x14ac:dyDescent="0.2">
      <c r="A3881">
        <v>3874</v>
      </c>
      <c r="B3881">
        <v>3572</v>
      </c>
      <c r="C3881">
        <v>17</v>
      </c>
      <c r="D3881">
        <v>24.2</v>
      </c>
      <c r="E3881">
        <v>2.1</v>
      </c>
    </row>
    <row r="3882" spans="1:5" x14ac:dyDescent="0.2">
      <c r="A3882">
        <v>3875</v>
      </c>
      <c r="B3882">
        <v>3573</v>
      </c>
      <c r="C3882">
        <v>16</v>
      </c>
      <c r="D3882">
        <v>24.2</v>
      </c>
      <c r="E3882">
        <v>2.1</v>
      </c>
    </row>
    <row r="3883" spans="1:5" x14ac:dyDescent="0.2">
      <c r="A3883">
        <v>3876</v>
      </c>
      <c r="B3883">
        <v>3574</v>
      </c>
      <c r="C3883">
        <v>16</v>
      </c>
      <c r="D3883">
        <v>24.2</v>
      </c>
      <c r="E3883">
        <v>2.1</v>
      </c>
    </row>
    <row r="3884" spans="1:5" x14ac:dyDescent="0.2">
      <c r="A3884">
        <v>3877</v>
      </c>
      <c r="B3884">
        <v>3576</v>
      </c>
      <c r="C3884">
        <v>16</v>
      </c>
      <c r="D3884">
        <v>24.1</v>
      </c>
      <c r="E3884">
        <v>2.1</v>
      </c>
    </row>
    <row r="3885" spans="1:5" x14ac:dyDescent="0.2">
      <c r="A3885">
        <v>3878</v>
      </c>
      <c r="B3885">
        <v>3577</v>
      </c>
      <c r="C3885">
        <v>16</v>
      </c>
      <c r="D3885">
        <v>24.1</v>
      </c>
      <c r="E3885">
        <v>2</v>
      </c>
    </row>
    <row r="3886" spans="1:5" x14ac:dyDescent="0.2">
      <c r="A3886">
        <v>3879</v>
      </c>
      <c r="B3886">
        <v>3578</v>
      </c>
      <c r="C3886">
        <v>16</v>
      </c>
      <c r="D3886">
        <v>24.1</v>
      </c>
      <c r="E3886">
        <v>2</v>
      </c>
    </row>
    <row r="3887" spans="1:5" x14ac:dyDescent="0.2">
      <c r="A3887">
        <v>3880</v>
      </c>
      <c r="B3887">
        <v>3579</v>
      </c>
      <c r="C3887">
        <v>16</v>
      </c>
      <c r="D3887">
        <v>24.1</v>
      </c>
      <c r="E3887">
        <v>2</v>
      </c>
    </row>
    <row r="3888" spans="1:5" x14ac:dyDescent="0.2">
      <c r="A3888">
        <v>3881</v>
      </c>
      <c r="B3888">
        <v>3580</v>
      </c>
      <c r="C3888">
        <v>16</v>
      </c>
      <c r="D3888">
        <v>24.1</v>
      </c>
      <c r="E3888">
        <v>2</v>
      </c>
    </row>
    <row r="3889" spans="1:5" x14ac:dyDescent="0.2">
      <c r="A3889">
        <v>3882</v>
      </c>
      <c r="B3889">
        <v>3581</v>
      </c>
      <c r="C3889">
        <v>15</v>
      </c>
      <c r="D3889">
        <v>24.1</v>
      </c>
      <c r="E3889">
        <v>1.9</v>
      </c>
    </row>
    <row r="3890" spans="1:5" x14ac:dyDescent="0.2">
      <c r="A3890">
        <v>3883</v>
      </c>
      <c r="B3890">
        <v>3582</v>
      </c>
      <c r="C3890">
        <v>15</v>
      </c>
      <c r="D3890">
        <v>24.1</v>
      </c>
      <c r="E3890">
        <v>1.9</v>
      </c>
    </row>
    <row r="3891" spans="1:5" x14ac:dyDescent="0.2">
      <c r="A3891">
        <v>3884</v>
      </c>
      <c r="B3891">
        <v>3583</v>
      </c>
      <c r="C3891">
        <v>15</v>
      </c>
      <c r="D3891">
        <v>24.1</v>
      </c>
      <c r="E3891">
        <v>1.9</v>
      </c>
    </row>
    <row r="3892" spans="1:5" x14ac:dyDescent="0.2">
      <c r="A3892">
        <v>3885</v>
      </c>
      <c r="B3892">
        <v>3584</v>
      </c>
      <c r="C3892">
        <v>14</v>
      </c>
      <c r="D3892">
        <v>24.1</v>
      </c>
      <c r="E3892">
        <v>1.8</v>
      </c>
    </row>
    <row r="3893" spans="1:5" x14ac:dyDescent="0.2">
      <c r="A3893">
        <v>3886</v>
      </c>
      <c r="B3893">
        <v>3585</v>
      </c>
      <c r="C3893">
        <v>14</v>
      </c>
      <c r="D3893">
        <v>24.1</v>
      </c>
      <c r="E3893">
        <v>1.8</v>
      </c>
    </row>
    <row r="3894" spans="1:5" x14ac:dyDescent="0.2">
      <c r="A3894">
        <v>3887</v>
      </c>
      <c r="B3894">
        <v>3586</v>
      </c>
      <c r="C3894">
        <v>15</v>
      </c>
      <c r="D3894">
        <v>24.1</v>
      </c>
      <c r="E3894">
        <v>1.9</v>
      </c>
    </row>
    <row r="3895" spans="1:5" x14ac:dyDescent="0.2">
      <c r="A3895">
        <v>3888</v>
      </c>
      <c r="B3895">
        <v>3587</v>
      </c>
      <c r="C3895">
        <v>15</v>
      </c>
      <c r="D3895">
        <v>24.1</v>
      </c>
      <c r="E3895">
        <v>1.9</v>
      </c>
    </row>
    <row r="3896" spans="1:5" x14ac:dyDescent="0.2">
      <c r="A3896">
        <v>3889</v>
      </c>
      <c r="B3896">
        <v>3588</v>
      </c>
      <c r="C3896">
        <v>16</v>
      </c>
      <c r="D3896">
        <v>24.1</v>
      </c>
      <c r="E3896">
        <v>2</v>
      </c>
    </row>
    <row r="3897" spans="1:5" x14ac:dyDescent="0.2">
      <c r="A3897">
        <v>3890</v>
      </c>
      <c r="B3897">
        <v>3589</v>
      </c>
      <c r="C3897">
        <v>16</v>
      </c>
      <c r="D3897">
        <v>24.1</v>
      </c>
      <c r="E3897">
        <v>2.1</v>
      </c>
    </row>
    <row r="3898" spans="1:5" x14ac:dyDescent="0.2">
      <c r="A3898">
        <v>3891</v>
      </c>
      <c r="B3898">
        <v>3590</v>
      </c>
      <c r="C3898">
        <v>16</v>
      </c>
      <c r="D3898">
        <v>24</v>
      </c>
      <c r="E3898">
        <v>2.1</v>
      </c>
    </row>
    <row r="3899" spans="1:5" x14ac:dyDescent="0.2">
      <c r="A3899">
        <v>3892</v>
      </c>
      <c r="B3899">
        <v>3592</v>
      </c>
      <c r="C3899">
        <v>17</v>
      </c>
      <c r="D3899">
        <v>23.9</v>
      </c>
      <c r="E3899">
        <v>2.1</v>
      </c>
    </row>
    <row r="3900" spans="1:5" x14ac:dyDescent="0.2">
      <c r="A3900">
        <v>3893</v>
      </c>
      <c r="B3900">
        <v>3593</v>
      </c>
      <c r="C3900">
        <v>17</v>
      </c>
      <c r="D3900">
        <v>23.9</v>
      </c>
      <c r="E3900">
        <v>2.1</v>
      </c>
    </row>
    <row r="3901" spans="1:5" x14ac:dyDescent="0.2">
      <c r="A3901">
        <v>3894</v>
      </c>
      <c r="B3901">
        <v>3595</v>
      </c>
      <c r="C3901">
        <v>16</v>
      </c>
      <c r="D3901">
        <v>23.8</v>
      </c>
      <c r="E3901">
        <v>2.1</v>
      </c>
    </row>
    <row r="3902" spans="1:5" x14ac:dyDescent="0.2">
      <c r="A3902">
        <v>3895</v>
      </c>
      <c r="B3902">
        <v>3597</v>
      </c>
      <c r="C3902">
        <v>16</v>
      </c>
      <c r="D3902">
        <v>23.7</v>
      </c>
      <c r="E3902">
        <v>2.1</v>
      </c>
    </row>
    <row r="3903" spans="1:5" x14ac:dyDescent="0.2">
      <c r="A3903">
        <v>3896</v>
      </c>
      <c r="B3903">
        <v>3599</v>
      </c>
      <c r="C3903">
        <v>16</v>
      </c>
      <c r="D3903">
        <v>23.6</v>
      </c>
      <c r="E3903">
        <v>2</v>
      </c>
    </row>
    <row r="3904" spans="1:5" x14ac:dyDescent="0.2">
      <c r="A3904">
        <v>3897</v>
      </c>
      <c r="B3904">
        <v>3600</v>
      </c>
      <c r="C3904">
        <v>16</v>
      </c>
      <c r="D3904">
        <v>23.5</v>
      </c>
      <c r="E3904">
        <v>2</v>
      </c>
    </row>
    <row r="3905" spans="1:5" x14ac:dyDescent="0.2">
      <c r="A3905">
        <v>3898</v>
      </c>
      <c r="B3905">
        <v>3602</v>
      </c>
      <c r="C3905">
        <v>16</v>
      </c>
      <c r="D3905">
        <v>23.3</v>
      </c>
      <c r="E3905">
        <v>2</v>
      </c>
    </row>
    <row r="3906" spans="1:5" x14ac:dyDescent="0.2">
      <c r="A3906">
        <v>3899</v>
      </c>
      <c r="B3906">
        <v>3604</v>
      </c>
      <c r="C3906">
        <v>16</v>
      </c>
      <c r="D3906">
        <v>23.2</v>
      </c>
      <c r="E3906">
        <v>2</v>
      </c>
    </row>
    <row r="3907" spans="1:5" x14ac:dyDescent="0.2">
      <c r="A3907">
        <v>3900</v>
      </c>
      <c r="B3907">
        <v>3606</v>
      </c>
      <c r="C3907">
        <v>16</v>
      </c>
      <c r="D3907">
        <v>23.1</v>
      </c>
      <c r="E3907">
        <v>2</v>
      </c>
    </row>
    <row r="3908" spans="1:5" x14ac:dyDescent="0.2">
      <c r="A3908">
        <v>3901</v>
      </c>
      <c r="B3908">
        <v>3607</v>
      </c>
      <c r="C3908">
        <v>16</v>
      </c>
      <c r="D3908">
        <v>23.1</v>
      </c>
      <c r="E3908">
        <v>2</v>
      </c>
    </row>
    <row r="3909" spans="1:5" x14ac:dyDescent="0.2">
      <c r="A3909">
        <v>3902</v>
      </c>
      <c r="B3909">
        <v>3609</v>
      </c>
      <c r="C3909">
        <v>16</v>
      </c>
      <c r="D3909">
        <v>23</v>
      </c>
      <c r="E3909">
        <v>2.1</v>
      </c>
    </row>
    <row r="3910" spans="1:5" x14ac:dyDescent="0.2">
      <c r="A3910">
        <v>3903</v>
      </c>
      <c r="B3910">
        <v>3611</v>
      </c>
      <c r="C3910">
        <v>16</v>
      </c>
      <c r="D3910">
        <v>22.9</v>
      </c>
      <c r="E3910">
        <v>2.1</v>
      </c>
    </row>
    <row r="3911" spans="1:5" x14ac:dyDescent="0.2">
      <c r="A3911">
        <v>3904</v>
      </c>
      <c r="B3911">
        <v>3612</v>
      </c>
      <c r="C3911">
        <v>16</v>
      </c>
      <c r="D3911">
        <v>22.8</v>
      </c>
      <c r="E3911">
        <v>2.1</v>
      </c>
    </row>
    <row r="3912" spans="1:5" x14ac:dyDescent="0.2">
      <c r="A3912">
        <v>3905</v>
      </c>
      <c r="B3912">
        <v>3613</v>
      </c>
      <c r="C3912">
        <v>16</v>
      </c>
      <c r="D3912">
        <v>22.8</v>
      </c>
      <c r="E3912">
        <v>2</v>
      </c>
    </row>
    <row r="3913" spans="1:5" x14ac:dyDescent="0.2">
      <c r="A3913">
        <v>3906</v>
      </c>
      <c r="B3913">
        <v>3614</v>
      </c>
      <c r="C3913">
        <v>16</v>
      </c>
      <c r="D3913">
        <v>22.8</v>
      </c>
      <c r="E3913">
        <v>2</v>
      </c>
    </row>
    <row r="3914" spans="1:5" x14ac:dyDescent="0.2">
      <c r="A3914">
        <v>3907</v>
      </c>
      <c r="B3914">
        <v>3615</v>
      </c>
      <c r="C3914">
        <v>16</v>
      </c>
      <c r="D3914">
        <v>22.8</v>
      </c>
      <c r="E3914">
        <v>2</v>
      </c>
    </row>
    <row r="3915" spans="1:5" x14ac:dyDescent="0.2">
      <c r="A3915">
        <v>3908</v>
      </c>
      <c r="B3915">
        <v>3616</v>
      </c>
      <c r="C3915">
        <v>16</v>
      </c>
      <c r="D3915">
        <v>22.8</v>
      </c>
      <c r="E3915">
        <v>2</v>
      </c>
    </row>
    <row r="3916" spans="1:5" x14ac:dyDescent="0.2">
      <c r="A3916">
        <v>3909</v>
      </c>
      <c r="B3916">
        <v>3617</v>
      </c>
      <c r="C3916">
        <v>16</v>
      </c>
      <c r="D3916">
        <v>22.9</v>
      </c>
      <c r="E3916">
        <v>2</v>
      </c>
    </row>
    <row r="3917" spans="1:5" x14ac:dyDescent="0.2">
      <c r="A3917">
        <v>3910</v>
      </c>
      <c r="B3917">
        <v>3617</v>
      </c>
      <c r="C3917">
        <v>16</v>
      </c>
      <c r="D3917">
        <v>23</v>
      </c>
      <c r="E3917">
        <v>2.1</v>
      </c>
    </row>
    <row r="3918" spans="1:5" x14ac:dyDescent="0.2">
      <c r="A3918">
        <v>3911</v>
      </c>
      <c r="B3918">
        <v>3617</v>
      </c>
      <c r="C3918">
        <v>17</v>
      </c>
      <c r="D3918">
        <v>23.1</v>
      </c>
      <c r="E3918">
        <v>2.1</v>
      </c>
    </row>
    <row r="3919" spans="1:5" x14ac:dyDescent="0.2">
      <c r="A3919">
        <v>3912</v>
      </c>
      <c r="B3919">
        <v>3617</v>
      </c>
      <c r="C3919">
        <v>17</v>
      </c>
      <c r="D3919">
        <v>23.2</v>
      </c>
      <c r="E3919">
        <v>2.2000000000000002</v>
      </c>
    </row>
    <row r="3920" spans="1:5" x14ac:dyDescent="0.2">
      <c r="A3920">
        <v>3913</v>
      </c>
      <c r="B3920">
        <v>3617</v>
      </c>
      <c r="C3920">
        <v>17</v>
      </c>
      <c r="D3920">
        <v>23.3</v>
      </c>
      <c r="E3920">
        <v>2.2000000000000002</v>
      </c>
    </row>
    <row r="3921" spans="1:5" x14ac:dyDescent="0.2">
      <c r="A3921">
        <v>3914</v>
      </c>
      <c r="B3921">
        <v>3617</v>
      </c>
      <c r="C3921">
        <v>17</v>
      </c>
      <c r="D3921">
        <v>23.5</v>
      </c>
      <c r="E3921">
        <v>2.2000000000000002</v>
      </c>
    </row>
    <row r="3922" spans="1:5" x14ac:dyDescent="0.2">
      <c r="A3922">
        <v>3915</v>
      </c>
      <c r="B3922">
        <v>3617</v>
      </c>
      <c r="C3922">
        <v>17</v>
      </c>
      <c r="D3922">
        <v>23.6</v>
      </c>
      <c r="E3922">
        <v>2.1</v>
      </c>
    </row>
    <row r="3923" spans="1:5" x14ac:dyDescent="0.2">
      <c r="A3923">
        <v>3916</v>
      </c>
      <c r="B3923">
        <v>3616</v>
      </c>
      <c r="C3923">
        <v>16</v>
      </c>
      <c r="D3923">
        <v>23.8</v>
      </c>
      <c r="E3923">
        <v>2.1</v>
      </c>
    </row>
    <row r="3924" spans="1:5" x14ac:dyDescent="0.2">
      <c r="A3924">
        <v>3917</v>
      </c>
      <c r="B3924">
        <v>3616</v>
      </c>
      <c r="C3924">
        <v>16</v>
      </c>
      <c r="D3924">
        <v>23.9</v>
      </c>
      <c r="E3924">
        <v>2.1</v>
      </c>
    </row>
    <row r="3925" spans="1:5" x14ac:dyDescent="0.2">
      <c r="A3925">
        <v>3918</v>
      </c>
      <c r="B3925">
        <v>3616</v>
      </c>
      <c r="C3925">
        <v>16</v>
      </c>
      <c r="D3925">
        <v>24.1</v>
      </c>
      <c r="E3925">
        <v>2</v>
      </c>
    </row>
    <row r="3926" spans="1:5" x14ac:dyDescent="0.2">
      <c r="A3926">
        <v>3919</v>
      </c>
      <c r="B3926">
        <v>3616</v>
      </c>
      <c r="C3926">
        <v>16</v>
      </c>
      <c r="D3926">
        <v>24.2</v>
      </c>
      <c r="E3926">
        <v>2</v>
      </c>
    </row>
    <row r="3927" spans="1:5" x14ac:dyDescent="0.2">
      <c r="A3927">
        <v>3920</v>
      </c>
      <c r="B3927">
        <v>3616</v>
      </c>
      <c r="C3927">
        <v>16</v>
      </c>
      <c r="D3927">
        <v>24.3</v>
      </c>
      <c r="E3927">
        <v>2</v>
      </c>
    </row>
    <row r="3928" spans="1:5" x14ac:dyDescent="0.2">
      <c r="A3928">
        <v>3921</v>
      </c>
      <c r="B3928">
        <v>3617</v>
      </c>
      <c r="C3928">
        <v>16</v>
      </c>
      <c r="D3928">
        <v>24.3</v>
      </c>
      <c r="E3928">
        <v>2</v>
      </c>
    </row>
    <row r="3929" spans="1:5" x14ac:dyDescent="0.2">
      <c r="A3929">
        <v>3922</v>
      </c>
      <c r="B3929">
        <v>3618</v>
      </c>
      <c r="C3929">
        <v>16</v>
      </c>
      <c r="D3929">
        <v>24.4</v>
      </c>
      <c r="E3929">
        <v>2</v>
      </c>
    </row>
    <row r="3930" spans="1:5" x14ac:dyDescent="0.2">
      <c r="A3930">
        <v>3923</v>
      </c>
      <c r="B3930">
        <v>3619</v>
      </c>
      <c r="C3930">
        <v>16</v>
      </c>
      <c r="D3930">
        <v>24.3</v>
      </c>
      <c r="E3930">
        <v>2</v>
      </c>
    </row>
    <row r="3931" spans="1:5" x14ac:dyDescent="0.2">
      <c r="A3931">
        <v>3924</v>
      </c>
      <c r="B3931">
        <v>3621</v>
      </c>
      <c r="C3931">
        <v>16</v>
      </c>
      <c r="D3931">
        <v>24.2</v>
      </c>
      <c r="E3931">
        <v>2.1</v>
      </c>
    </row>
    <row r="3932" spans="1:5" x14ac:dyDescent="0.2">
      <c r="A3932">
        <v>3925</v>
      </c>
      <c r="B3932">
        <v>3623</v>
      </c>
      <c r="C3932">
        <v>16</v>
      </c>
      <c r="D3932">
        <v>24.1</v>
      </c>
      <c r="E3932">
        <v>2.1</v>
      </c>
    </row>
    <row r="3933" spans="1:5" x14ac:dyDescent="0.2">
      <c r="A3933">
        <v>3926</v>
      </c>
      <c r="B3933">
        <v>3625</v>
      </c>
      <c r="C3933">
        <v>16</v>
      </c>
      <c r="D3933">
        <v>23.9</v>
      </c>
      <c r="E3933">
        <v>2</v>
      </c>
    </row>
    <row r="3934" spans="1:5" x14ac:dyDescent="0.2">
      <c r="A3934">
        <v>3927</v>
      </c>
      <c r="B3934">
        <v>3628</v>
      </c>
      <c r="C3934">
        <v>16</v>
      </c>
      <c r="D3934">
        <v>23.6</v>
      </c>
      <c r="E3934">
        <v>2</v>
      </c>
    </row>
    <row r="3935" spans="1:5" x14ac:dyDescent="0.2">
      <c r="A3935">
        <v>3928</v>
      </c>
      <c r="B3935">
        <v>3631</v>
      </c>
      <c r="C3935">
        <v>16</v>
      </c>
      <c r="D3935">
        <v>23.3</v>
      </c>
      <c r="E3935">
        <v>2</v>
      </c>
    </row>
    <row r="3936" spans="1:5" x14ac:dyDescent="0.2">
      <c r="A3936">
        <v>3929</v>
      </c>
      <c r="B3936">
        <v>3635</v>
      </c>
      <c r="C3936">
        <v>16</v>
      </c>
      <c r="D3936">
        <v>23</v>
      </c>
      <c r="E3936">
        <v>2</v>
      </c>
    </row>
    <row r="3937" spans="1:5" x14ac:dyDescent="0.2">
      <c r="A3937">
        <v>3930</v>
      </c>
      <c r="B3937">
        <v>3638</v>
      </c>
      <c r="C3937">
        <v>16</v>
      </c>
      <c r="D3937">
        <v>22.8</v>
      </c>
      <c r="E3937">
        <v>2</v>
      </c>
    </row>
    <row r="3938" spans="1:5" x14ac:dyDescent="0.2">
      <c r="A3938">
        <v>3931</v>
      </c>
      <c r="B3938">
        <v>3641</v>
      </c>
      <c r="C3938">
        <v>16</v>
      </c>
      <c r="D3938">
        <v>22.4</v>
      </c>
      <c r="E3938">
        <v>2</v>
      </c>
    </row>
    <row r="3939" spans="1:5" x14ac:dyDescent="0.2">
      <c r="A3939">
        <v>3932</v>
      </c>
      <c r="B3939">
        <v>3644</v>
      </c>
      <c r="C3939">
        <v>16</v>
      </c>
      <c r="D3939">
        <v>22.2</v>
      </c>
      <c r="E3939">
        <v>2</v>
      </c>
    </row>
    <row r="3940" spans="1:5" x14ac:dyDescent="0.2">
      <c r="A3940">
        <v>3933</v>
      </c>
      <c r="B3940">
        <v>3647</v>
      </c>
      <c r="C3940">
        <v>16</v>
      </c>
      <c r="D3940">
        <v>22</v>
      </c>
      <c r="E3940">
        <v>2.1</v>
      </c>
    </row>
    <row r="3941" spans="1:5" x14ac:dyDescent="0.2">
      <c r="A3941">
        <v>3934</v>
      </c>
      <c r="B3941">
        <v>3649</v>
      </c>
      <c r="C3941">
        <v>17</v>
      </c>
      <c r="D3941">
        <v>21.8</v>
      </c>
      <c r="E3941">
        <v>2.2000000000000002</v>
      </c>
    </row>
    <row r="3942" spans="1:5" x14ac:dyDescent="0.2">
      <c r="A3942">
        <v>3935</v>
      </c>
      <c r="B3942">
        <v>3651</v>
      </c>
      <c r="C3942">
        <v>17</v>
      </c>
      <c r="D3942">
        <v>21.7</v>
      </c>
      <c r="E3942">
        <v>2.2000000000000002</v>
      </c>
    </row>
    <row r="3943" spans="1:5" x14ac:dyDescent="0.2">
      <c r="A3943">
        <v>3936</v>
      </c>
      <c r="B3943">
        <v>3652</v>
      </c>
      <c r="C3943">
        <v>18</v>
      </c>
      <c r="D3943">
        <v>21.7</v>
      </c>
      <c r="E3943">
        <v>2.2000000000000002</v>
      </c>
    </row>
    <row r="3944" spans="1:5" x14ac:dyDescent="0.2">
      <c r="A3944">
        <v>3937</v>
      </c>
      <c r="B3944">
        <v>3652</v>
      </c>
      <c r="C3944">
        <v>18</v>
      </c>
      <c r="D3944">
        <v>21.8</v>
      </c>
      <c r="E3944">
        <v>2.2000000000000002</v>
      </c>
    </row>
    <row r="3945" spans="1:5" x14ac:dyDescent="0.2">
      <c r="A3945">
        <v>3938</v>
      </c>
      <c r="B3945">
        <v>3652</v>
      </c>
      <c r="C3945">
        <v>18</v>
      </c>
      <c r="D3945">
        <v>22</v>
      </c>
      <c r="E3945">
        <v>2.2000000000000002</v>
      </c>
    </row>
    <row r="3946" spans="1:5" x14ac:dyDescent="0.2">
      <c r="A3946">
        <v>3939</v>
      </c>
      <c r="B3946">
        <v>3651</v>
      </c>
      <c r="C3946">
        <v>17</v>
      </c>
      <c r="D3946">
        <v>22.3</v>
      </c>
      <c r="E3946">
        <v>2.2000000000000002</v>
      </c>
    </row>
    <row r="3947" spans="1:5" x14ac:dyDescent="0.2">
      <c r="A3947">
        <v>3940</v>
      </c>
      <c r="B3947">
        <v>3649</v>
      </c>
      <c r="C3947">
        <v>17</v>
      </c>
      <c r="D3947">
        <v>22.6</v>
      </c>
      <c r="E3947">
        <v>2.2000000000000002</v>
      </c>
    </row>
    <row r="3948" spans="1:5" x14ac:dyDescent="0.2">
      <c r="A3948">
        <v>3941</v>
      </c>
      <c r="B3948">
        <v>3646</v>
      </c>
      <c r="C3948">
        <v>17</v>
      </c>
      <c r="D3948">
        <v>23.1</v>
      </c>
      <c r="E3948">
        <v>2.1</v>
      </c>
    </row>
    <row r="3949" spans="1:5" x14ac:dyDescent="0.2">
      <c r="A3949">
        <v>3942</v>
      </c>
      <c r="B3949">
        <v>3644</v>
      </c>
      <c r="C3949">
        <v>16</v>
      </c>
      <c r="D3949">
        <v>23.5</v>
      </c>
      <c r="E3949">
        <v>2.1</v>
      </c>
    </row>
    <row r="3950" spans="1:5" x14ac:dyDescent="0.2">
      <c r="A3950">
        <v>3943</v>
      </c>
      <c r="B3950">
        <v>3641</v>
      </c>
      <c r="C3950">
        <v>16</v>
      </c>
      <c r="D3950">
        <v>24</v>
      </c>
      <c r="E3950">
        <v>2.1</v>
      </c>
    </row>
    <row r="3951" spans="1:5" x14ac:dyDescent="0.2">
      <c r="A3951">
        <v>3944</v>
      </c>
      <c r="B3951">
        <v>3637</v>
      </c>
      <c r="C3951">
        <v>16</v>
      </c>
      <c r="D3951">
        <v>24.6</v>
      </c>
      <c r="E3951">
        <v>2.1</v>
      </c>
    </row>
    <row r="3952" spans="1:5" x14ac:dyDescent="0.2">
      <c r="A3952">
        <v>3945</v>
      </c>
      <c r="B3952">
        <v>3634</v>
      </c>
      <c r="C3952">
        <v>16</v>
      </c>
      <c r="D3952">
        <v>25.1</v>
      </c>
      <c r="E3952">
        <v>2.1</v>
      </c>
    </row>
    <row r="3953" spans="1:5" x14ac:dyDescent="0.2">
      <c r="A3953">
        <v>3946</v>
      </c>
      <c r="B3953">
        <v>3631</v>
      </c>
      <c r="C3953">
        <v>17</v>
      </c>
      <c r="D3953">
        <v>25.7</v>
      </c>
      <c r="E3953">
        <v>2.1</v>
      </c>
    </row>
    <row r="3954" spans="1:5" x14ac:dyDescent="0.2">
      <c r="A3954">
        <v>3947</v>
      </c>
      <c r="B3954">
        <v>3627</v>
      </c>
      <c r="C3954">
        <v>17</v>
      </c>
      <c r="D3954">
        <v>26.2</v>
      </c>
      <c r="E3954">
        <v>2.1</v>
      </c>
    </row>
    <row r="3955" spans="1:5" x14ac:dyDescent="0.2">
      <c r="A3955">
        <v>3948</v>
      </c>
      <c r="B3955">
        <v>3624</v>
      </c>
      <c r="C3955">
        <v>17</v>
      </c>
      <c r="D3955">
        <v>26.7</v>
      </c>
      <c r="E3955">
        <v>2.2000000000000002</v>
      </c>
    </row>
    <row r="3956" spans="1:5" x14ac:dyDescent="0.2">
      <c r="A3956">
        <v>3949</v>
      </c>
      <c r="B3956">
        <v>3621</v>
      </c>
      <c r="C3956">
        <v>17</v>
      </c>
      <c r="D3956">
        <v>27.2</v>
      </c>
      <c r="E3956">
        <v>2.2000000000000002</v>
      </c>
    </row>
    <row r="3957" spans="1:5" x14ac:dyDescent="0.2">
      <c r="A3957">
        <v>3950</v>
      </c>
      <c r="B3957">
        <v>3619</v>
      </c>
      <c r="C3957">
        <v>17</v>
      </c>
      <c r="D3957">
        <v>27.6</v>
      </c>
      <c r="E3957">
        <v>2.2000000000000002</v>
      </c>
    </row>
    <row r="3958" spans="1:5" x14ac:dyDescent="0.2">
      <c r="A3958">
        <v>3951</v>
      </c>
      <c r="B3958">
        <v>3617</v>
      </c>
      <c r="C3958">
        <v>17</v>
      </c>
      <c r="D3958">
        <v>28</v>
      </c>
      <c r="E3958">
        <v>2.2000000000000002</v>
      </c>
    </row>
    <row r="3959" spans="1:5" x14ac:dyDescent="0.2">
      <c r="A3959">
        <v>3952</v>
      </c>
      <c r="B3959">
        <v>3616</v>
      </c>
      <c r="C3959">
        <v>17</v>
      </c>
      <c r="D3959">
        <v>28.3</v>
      </c>
      <c r="E3959">
        <v>2.1</v>
      </c>
    </row>
    <row r="3960" spans="1:5" x14ac:dyDescent="0.2">
      <c r="A3960">
        <v>3953</v>
      </c>
      <c r="B3960">
        <v>3615</v>
      </c>
      <c r="C3960">
        <v>16</v>
      </c>
      <c r="D3960">
        <v>28.5</v>
      </c>
      <c r="E3960">
        <v>2.1</v>
      </c>
    </row>
    <row r="3961" spans="1:5" x14ac:dyDescent="0.2">
      <c r="A3961">
        <v>3954</v>
      </c>
      <c r="B3961">
        <v>3615</v>
      </c>
      <c r="C3961">
        <v>16</v>
      </c>
      <c r="D3961">
        <v>28.7</v>
      </c>
      <c r="E3961">
        <v>2.1</v>
      </c>
    </row>
    <row r="3962" spans="1:5" x14ac:dyDescent="0.2">
      <c r="A3962">
        <v>3955</v>
      </c>
      <c r="B3962">
        <v>3615</v>
      </c>
      <c r="C3962">
        <v>16</v>
      </c>
      <c r="D3962">
        <v>28.8</v>
      </c>
      <c r="E3962">
        <v>2.1</v>
      </c>
    </row>
    <row r="3963" spans="1:5" x14ac:dyDescent="0.2">
      <c r="A3963">
        <v>3956</v>
      </c>
      <c r="B3963">
        <v>3615</v>
      </c>
      <c r="C3963">
        <v>17</v>
      </c>
      <c r="D3963">
        <v>28.9</v>
      </c>
      <c r="E3963">
        <v>2.1</v>
      </c>
    </row>
    <row r="3964" spans="1:5" x14ac:dyDescent="0.2">
      <c r="A3964">
        <v>3957</v>
      </c>
      <c r="B3964">
        <v>3616</v>
      </c>
      <c r="C3964">
        <v>17</v>
      </c>
      <c r="D3964">
        <v>29</v>
      </c>
      <c r="E3964">
        <v>2.1</v>
      </c>
    </row>
    <row r="3965" spans="1:5" x14ac:dyDescent="0.2">
      <c r="A3965">
        <v>3958</v>
      </c>
      <c r="B3965">
        <v>3617</v>
      </c>
      <c r="C3965">
        <v>17</v>
      </c>
      <c r="D3965">
        <v>29</v>
      </c>
      <c r="E3965">
        <v>2.2000000000000002</v>
      </c>
    </row>
    <row r="3966" spans="1:5" x14ac:dyDescent="0.2">
      <c r="A3966">
        <v>3959</v>
      </c>
      <c r="B3966">
        <v>3618</v>
      </c>
      <c r="C3966">
        <v>17</v>
      </c>
      <c r="D3966">
        <v>29</v>
      </c>
      <c r="E3966">
        <v>2.1</v>
      </c>
    </row>
    <row r="3967" spans="1:5" x14ac:dyDescent="0.2">
      <c r="A3967">
        <v>3960</v>
      </c>
      <c r="B3967">
        <v>3619</v>
      </c>
      <c r="C3967">
        <v>17</v>
      </c>
      <c r="D3967">
        <v>28.9</v>
      </c>
      <c r="E3967">
        <v>2.1</v>
      </c>
    </row>
    <row r="3968" spans="1:5" x14ac:dyDescent="0.2">
      <c r="A3968">
        <v>3961</v>
      </c>
      <c r="B3968">
        <v>3620</v>
      </c>
      <c r="C3968">
        <v>16</v>
      </c>
      <c r="D3968">
        <v>28.8</v>
      </c>
      <c r="E3968">
        <v>2.1</v>
      </c>
    </row>
    <row r="3969" spans="1:5" x14ac:dyDescent="0.2">
      <c r="A3969">
        <v>3962</v>
      </c>
      <c r="B3969">
        <v>3622</v>
      </c>
      <c r="C3969">
        <v>16</v>
      </c>
      <c r="D3969">
        <v>28.8</v>
      </c>
      <c r="E3969">
        <v>2.1</v>
      </c>
    </row>
    <row r="3970" spans="1:5" x14ac:dyDescent="0.2">
      <c r="A3970">
        <v>3963</v>
      </c>
      <c r="B3970">
        <v>3624</v>
      </c>
      <c r="C3970">
        <v>16</v>
      </c>
      <c r="D3970">
        <v>28.7</v>
      </c>
      <c r="E3970">
        <v>2</v>
      </c>
    </row>
    <row r="3971" spans="1:5" x14ac:dyDescent="0.2">
      <c r="A3971">
        <v>3964</v>
      </c>
      <c r="B3971">
        <v>3626</v>
      </c>
      <c r="C3971">
        <v>16</v>
      </c>
      <c r="D3971">
        <v>28.5</v>
      </c>
      <c r="E3971">
        <v>2</v>
      </c>
    </row>
    <row r="3972" spans="1:5" x14ac:dyDescent="0.2">
      <c r="A3972">
        <v>3965</v>
      </c>
      <c r="B3972">
        <v>3628</v>
      </c>
      <c r="C3972">
        <v>16</v>
      </c>
      <c r="D3972">
        <v>28.4</v>
      </c>
      <c r="E3972">
        <v>2.1</v>
      </c>
    </row>
    <row r="3973" spans="1:5" x14ac:dyDescent="0.2">
      <c r="A3973">
        <v>3966</v>
      </c>
      <c r="B3973">
        <v>3630</v>
      </c>
      <c r="C3973">
        <v>16</v>
      </c>
      <c r="D3973">
        <v>28.3</v>
      </c>
      <c r="E3973">
        <v>2.1</v>
      </c>
    </row>
    <row r="3974" spans="1:5" x14ac:dyDescent="0.2">
      <c r="A3974">
        <v>3967</v>
      </c>
      <c r="B3974">
        <v>3632</v>
      </c>
      <c r="C3974">
        <v>17</v>
      </c>
      <c r="D3974">
        <v>28.1</v>
      </c>
      <c r="E3974">
        <v>2.1</v>
      </c>
    </row>
    <row r="3975" spans="1:5" x14ac:dyDescent="0.2">
      <c r="A3975">
        <v>3968</v>
      </c>
      <c r="B3975">
        <v>3634</v>
      </c>
      <c r="C3975">
        <v>17</v>
      </c>
      <c r="D3975">
        <v>28</v>
      </c>
      <c r="E3975">
        <v>2.2000000000000002</v>
      </c>
    </row>
    <row r="3976" spans="1:5" x14ac:dyDescent="0.2">
      <c r="A3976">
        <v>3969</v>
      </c>
      <c r="B3976">
        <v>3636</v>
      </c>
      <c r="C3976">
        <v>17</v>
      </c>
      <c r="D3976">
        <v>27.9</v>
      </c>
      <c r="E3976">
        <v>2.2000000000000002</v>
      </c>
    </row>
    <row r="3977" spans="1:5" x14ac:dyDescent="0.2">
      <c r="A3977">
        <v>3970</v>
      </c>
      <c r="B3977">
        <v>3638</v>
      </c>
      <c r="C3977">
        <v>17</v>
      </c>
      <c r="D3977">
        <v>27.7</v>
      </c>
      <c r="E3977">
        <v>2.2000000000000002</v>
      </c>
    </row>
    <row r="3978" spans="1:5" x14ac:dyDescent="0.2">
      <c r="A3978">
        <v>3971</v>
      </c>
      <c r="B3978">
        <v>3640</v>
      </c>
      <c r="C3978">
        <v>17</v>
      </c>
      <c r="D3978">
        <v>27.6</v>
      </c>
      <c r="E3978">
        <v>2.2000000000000002</v>
      </c>
    </row>
    <row r="3979" spans="1:5" x14ac:dyDescent="0.2">
      <c r="A3979">
        <v>3972</v>
      </c>
      <c r="B3979">
        <v>3642</v>
      </c>
      <c r="C3979">
        <v>17</v>
      </c>
      <c r="D3979">
        <v>27.5</v>
      </c>
      <c r="E3979">
        <v>2.1</v>
      </c>
    </row>
    <row r="3980" spans="1:5" x14ac:dyDescent="0.2">
      <c r="A3980">
        <v>3973</v>
      </c>
      <c r="B3980">
        <v>3644</v>
      </c>
      <c r="C3980">
        <v>16</v>
      </c>
      <c r="D3980">
        <v>27.3</v>
      </c>
      <c r="E3980">
        <v>2.1</v>
      </c>
    </row>
    <row r="3981" spans="1:5" x14ac:dyDescent="0.2">
      <c r="A3981">
        <v>3974</v>
      </c>
      <c r="B3981">
        <v>3646</v>
      </c>
      <c r="C3981">
        <v>16</v>
      </c>
      <c r="D3981">
        <v>27.2</v>
      </c>
      <c r="E3981">
        <v>2.1</v>
      </c>
    </row>
    <row r="3982" spans="1:5" x14ac:dyDescent="0.2">
      <c r="A3982">
        <v>3975</v>
      </c>
      <c r="B3982">
        <v>3648</v>
      </c>
      <c r="C3982">
        <v>16</v>
      </c>
      <c r="D3982">
        <v>27.1</v>
      </c>
      <c r="E3982">
        <v>2.1</v>
      </c>
    </row>
    <row r="3983" spans="1:5" x14ac:dyDescent="0.2">
      <c r="A3983">
        <v>3976</v>
      </c>
      <c r="B3983">
        <v>3650</v>
      </c>
      <c r="C3983">
        <v>16</v>
      </c>
      <c r="D3983">
        <v>26.9</v>
      </c>
      <c r="E3983">
        <v>2.1</v>
      </c>
    </row>
    <row r="3984" spans="1:5" x14ac:dyDescent="0.2">
      <c r="A3984">
        <v>3977</v>
      </c>
      <c r="B3984">
        <v>3653</v>
      </c>
      <c r="C3984">
        <v>16</v>
      </c>
      <c r="D3984">
        <v>26.7</v>
      </c>
      <c r="E3984">
        <v>2.1</v>
      </c>
    </row>
    <row r="3985" spans="1:5" x14ac:dyDescent="0.2">
      <c r="A3985">
        <v>3978</v>
      </c>
      <c r="B3985">
        <v>3655</v>
      </c>
      <c r="C3985">
        <v>17</v>
      </c>
      <c r="D3985">
        <v>26.5</v>
      </c>
      <c r="E3985">
        <v>2.1</v>
      </c>
    </row>
    <row r="3986" spans="1:5" x14ac:dyDescent="0.2">
      <c r="A3986">
        <v>3979</v>
      </c>
      <c r="B3986">
        <v>3658</v>
      </c>
      <c r="C3986">
        <v>16</v>
      </c>
      <c r="D3986">
        <v>26.2</v>
      </c>
      <c r="E3986">
        <v>2.1</v>
      </c>
    </row>
    <row r="3987" spans="1:5" x14ac:dyDescent="0.2">
      <c r="A3987">
        <v>3980</v>
      </c>
      <c r="B3987">
        <v>3662</v>
      </c>
      <c r="C3987">
        <v>16</v>
      </c>
      <c r="D3987">
        <v>26</v>
      </c>
      <c r="E3987">
        <v>2.1</v>
      </c>
    </row>
    <row r="3988" spans="1:5" x14ac:dyDescent="0.2">
      <c r="A3988">
        <v>3981</v>
      </c>
      <c r="B3988">
        <v>3665</v>
      </c>
      <c r="C3988">
        <v>16</v>
      </c>
      <c r="D3988">
        <v>25.7</v>
      </c>
      <c r="E3988">
        <v>2</v>
      </c>
    </row>
    <row r="3989" spans="1:5" x14ac:dyDescent="0.2">
      <c r="A3989">
        <v>3982</v>
      </c>
      <c r="B3989">
        <v>3668</v>
      </c>
      <c r="C3989">
        <v>16</v>
      </c>
      <c r="D3989">
        <v>25.4</v>
      </c>
      <c r="E3989">
        <v>2</v>
      </c>
    </row>
    <row r="3990" spans="1:5" x14ac:dyDescent="0.2">
      <c r="A3990">
        <v>3983</v>
      </c>
      <c r="B3990">
        <v>3671</v>
      </c>
      <c r="C3990">
        <v>15</v>
      </c>
      <c r="D3990">
        <v>25.1</v>
      </c>
      <c r="E3990">
        <v>2</v>
      </c>
    </row>
    <row r="3991" spans="1:5" x14ac:dyDescent="0.2">
      <c r="A3991">
        <v>3984</v>
      </c>
      <c r="B3991">
        <v>3675</v>
      </c>
      <c r="C3991">
        <v>15</v>
      </c>
      <c r="D3991">
        <v>24.8</v>
      </c>
      <c r="E3991">
        <v>2</v>
      </c>
    </row>
    <row r="3992" spans="1:5" x14ac:dyDescent="0.2">
      <c r="A3992">
        <v>3985</v>
      </c>
      <c r="B3992">
        <v>3678</v>
      </c>
      <c r="C3992">
        <v>16</v>
      </c>
      <c r="D3992">
        <v>24.4</v>
      </c>
      <c r="E3992">
        <v>2</v>
      </c>
    </row>
    <row r="3993" spans="1:5" x14ac:dyDescent="0.2">
      <c r="A3993">
        <v>3986</v>
      </c>
      <c r="B3993">
        <v>3681</v>
      </c>
      <c r="C3993">
        <v>16</v>
      </c>
      <c r="D3993">
        <v>24.2</v>
      </c>
      <c r="E3993">
        <v>2</v>
      </c>
    </row>
    <row r="3994" spans="1:5" x14ac:dyDescent="0.2">
      <c r="A3994">
        <v>3987</v>
      </c>
      <c r="B3994">
        <v>3684</v>
      </c>
      <c r="C3994">
        <v>16</v>
      </c>
      <c r="D3994">
        <v>23.9</v>
      </c>
      <c r="E3994">
        <v>2.1</v>
      </c>
    </row>
    <row r="3995" spans="1:5" x14ac:dyDescent="0.2">
      <c r="A3995">
        <v>3988</v>
      </c>
      <c r="B3995">
        <v>3687</v>
      </c>
      <c r="C3995">
        <v>17</v>
      </c>
      <c r="D3995">
        <v>23.6</v>
      </c>
      <c r="E3995">
        <v>2.1</v>
      </c>
    </row>
    <row r="3996" spans="1:5" x14ac:dyDescent="0.2">
      <c r="A3996">
        <v>3989</v>
      </c>
      <c r="B3996">
        <v>3690</v>
      </c>
      <c r="C3996">
        <v>17</v>
      </c>
      <c r="D3996">
        <v>23.4</v>
      </c>
      <c r="E3996">
        <v>2.2000000000000002</v>
      </c>
    </row>
    <row r="3997" spans="1:5" x14ac:dyDescent="0.2">
      <c r="A3997">
        <v>3990</v>
      </c>
      <c r="B3997">
        <v>3692</v>
      </c>
      <c r="C3997">
        <v>17</v>
      </c>
      <c r="D3997">
        <v>23.2</v>
      </c>
      <c r="E3997">
        <v>2.2000000000000002</v>
      </c>
    </row>
    <row r="3998" spans="1:5" x14ac:dyDescent="0.2">
      <c r="A3998">
        <v>3991</v>
      </c>
      <c r="B3998">
        <v>3695</v>
      </c>
      <c r="C3998">
        <v>17</v>
      </c>
      <c r="D3998">
        <v>23.1</v>
      </c>
      <c r="E3998">
        <v>2.1</v>
      </c>
    </row>
    <row r="3999" spans="1:5" x14ac:dyDescent="0.2">
      <c r="A3999">
        <v>3992</v>
      </c>
      <c r="B3999">
        <v>3696</v>
      </c>
      <c r="C3999">
        <v>17</v>
      </c>
      <c r="D3999">
        <v>23</v>
      </c>
      <c r="E3999">
        <v>2.1</v>
      </c>
    </row>
    <row r="4000" spans="1:5" x14ac:dyDescent="0.2">
      <c r="A4000">
        <v>3993</v>
      </c>
      <c r="B4000">
        <v>3698</v>
      </c>
      <c r="C4000">
        <v>17</v>
      </c>
      <c r="D4000">
        <v>22.9</v>
      </c>
      <c r="E4000">
        <v>2.1</v>
      </c>
    </row>
    <row r="4001" spans="1:5" x14ac:dyDescent="0.2">
      <c r="A4001">
        <v>3994</v>
      </c>
      <c r="B4001">
        <v>3699</v>
      </c>
      <c r="C4001">
        <v>17</v>
      </c>
      <c r="D4001">
        <v>22.9</v>
      </c>
      <c r="E4001">
        <v>2.1</v>
      </c>
    </row>
    <row r="4002" spans="1:5" x14ac:dyDescent="0.2">
      <c r="A4002">
        <v>3995</v>
      </c>
      <c r="B4002">
        <v>3700</v>
      </c>
      <c r="C4002">
        <v>17</v>
      </c>
      <c r="D4002">
        <v>22.9</v>
      </c>
      <c r="E4002">
        <v>2.2000000000000002</v>
      </c>
    </row>
    <row r="4003" spans="1:5" x14ac:dyDescent="0.2">
      <c r="A4003">
        <v>3996</v>
      </c>
      <c r="B4003">
        <v>3702</v>
      </c>
      <c r="C4003">
        <v>17</v>
      </c>
      <c r="D4003">
        <v>22.8</v>
      </c>
      <c r="E4003">
        <v>2.2000000000000002</v>
      </c>
    </row>
    <row r="4004" spans="1:5" x14ac:dyDescent="0.2">
      <c r="A4004">
        <v>3997</v>
      </c>
      <c r="B4004">
        <v>3702</v>
      </c>
      <c r="C4004">
        <v>17</v>
      </c>
      <c r="D4004">
        <v>22.8</v>
      </c>
      <c r="E4004">
        <v>2.2000000000000002</v>
      </c>
    </row>
    <row r="4005" spans="1:5" x14ac:dyDescent="0.2">
      <c r="A4005">
        <v>3998</v>
      </c>
      <c r="B4005">
        <v>3703</v>
      </c>
      <c r="C4005">
        <v>17</v>
      </c>
      <c r="D4005">
        <v>22.9</v>
      </c>
      <c r="E4005">
        <v>2.2000000000000002</v>
      </c>
    </row>
    <row r="4006" spans="1:5" x14ac:dyDescent="0.2">
      <c r="A4006">
        <v>3999</v>
      </c>
      <c r="B4006">
        <v>3704</v>
      </c>
      <c r="C4006">
        <v>17</v>
      </c>
      <c r="D4006">
        <v>22.9</v>
      </c>
      <c r="E4006">
        <v>2.2000000000000002</v>
      </c>
    </row>
    <row r="4007" spans="1:5" x14ac:dyDescent="0.2">
      <c r="A4007">
        <v>4000</v>
      </c>
      <c r="B4007">
        <v>3705</v>
      </c>
      <c r="C4007">
        <v>17</v>
      </c>
      <c r="D4007">
        <v>22.9</v>
      </c>
      <c r="E4007">
        <v>2.1</v>
      </c>
    </row>
    <row r="4008" spans="1:5" x14ac:dyDescent="0.2">
      <c r="A4008">
        <v>4001</v>
      </c>
      <c r="B4008">
        <v>3706</v>
      </c>
      <c r="C4008">
        <v>16</v>
      </c>
      <c r="D4008">
        <v>22.9</v>
      </c>
      <c r="E4008">
        <v>2.1</v>
      </c>
    </row>
    <row r="4009" spans="1:5" x14ac:dyDescent="0.2">
      <c r="A4009">
        <v>4002</v>
      </c>
      <c r="B4009">
        <v>3706</v>
      </c>
      <c r="C4009">
        <v>16</v>
      </c>
      <c r="D4009">
        <v>23</v>
      </c>
      <c r="E4009">
        <v>2</v>
      </c>
    </row>
    <row r="4010" spans="1:5" x14ac:dyDescent="0.2">
      <c r="A4010">
        <v>4003</v>
      </c>
      <c r="B4010">
        <v>3707</v>
      </c>
      <c r="C4010">
        <v>16</v>
      </c>
      <c r="D4010">
        <v>23</v>
      </c>
      <c r="E4010">
        <v>2</v>
      </c>
    </row>
    <row r="4011" spans="1:5" x14ac:dyDescent="0.2">
      <c r="A4011">
        <v>4004</v>
      </c>
      <c r="B4011">
        <v>3708</v>
      </c>
      <c r="C4011">
        <v>16</v>
      </c>
      <c r="D4011">
        <v>23</v>
      </c>
      <c r="E4011">
        <v>2</v>
      </c>
    </row>
    <row r="4012" spans="1:5" x14ac:dyDescent="0.2">
      <c r="A4012">
        <v>4005</v>
      </c>
      <c r="B4012">
        <v>3708</v>
      </c>
      <c r="C4012">
        <v>16</v>
      </c>
      <c r="D4012">
        <v>23.1</v>
      </c>
      <c r="E4012">
        <v>2</v>
      </c>
    </row>
    <row r="4013" spans="1:5" x14ac:dyDescent="0.2">
      <c r="A4013">
        <v>4006</v>
      </c>
      <c r="B4013">
        <v>3709</v>
      </c>
      <c r="C4013">
        <v>16</v>
      </c>
      <c r="D4013">
        <v>23.1</v>
      </c>
      <c r="E4013">
        <v>2</v>
      </c>
    </row>
    <row r="4014" spans="1:5" x14ac:dyDescent="0.2">
      <c r="A4014">
        <v>4007</v>
      </c>
      <c r="B4014">
        <v>3710</v>
      </c>
      <c r="C4014">
        <v>16</v>
      </c>
      <c r="D4014">
        <v>23.1</v>
      </c>
      <c r="E4014">
        <v>2.1</v>
      </c>
    </row>
    <row r="4015" spans="1:5" x14ac:dyDescent="0.2">
      <c r="A4015">
        <v>4008</v>
      </c>
      <c r="B4015">
        <v>3710</v>
      </c>
      <c r="C4015">
        <v>16</v>
      </c>
      <c r="D4015">
        <v>23.2</v>
      </c>
      <c r="E4015">
        <v>2.1</v>
      </c>
    </row>
    <row r="4016" spans="1:5" x14ac:dyDescent="0.2">
      <c r="A4016">
        <v>4009</v>
      </c>
      <c r="B4016">
        <v>3711</v>
      </c>
      <c r="C4016">
        <v>17</v>
      </c>
      <c r="D4016">
        <v>23.2</v>
      </c>
      <c r="E4016">
        <v>2.1</v>
      </c>
    </row>
    <row r="4017" spans="1:5" x14ac:dyDescent="0.2">
      <c r="A4017">
        <v>4010</v>
      </c>
      <c r="B4017">
        <v>3712</v>
      </c>
      <c r="C4017">
        <v>17</v>
      </c>
      <c r="D4017">
        <v>23.2</v>
      </c>
      <c r="E4017">
        <v>2.1</v>
      </c>
    </row>
    <row r="4018" spans="1:5" x14ac:dyDescent="0.2">
      <c r="A4018">
        <v>4011</v>
      </c>
      <c r="B4018">
        <v>3713</v>
      </c>
      <c r="C4018">
        <v>17</v>
      </c>
      <c r="D4018">
        <v>23.3</v>
      </c>
      <c r="E4018">
        <v>2.1</v>
      </c>
    </row>
    <row r="4019" spans="1:5" x14ac:dyDescent="0.2">
      <c r="A4019">
        <v>4012</v>
      </c>
      <c r="B4019">
        <v>3714</v>
      </c>
      <c r="C4019">
        <v>16</v>
      </c>
      <c r="D4019">
        <v>23.3</v>
      </c>
      <c r="E4019">
        <v>2.1</v>
      </c>
    </row>
    <row r="4020" spans="1:5" x14ac:dyDescent="0.2">
      <c r="A4020">
        <v>4013</v>
      </c>
      <c r="B4020">
        <v>3714</v>
      </c>
      <c r="C4020">
        <v>17</v>
      </c>
      <c r="D4020">
        <v>23.3</v>
      </c>
      <c r="E4020">
        <v>2.1</v>
      </c>
    </row>
    <row r="4021" spans="1:5" x14ac:dyDescent="0.2">
      <c r="A4021">
        <v>4014</v>
      </c>
      <c r="B4021">
        <v>3715</v>
      </c>
      <c r="C4021">
        <v>17</v>
      </c>
      <c r="D4021">
        <v>23.3</v>
      </c>
      <c r="E4021">
        <v>2.1</v>
      </c>
    </row>
    <row r="4022" spans="1:5" x14ac:dyDescent="0.2">
      <c r="A4022">
        <v>4015</v>
      </c>
      <c r="B4022">
        <v>3716</v>
      </c>
      <c r="C4022">
        <v>17</v>
      </c>
      <c r="D4022">
        <v>23.4</v>
      </c>
      <c r="E4022">
        <v>2.2000000000000002</v>
      </c>
    </row>
    <row r="4023" spans="1:5" x14ac:dyDescent="0.2">
      <c r="A4023">
        <v>4016</v>
      </c>
      <c r="B4023">
        <v>3717</v>
      </c>
      <c r="C4023">
        <v>17</v>
      </c>
      <c r="D4023">
        <v>23.4</v>
      </c>
      <c r="E4023">
        <v>2.2000000000000002</v>
      </c>
    </row>
    <row r="4024" spans="1:5" x14ac:dyDescent="0.2">
      <c r="A4024">
        <v>4017</v>
      </c>
      <c r="B4024">
        <v>3717</v>
      </c>
      <c r="C4024">
        <v>17</v>
      </c>
      <c r="D4024">
        <v>23.4</v>
      </c>
      <c r="E4024">
        <v>2.2000000000000002</v>
      </c>
    </row>
    <row r="4025" spans="1:5" x14ac:dyDescent="0.2">
      <c r="A4025">
        <v>4018</v>
      </c>
      <c r="B4025">
        <v>3717</v>
      </c>
      <c r="C4025">
        <v>17</v>
      </c>
      <c r="D4025">
        <v>23.5</v>
      </c>
      <c r="E4025">
        <v>2.2000000000000002</v>
      </c>
    </row>
    <row r="4026" spans="1:5" x14ac:dyDescent="0.2">
      <c r="A4026">
        <v>4019</v>
      </c>
      <c r="B4026">
        <v>3718</v>
      </c>
      <c r="C4026">
        <v>17</v>
      </c>
      <c r="D4026">
        <v>23.6</v>
      </c>
      <c r="E4026">
        <v>2.2000000000000002</v>
      </c>
    </row>
    <row r="4027" spans="1:5" x14ac:dyDescent="0.2">
      <c r="A4027">
        <v>4020</v>
      </c>
      <c r="B4027">
        <v>3718</v>
      </c>
      <c r="C4027">
        <v>17</v>
      </c>
      <c r="D4027">
        <v>23.7</v>
      </c>
      <c r="E4027">
        <v>2.1</v>
      </c>
    </row>
    <row r="4028" spans="1:5" x14ac:dyDescent="0.2">
      <c r="A4028">
        <v>4021</v>
      </c>
      <c r="B4028">
        <v>3718</v>
      </c>
      <c r="C4028">
        <v>16</v>
      </c>
      <c r="D4028">
        <v>23.8</v>
      </c>
      <c r="E4028">
        <v>2</v>
      </c>
    </row>
    <row r="4029" spans="1:5" x14ac:dyDescent="0.2">
      <c r="A4029">
        <v>4022</v>
      </c>
      <c r="B4029">
        <v>3718</v>
      </c>
      <c r="C4029">
        <v>16</v>
      </c>
      <c r="D4029">
        <v>24</v>
      </c>
      <c r="E4029">
        <v>2</v>
      </c>
    </row>
    <row r="4030" spans="1:5" x14ac:dyDescent="0.2">
      <c r="A4030">
        <v>4023</v>
      </c>
      <c r="B4030">
        <v>3718</v>
      </c>
      <c r="C4030">
        <v>16</v>
      </c>
      <c r="D4030">
        <v>24.1</v>
      </c>
      <c r="E4030">
        <v>2</v>
      </c>
    </row>
    <row r="4031" spans="1:5" x14ac:dyDescent="0.2">
      <c r="A4031">
        <v>4024</v>
      </c>
      <c r="B4031">
        <v>3717</v>
      </c>
      <c r="C4031">
        <v>15</v>
      </c>
      <c r="D4031">
        <v>24.3</v>
      </c>
      <c r="E4031">
        <v>2</v>
      </c>
    </row>
    <row r="4032" spans="1:5" x14ac:dyDescent="0.2">
      <c r="A4032">
        <v>4025</v>
      </c>
      <c r="B4032">
        <v>3717</v>
      </c>
      <c r="C4032">
        <v>16</v>
      </c>
      <c r="D4032">
        <v>24.5</v>
      </c>
      <c r="E4032">
        <v>2</v>
      </c>
    </row>
    <row r="4033" spans="1:5" x14ac:dyDescent="0.2">
      <c r="A4033">
        <v>4026</v>
      </c>
      <c r="B4033">
        <v>3716</v>
      </c>
      <c r="C4033">
        <v>16</v>
      </c>
      <c r="D4033">
        <v>24.7</v>
      </c>
      <c r="E4033">
        <v>2</v>
      </c>
    </row>
    <row r="4034" spans="1:5" x14ac:dyDescent="0.2">
      <c r="A4034">
        <v>4027</v>
      </c>
      <c r="B4034">
        <v>3715</v>
      </c>
      <c r="C4034">
        <v>16</v>
      </c>
      <c r="D4034">
        <v>24.9</v>
      </c>
      <c r="E4034">
        <v>2.1</v>
      </c>
    </row>
    <row r="4035" spans="1:5" x14ac:dyDescent="0.2">
      <c r="A4035">
        <v>4028</v>
      </c>
      <c r="B4035">
        <v>3714</v>
      </c>
      <c r="C4035">
        <v>16</v>
      </c>
      <c r="D4035">
        <v>25.2</v>
      </c>
      <c r="E4035">
        <v>2.1</v>
      </c>
    </row>
    <row r="4036" spans="1:5" x14ac:dyDescent="0.2">
      <c r="A4036">
        <v>4029</v>
      </c>
      <c r="B4036">
        <v>3713</v>
      </c>
      <c r="C4036">
        <v>17</v>
      </c>
      <c r="D4036">
        <v>25.5</v>
      </c>
      <c r="E4036">
        <v>2.1</v>
      </c>
    </row>
    <row r="4037" spans="1:5" x14ac:dyDescent="0.2">
      <c r="A4037">
        <v>4030</v>
      </c>
      <c r="B4037">
        <v>3712</v>
      </c>
      <c r="C4037">
        <v>17</v>
      </c>
      <c r="D4037">
        <v>25.7</v>
      </c>
      <c r="E4037">
        <v>2.1</v>
      </c>
    </row>
    <row r="4038" spans="1:5" x14ac:dyDescent="0.2">
      <c r="A4038">
        <v>4031</v>
      </c>
      <c r="B4038">
        <v>3710</v>
      </c>
      <c r="C4038">
        <v>16</v>
      </c>
      <c r="D4038">
        <v>26.1</v>
      </c>
      <c r="E4038">
        <v>2.1</v>
      </c>
    </row>
    <row r="4039" spans="1:5" x14ac:dyDescent="0.2">
      <c r="A4039">
        <v>4032</v>
      </c>
      <c r="B4039">
        <v>3709</v>
      </c>
      <c r="C4039">
        <v>16</v>
      </c>
      <c r="D4039">
        <v>26.4</v>
      </c>
      <c r="E4039">
        <v>2.1</v>
      </c>
    </row>
    <row r="4040" spans="1:5" x14ac:dyDescent="0.2">
      <c r="A4040">
        <v>4033</v>
      </c>
      <c r="B4040">
        <v>3707</v>
      </c>
      <c r="C4040">
        <v>16</v>
      </c>
      <c r="D4040">
        <v>26.7</v>
      </c>
      <c r="E4040">
        <v>2</v>
      </c>
    </row>
    <row r="4041" spans="1:5" x14ac:dyDescent="0.2">
      <c r="A4041">
        <v>4034</v>
      </c>
      <c r="B4041">
        <v>3705</v>
      </c>
      <c r="C4041">
        <v>16</v>
      </c>
      <c r="D4041">
        <v>27.1</v>
      </c>
      <c r="E4041">
        <v>2</v>
      </c>
    </row>
    <row r="4042" spans="1:5" x14ac:dyDescent="0.2">
      <c r="A4042">
        <v>4035</v>
      </c>
      <c r="B4042">
        <v>3703</v>
      </c>
      <c r="C4042">
        <v>16</v>
      </c>
      <c r="D4042">
        <v>27.4</v>
      </c>
      <c r="E4042">
        <v>2</v>
      </c>
    </row>
    <row r="4043" spans="1:5" x14ac:dyDescent="0.2">
      <c r="A4043">
        <v>4036</v>
      </c>
      <c r="B4043">
        <v>3702</v>
      </c>
      <c r="C4043">
        <v>16</v>
      </c>
      <c r="D4043">
        <v>27.8</v>
      </c>
      <c r="E4043">
        <v>2.1</v>
      </c>
    </row>
    <row r="4044" spans="1:5" x14ac:dyDescent="0.2">
      <c r="A4044">
        <v>4037</v>
      </c>
      <c r="B4044">
        <v>3700</v>
      </c>
      <c r="C4044">
        <v>16</v>
      </c>
      <c r="D4044">
        <v>28.2</v>
      </c>
      <c r="E4044">
        <v>2.1</v>
      </c>
    </row>
    <row r="4045" spans="1:5" x14ac:dyDescent="0.2">
      <c r="A4045">
        <v>4038</v>
      </c>
      <c r="B4045">
        <v>3698</v>
      </c>
      <c r="C4045">
        <v>16</v>
      </c>
      <c r="D4045">
        <v>28.5</v>
      </c>
      <c r="E4045">
        <v>2.1</v>
      </c>
    </row>
    <row r="4046" spans="1:5" x14ac:dyDescent="0.2">
      <c r="A4046">
        <v>4039</v>
      </c>
      <c r="B4046">
        <v>3696</v>
      </c>
      <c r="C4046">
        <v>16</v>
      </c>
      <c r="D4046">
        <v>28.9</v>
      </c>
      <c r="E4046">
        <v>2</v>
      </c>
    </row>
    <row r="4047" spans="1:5" x14ac:dyDescent="0.2">
      <c r="A4047">
        <v>4040</v>
      </c>
      <c r="B4047">
        <v>3694</v>
      </c>
      <c r="C4047">
        <v>16</v>
      </c>
      <c r="D4047">
        <v>29.3</v>
      </c>
      <c r="E4047">
        <v>2</v>
      </c>
    </row>
    <row r="4048" spans="1:5" x14ac:dyDescent="0.2">
      <c r="A4048">
        <v>4041</v>
      </c>
      <c r="B4048">
        <v>3692</v>
      </c>
      <c r="C4048">
        <v>16</v>
      </c>
      <c r="D4048">
        <v>29.6</v>
      </c>
      <c r="E4048">
        <v>2</v>
      </c>
    </row>
    <row r="4049" spans="1:5" x14ac:dyDescent="0.2">
      <c r="A4049">
        <v>4042</v>
      </c>
      <c r="B4049">
        <v>3690</v>
      </c>
      <c r="C4049">
        <v>16</v>
      </c>
      <c r="D4049">
        <v>30</v>
      </c>
      <c r="E4049">
        <v>2</v>
      </c>
    </row>
    <row r="4050" spans="1:5" x14ac:dyDescent="0.2">
      <c r="A4050">
        <v>4043</v>
      </c>
      <c r="B4050">
        <v>3688</v>
      </c>
      <c r="C4050">
        <v>16</v>
      </c>
      <c r="D4050">
        <v>30.4</v>
      </c>
      <c r="E4050">
        <v>2.1</v>
      </c>
    </row>
    <row r="4051" spans="1:5" x14ac:dyDescent="0.2">
      <c r="A4051">
        <v>4044</v>
      </c>
      <c r="B4051">
        <v>3686</v>
      </c>
      <c r="C4051">
        <v>16</v>
      </c>
      <c r="D4051">
        <v>30.7</v>
      </c>
      <c r="E4051">
        <v>2.1</v>
      </c>
    </row>
    <row r="4052" spans="1:5" x14ac:dyDescent="0.2">
      <c r="A4052">
        <v>4045</v>
      </c>
      <c r="B4052">
        <v>3685</v>
      </c>
      <c r="C4052">
        <v>17</v>
      </c>
      <c r="D4052">
        <v>31.1</v>
      </c>
      <c r="E4052">
        <v>2.1</v>
      </c>
    </row>
    <row r="4053" spans="1:5" x14ac:dyDescent="0.2">
      <c r="A4053">
        <v>4046</v>
      </c>
      <c r="B4053">
        <v>3683</v>
      </c>
      <c r="C4053">
        <v>17</v>
      </c>
      <c r="D4053">
        <v>31.4</v>
      </c>
      <c r="E4053">
        <v>2.2000000000000002</v>
      </c>
    </row>
    <row r="4054" spans="1:5" x14ac:dyDescent="0.2">
      <c r="A4054">
        <v>4047</v>
      </c>
      <c r="B4054">
        <v>3682</v>
      </c>
      <c r="C4054">
        <v>18</v>
      </c>
      <c r="D4054">
        <v>31.7</v>
      </c>
      <c r="E4054">
        <v>2.2999999999999998</v>
      </c>
    </row>
    <row r="4055" spans="1:5" x14ac:dyDescent="0.2">
      <c r="A4055">
        <v>4048</v>
      </c>
      <c r="B4055">
        <v>3680</v>
      </c>
      <c r="C4055">
        <v>18</v>
      </c>
      <c r="D4055">
        <v>32.1</v>
      </c>
      <c r="E4055">
        <v>2.2999999999999998</v>
      </c>
    </row>
    <row r="4056" spans="1:5" x14ac:dyDescent="0.2">
      <c r="A4056">
        <v>4049</v>
      </c>
      <c r="B4056">
        <v>3679</v>
      </c>
      <c r="C4056">
        <v>18</v>
      </c>
      <c r="D4056">
        <v>32.299999999999997</v>
      </c>
      <c r="E4056">
        <v>2.2999999999999998</v>
      </c>
    </row>
    <row r="4057" spans="1:5" x14ac:dyDescent="0.2">
      <c r="A4057">
        <v>4050</v>
      </c>
      <c r="B4057">
        <v>3677</v>
      </c>
      <c r="C4057">
        <v>17</v>
      </c>
      <c r="D4057">
        <v>32.6</v>
      </c>
      <c r="E4057">
        <v>2.2000000000000002</v>
      </c>
    </row>
    <row r="4058" spans="1:5" x14ac:dyDescent="0.2">
      <c r="A4058">
        <v>4051</v>
      </c>
      <c r="B4058">
        <v>3676</v>
      </c>
      <c r="C4058">
        <v>17</v>
      </c>
      <c r="D4058">
        <v>32.9</v>
      </c>
      <c r="E4058">
        <v>2.2000000000000002</v>
      </c>
    </row>
    <row r="4059" spans="1:5" x14ac:dyDescent="0.2">
      <c r="A4059">
        <v>4052</v>
      </c>
      <c r="B4059">
        <v>3675</v>
      </c>
      <c r="C4059">
        <v>17</v>
      </c>
      <c r="D4059">
        <v>33.1</v>
      </c>
      <c r="E4059">
        <v>2.1</v>
      </c>
    </row>
    <row r="4060" spans="1:5" x14ac:dyDescent="0.2">
      <c r="A4060">
        <v>4053</v>
      </c>
      <c r="B4060">
        <v>3675</v>
      </c>
      <c r="C4060">
        <v>16</v>
      </c>
      <c r="D4060">
        <v>33.4</v>
      </c>
      <c r="E4060">
        <v>2.1</v>
      </c>
    </row>
    <row r="4061" spans="1:5" x14ac:dyDescent="0.2">
      <c r="A4061">
        <v>4054</v>
      </c>
      <c r="B4061">
        <v>3674</v>
      </c>
      <c r="C4061">
        <v>16</v>
      </c>
      <c r="D4061">
        <v>33.6</v>
      </c>
      <c r="E4061">
        <v>2.1</v>
      </c>
    </row>
    <row r="4062" spans="1:5" x14ac:dyDescent="0.2">
      <c r="A4062">
        <v>4055</v>
      </c>
      <c r="B4062">
        <v>3674</v>
      </c>
      <c r="C4062">
        <v>16</v>
      </c>
      <c r="D4062">
        <v>33.700000000000003</v>
      </c>
      <c r="E4062">
        <v>2.1</v>
      </c>
    </row>
    <row r="4063" spans="1:5" x14ac:dyDescent="0.2">
      <c r="A4063">
        <v>4056</v>
      </c>
      <c r="B4063">
        <v>3674</v>
      </c>
      <c r="C4063">
        <v>17</v>
      </c>
      <c r="D4063">
        <v>33.9</v>
      </c>
      <c r="E4063">
        <v>2.1</v>
      </c>
    </row>
    <row r="4064" spans="1:5" x14ac:dyDescent="0.2">
      <c r="A4064">
        <v>4057</v>
      </c>
      <c r="B4064">
        <v>3674</v>
      </c>
      <c r="C4064">
        <v>17</v>
      </c>
      <c r="D4064">
        <v>34</v>
      </c>
      <c r="E4064">
        <v>2.1</v>
      </c>
    </row>
    <row r="4065" spans="1:5" x14ac:dyDescent="0.2">
      <c r="A4065">
        <v>4058</v>
      </c>
      <c r="B4065">
        <v>3674</v>
      </c>
      <c r="C4065">
        <v>17</v>
      </c>
      <c r="D4065">
        <v>34.1</v>
      </c>
      <c r="E4065">
        <v>2.1</v>
      </c>
    </row>
    <row r="4066" spans="1:5" x14ac:dyDescent="0.2">
      <c r="A4066">
        <v>4059</v>
      </c>
      <c r="B4066">
        <v>3675</v>
      </c>
      <c r="C4066">
        <v>16</v>
      </c>
      <c r="D4066">
        <v>34.1</v>
      </c>
      <c r="E4066">
        <v>2.1</v>
      </c>
    </row>
    <row r="4067" spans="1:5" x14ac:dyDescent="0.2">
      <c r="A4067">
        <v>4060</v>
      </c>
      <c r="B4067">
        <v>3676</v>
      </c>
      <c r="C4067">
        <v>16</v>
      </c>
      <c r="D4067">
        <v>34.1</v>
      </c>
      <c r="E4067">
        <v>2.1</v>
      </c>
    </row>
    <row r="4068" spans="1:5" x14ac:dyDescent="0.2">
      <c r="A4068">
        <v>4061</v>
      </c>
      <c r="B4068">
        <v>3676</v>
      </c>
      <c r="C4068">
        <v>16</v>
      </c>
      <c r="D4068">
        <v>34.1</v>
      </c>
      <c r="E4068">
        <v>2.1</v>
      </c>
    </row>
    <row r="4069" spans="1:5" x14ac:dyDescent="0.2">
      <c r="A4069">
        <v>4062</v>
      </c>
      <c r="B4069">
        <v>3678</v>
      </c>
      <c r="C4069">
        <v>16</v>
      </c>
      <c r="D4069">
        <v>34.1</v>
      </c>
      <c r="E4069">
        <v>2</v>
      </c>
    </row>
    <row r="4070" spans="1:5" x14ac:dyDescent="0.2">
      <c r="A4070">
        <v>4063</v>
      </c>
      <c r="B4070">
        <v>3679</v>
      </c>
      <c r="C4070">
        <v>16</v>
      </c>
      <c r="D4070">
        <v>34.1</v>
      </c>
      <c r="E4070">
        <v>2.1</v>
      </c>
    </row>
    <row r="4071" spans="1:5" x14ac:dyDescent="0.2">
      <c r="A4071">
        <v>4064</v>
      </c>
      <c r="B4071">
        <v>3680</v>
      </c>
      <c r="C4071">
        <v>16</v>
      </c>
      <c r="D4071">
        <v>34.1</v>
      </c>
      <c r="E4071">
        <v>2.1</v>
      </c>
    </row>
    <row r="4072" spans="1:5" x14ac:dyDescent="0.2">
      <c r="A4072">
        <v>4065</v>
      </c>
      <c r="B4072">
        <v>3681</v>
      </c>
      <c r="C4072">
        <v>16</v>
      </c>
      <c r="D4072">
        <v>34</v>
      </c>
      <c r="E4072">
        <v>2.1</v>
      </c>
    </row>
    <row r="4073" spans="1:5" x14ac:dyDescent="0.2">
      <c r="A4073">
        <v>4066</v>
      </c>
      <c r="B4073">
        <v>3682</v>
      </c>
      <c r="C4073">
        <v>17</v>
      </c>
      <c r="D4073">
        <v>34</v>
      </c>
      <c r="E4073">
        <v>2.1</v>
      </c>
    </row>
    <row r="4074" spans="1:5" x14ac:dyDescent="0.2">
      <c r="A4074">
        <v>4067</v>
      </c>
      <c r="B4074">
        <v>3683</v>
      </c>
      <c r="C4074">
        <v>17</v>
      </c>
      <c r="D4074">
        <v>34</v>
      </c>
      <c r="E4074">
        <v>2.2000000000000002</v>
      </c>
    </row>
    <row r="4075" spans="1:5" x14ac:dyDescent="0.2">
      <c r="A4075">
        <v>4068</v>
      </c>
      <c r="B4075">
        <v>3684</v>
      </c>
      <c r="C4075">
        <v>17</v>
      </c>
      <c r="D4075">
        <v>34</v>
      </c>
      <c r="E4075">
        <v>2.2000000000000002</v>
      </c>
    </row>
    <row r="4076" spans="1:5" x14ac:dyDescent="0.2">
      <c r="A4076">
        <v>4069</v>
      </c>
      <c r="B4076">
        <v>3685</v>
      </c>
      <c r="C4076">
        <v>17</v>
      </c>
      <c r="D4076">
        <v>34</v>
      </c>
      <c r="E4076">
        <v>2.2000000000000002</v>
      </c>
    </row>
    <row r="4077" spans="1:5" x14ac:dyDescent="0.2">
      <c r="A4077">
        <v>4070</v>
      </c>
      <c r="B4077">
        <v>3686</v>
      </c>
      <c r="C4077">
        <v>17</v>
      </c>
      <c r="D4077">
        <v>34</v>
      </c>
      <c r="E4077">
        <v>2.1</v>
      </c>
    </row>
    <row r="4078" spans="1:5" x14ac:dyDescent="0.2">
      <c r="A4078">
        <v>4071</v>
      </c>
      <c r="B4078">
        <v>3687</v>
      </c>
      <c r="C4078">
        <v>16</v>
      </c>
      <c r="D4078">
        <v>34</v>
      </c>
      <c r="E4078">
        <v>2.1</v>
      </c>
    </row>
    <row r="4079" spans="1:5" x14ac:dyDescent="0.2">
      <c r="A4079">
        <v>4072</v>
      </c>
      <c r="B4079">
        <v>3688</v>
      </c>
      <c r="C4079">
        <v>16</v>
      </c>
      <c r="D4079">
        <v>34.1</v>
      </c>
      <c r="E4079">
        <v>2.1</v>
      </c>
    </row>
    <row r="4080" spans="1:5" x14ac:dyDescent="0.2">
      <c r="A4080">
        <v>4073</v>
      </c>
      <c r="B4080">
        <v>3688</v>
      </c>
      <c r="C4080">
        <v>17</v>
      </c>
      <c r="D4080">
        <v>34.1</v>
      </c>
      <c r="E4080">
        <v>2.1</v>
      </c>
    </row>
    <row r="4081" spans="1:5" x14ac:dyDescent="0.2">
      <c r="A4081">
        <v>4074</v>
      </c>
      <c r="B4081">
        <v>3689</v>
      </c>
      <c r="C4081">
        <v>17</v>
      </c>
      <c r="D4081">
        <v>34.1</v>
      </c>
      <c r="E4081">
        <v>2.2000000000000002</v>
      </c>
    </row>
    <row r="4082" spans="1:5" x14ac:dyDescent="0.2">
      <c r="A4082">
        <v>4075</v>
      </c>
      <c r="B4082">
        <v>3690</v>
      </c>
      <c r="C4082">
        <v>17</v>
      </c>
      <c r="D4082">
        <v>34.1</v>
      </c>
      <c r="E4082">
        <v>2.2000000000000002</v>
      </c>
    </row>
    <row r="4083" spans="1:5" x14ac:dyDescent="0.2">
      <c r="A4083">
        <v>4076</v>
      </c>
      <c r="B4083">
        <v>3692</v>
      </c>
      <c r="C4083">
        <v>17</v>
      </c>
      <c r="D4083">
        <v>34</v>
      </c>
      <c r="E4083">
        <v>2.2000000000000002</v>
      </c>
    </row>
    <row r="4084" spans="1:5" x14ac:dyDescent="0.2">
      <c r="A4084">
        <v>4077</v>
      </c>
      <c r="B4084">
        <v>3694</v>
      </c>
      <c r="C4084">
        <v>17</v>
      </c>
      <c r="D4084">
        <v>33.9</v>
      </c>
      <c r="E4084">
        <v>2.2000000000000002</v>
      </c>
    </row>
    <row r="4085" spans="1:5" x14ac:dyDescent="0.2">
      <c r="A4085">
        <v>4078</v>
      </c>
      <c r="B4085">
        <v>3696</v>
      </c>
      <c r="C4085">
        <v>17</v>
      </c>
      <c r="D4085">
        <v>33.799999999999997</v>
      </c>
      <c r="E4085">
        <v>2.2000000000000002</v>
      </c>
    </row>
    <row r="4086" spans="1:5" x14ac:dyDescent="0.2">
      <c r="A4086">
        <v>4079</v>
      </c>
      <c r="B4086">
        <v>3698</v>
      </c>
      <c r="C4086">
        <v>17</v>
      </c>
      <c r="D4086">
        <v>33.6</v>
      </c>
      <c r="E4086">
        <v>2.2000000000000002</v>
      </c>
    </row>
    <row r="4087" spans="1:5" x14ac:dyDescent="0.2">
      <c r="A4087">
        <v>4080</v>
      </c>
      <c r="B4087">
        <v>3701</v>
      </c>
      <c r="C4087">
        <v>17</v>
      </c>
      <c r="D4087">
        <v>33.4</v>
      </c>
      <c r="E4087">
        <v>2.2000000000000002</v>
      </c>
    </row>
    <row r="4088" spans="1:5" x14ac:dyDescent="0.2">
      <c r="A4088">
        <v>4081</v>
      </c>
      <c r="B4088">
        <v>3703</v>
      </c>
      <c r="C4088">
        <v>17</v>
      </c>
      <c r="D4088">
        <v>33.200000000000003</v>
      </c>
      <c r="E4088">
        <v>2.2000000000000002</v>
      </c>
    </row>
    <row r="4089" spans="1:5" x14ac:dyDescent="0.2">
      <c r="A4089">
        <v>4082</v>
      </c>
      <c r="B4089">
        <v>3707</v>
      </c>
      <c r="C4089">
        <v>17</v>
      </c>
      <c r="D4089">
        <v>32.9</v>
      </c>
      <c r="E4089">
        <v>2.2000000000000002</v>
      </c>
    </row>
    <row r="4090" spans="1:5" x14ac:dyDescent="0.2">
      <c r="A4090">
        <v>4083</v>
      </c>
      <c r="B4090">
        <v>3710</v>
      </c>
      <c r="C4090">
        <v>17</v>
      </c>
      <c r="D4090">
        <v>32.6</v>
      </c>
      <c r="E4090">
        <v>2.2000000000000002</v>
      </c>
    </row>
    <row r="4091" spans="1:5" x14ac:dyDescent="0.2">
      <c r="A4091">
        <v>4084</v>
      </c>
      <c r="B4091">
        <v>3713</v>
      </c>
      <c r="C4091">
        <v>17</v>
      </c>
      <c r="D4091">
        <v>32.299999999999997</v>
      </c>
      <c r="E4091">
        <v>2.2000000000000002</v>
      </c>
    </row>
    <row r="4092" spans="1:5" x14ac:dyDescent="0.2">
      <c r="A4092">
        <v>4085</v>
      </c>
      <c r="B4092">
        <v>3717</v>
      </c>
      <c r="C4092">
        <v>17</v>
      </c>
      <c r="D4092">
        <v>31.9</v>
      </c>
      <c r="E4092">
        <v>2.2000000000000002</v>
      </c>
    </row>
    <row r="4093" spans="1:5" x14ac:dyDescent="0.2">
      <c r="A4093">
        <v>4086</v>
      </c>
      <c r="B4093">
        <v>3721</v>
      </c>
      <c r="C4093">
        <v>18</v>
      </c>
      <c r="D4093">
        <v>31.6</v>
      </c>
      <c r="E4093">
        <v>2.2999999999999998</v>
      </c>
    </row>
    <row r="4094" spans="1:5" x14ac:dyDescent="0.2">
      <c r="A4094">
        <v>4087</v>
      </c>
      <c r="B4094">
        <v>3725</v>
      </c>
      <c r="C4094">
        <v>18</v>
      </c>
      <c r="D4094">
        <v>31.2</v>
      </c>
      <c r="E4094">
        <v>2.2999999999999998</v>
      </c>
    </row>
    <row r="4095" spans="1:5" x14ac:dyDescent="0.2">
      <c r="A4095">
        <v>4088</v>
      </c>
      <c r="B4095">
        <v>3729</v>
      </c>
      <c r="C4095">
        <v>18</v>
      </c>
      <c r="D4095">
        <v>30.8</v>
      </c>
      <c r="E4095">
        <v>2.2999999999999998</v>
      </c>
    </row>
    <row r="4096" spans="1:5" x14ac:dyDescent="0.2">
      <c r="A4096">
        <v>4089</v>
      </c>
      <c r="B4096">
        <v>3733</v>
      </c>
      <c r="C4096">
        <v>17</v>
      </c>
      <c r="D4096">
        <v>30.4</v>
      </c>
      <c r="E4096">
        <v>2.2000000000000002</v>
      </c>
    </row>
    <row r="4097" spans="1:5" x14ac:dyDescent="0.2">
      <c r="A4097">
        <v>4090</v>
      </c>
      <c r="B4097">
        <v>3737</v>
      </c>
      <c r="C4097">
        <v>17</v>
      </c>
      <c r="D4097">
        <v>30</v>
      </c>
      <c r="E4097">
        <v>2.2000000000000002</v>
      </c>
    </row>
    <row r="4098" spans="1:5" x14ac:dyDescent="0.2">
      <c r="A4098">
        <v>4091</v>
      </c>
      <c r="B4098">
        <v>3741</v>
      </c>
      <c r="C4098">
        <v>17</v>
      </c>
      <c r="D4098">
        <v>29.6</v>
      </c>
      <c r="E4098">
        <v>2.1</v>
      </c>
    </row>
    <row r="4099" spans="1:5" x14ac:dyDescent="0.2">
      <c r="A4099">
        <v>4092</v>
      </c>
      <c r="B4099">
        <v>3745</v>
      </c>
      <c r="C4099">
        <v>16</v>
      </c>
      <c r="D4099">
        <v>29.2</v>
      </c>
      <c r="E4099">
        <v>2.1</v>
      </c>
    </row>
    <row r="4100" spans="1:5" x14ac:dyDescent="0.2">
      <c r="A4100">
        <v>4093</v>
      </c>
      <c r="B4100">
        <v>3749</v>
      </c>
      <c r="C4100">
        <v>16</v>
      </c>
      <c r="D4100">
        <v>28.8</v>
      </c>
      <c r="E4100">
        <v>2</v>
      </c>
    </row>
    <row r="4101" spans="1:5" x14ac:dyDescent="0.2">
      <c r="A4101">
        <v>4094</v>
      </c>
      <c r="B4101">
        <v>3753</v>
      </c>
      <c r="C4101">
        <v>16</v>
      </c>
      <c r="D4101">
        <v>28.4</v>
      </c>
      <c r="E4101">
        <v>2</v>
      </c>
    </row>
    <row r="4102" spans="1:5" x14ac:dyDescent="0.2">
      <c r="A4102">
        <v>4095</v>
      </c>
      <c r="B4102">
        <v>3756</v>
      </c>
      <c r="C4102">
        <v>16</v>
      </c>
      <c r="D4102">
        <v>28.1</v>
      </c>
      <c r="E4102">
        <v>2</v>
      </c>
    </row>
    <row r="4103" spans="1:5" x14ac:dyDescent="0.2">
      <c r="A4103">
        <v>4096</v>
      </c>
      <c r="B4103">
        <v>3760</v>
      </c>
      <c r="C4103">
        <v>15</v>
      </c>
      <c r="D4103">
        <v>27.8</v>
      </c>
      <c r="E4103">
        <v>2</v>
      </c>
    </row>
    <row r="4104" spans="1:5" x14ac:dyDescent="0.2">
      <c r="A4104">
        <v>4097</v>
      </c>
      <c r="B4104">
        <v>3763</v>
      </c>
      <c r="C4104">
        <v>15</v>
      </c>
      <c r="D4104">
        <v>27.5</v>
      </c>
      <c r="E4104">
        <v>1.9</v>
      </c>
    </row>
    <row r="4105" spans="1:5" x14ac:dyDescent="0.2">
      <c r="A4105">
        <v>4098</v>
      </c>
      <c r="B4105">
        <v>3766</v>
      </c>
      <c r="C4105">
        <v>15</v>
      </c>
      <c r="D4105">
        <v>27.3</v>
      </c>
      <c r="E4105">
        <v>1.9</v>
      </c>
    </row>
    <row r="4106" spans="1:5" x14ac:dyDescent="0.2">
      <c r="A4106">
        <v>4099</v>
      </c>
      <c r="B4106">
        <v>3769</v>
      </c>
      <c r="C4106">
        <v>15</v>
      </c>
      <c r="D4106">
        <v>27.1</v>
      </c>
      <c r="E4106">
        <v>1.9</v>
      </c>
    </row>
    <row r="4107" spans="1:5" x14ac:dyDescent="0.2">
      <c r="A4107">
        <v>4100</v>
      </c>
      <c r="B4107">
        <v>3771</v>
      </c>
      <c r="C4107">
        <v>15</v>
      </c>
      <c r="D4107">
        <v>26.9</v>
      </c>
      <c r="E4107">
        <v>1.9</v>
      </c>
    </row>
    <row r="4108" spans="1:5" x14ac:dyDescent="0.2">
      <c r="A4108">
        <v>4101</v>
      </c>
      <c r="B4108">
        <v>3772</v>
      </c>
      <c r="C4108">
        <v>15</v>
      </c>
      <c r="D4108">
        <v>26.8</v>
      </c>
      <c r="E4108">
        <v>1.9</v>
      </c>
    </row>
    <row r="4109" spans="1:5" x14ac:dyDescent="0.2">
      <c r="A4109">
        <v>4102</v>
      </c>
      <c r="B4109">
        <v>3774</v>
      </c>
      <c r="C4109">
        <v>15</v>
      </c>
      <c r="D4109">
        <v>26.7</v>
      </c>
      <c r="E4109">
        <v>1.9</v>
      </c>
    </row>
    <row r="4110" spans="1:5" x14ac:dyDescent="0.2">
      <c r="A4110">
        <v>4103</v>
      </c>
      <c r="B4110">
        <v>3775</v>
      </c>
      <c r="C4110">
        <v>15</v>
      </c>
      <c r="D4110">
        <v>26.7</v>
      </c>
      <c r="E4110">
        <v>1.9</v>
      </c>
    </row>
    <row r="4111" spans="1:5" x14ac:dyDescent="0.2">
      <c r="A4111">
        <v>4104</v>
      </c>
      <c r="B4111">
        <v>3776</v>
      </c>
      <c r="C4111">
        <v>15</v>
      </c>
      <c r="D4111">
        <v>26.8</v>
      </c>
      <c r="E4111">
        <v>1.9</v>
      </c>
    </row>
    <row r="4112" spans="1:5" x14ac:dyDescent="0.2">
      <c r="A4112">
        <v>4105</v>
      </c>
      <c r="B4112">
        <v>3776</v>
      </c>
      <c r="C4112">
        <v>15</v>
      </c>
      <c r="D4112">
        <v>26.9</v>
      </c>
      <c r="E4112">
        <v>1.9</v>
      </c>
    </row>
    <row r="4113" spans="1:5" x14ac:dyDescent="0.2">
      <c r="A4113">
        <v>4106</v>
      </c>
      <c r="B4113">
        <v>3776</v>
      </c>
      <c r="C4113">
        <v>15</v>
      </c>
      <c r="D4113">
        <v>27</v>
      </c>
      <c r="E4113">
        <v>1.9</v>
      </c>
    </row>
    <row r="4114" spans="1:5" x14ac:dyDescent="0.2">
      <c r="A4114">
        <v>4107</v>
      </c>
      <c r="B4114">
        <v>3775</v>
      </c>
      <c r="C4114">
        <v>15</v>
      </c>
      <c r="D4114">
        <v>27.2</v>
      </c>
      <c r="E4114">
        <v>1.9</v>
      </c>
    </row>
    <row r="4115" spans="1:5" x14ac:dyDescent="0.2">
      <c r="A4115">
        <v>4108</v>
      </c>
      <c r="B4115">
        <v>3774</v>
      </c>
      <c r="C4115">
        <v>15</v>
      </c>
      <c r="D4115">
        <v>27.4</v>
      </c>
      <c r="E4115">
        <v>1.9</v>
      </c>
    </row>
    <row r="4116" spans="1:5" x14ac:dyDescent="0.2">
      <c r="A4116">
        <v>4109</v>
      </c>
      <c r="B4116">
        <v>3774</v>
      </c>
      <c r="C4116">
        <v>16</v>
      </c>
      <c r="D4116">
        <v>27.7</v>
      </c>
      <c r="E4116">
        <v>2</v>
      </c>
    </row>
    <row r="4117" spans="1:5" x14ac:dyDescent="0.2">
      <c r="A4117">
        <v>4110</v>
      </c>
      <c r="B4117">
        <v>3773</v>
      </c>
      <c r="C4117">
        <v>16</v>
      </c>
      <c r="D4117">
        <v>27.9</v>
      </c>
      <c r="E4117">
        <v>2</v>
      </c>
    </row>
    <row r="4118" spans="1:5" x14ac:dyDescent="0.2">
      <c r="A4118">
        <v>4111</v>
      </c>
      <c r="B4118">
        <v>3772</v>
      </c>
      <c r="C4118">
        <v>16</v>
      </c>
      <c r="D4118">
        <v>28.2</v>
      </c>
      <c r="E4118">
        <v>2.1</v>
      </c>
    </row>
    <row r="4119" spans="1:5" x14ac:dyDescent="0.2">
      <c r="A4119">
        <v>4112</v>
      </c>
      <c r="B4119">
        <v>3770</v>
      </c>
      <c r="C4119">
        <v>16</v>
      </c>
      <c r="D4119">
        <v>28.4</v>
      </c>
      <c r="E4119">
        <v>2.1</v>
      </c>
    </row>
    <row r="4120" spans="1:5" x14ac:dyDescent="0.2">
      <c r="A4120">
        <v>4113</v>
      </c>
      <c r="B4120">
        <v>3769</v>
      </c>
      <c r="C4120">
        <v>16</v>
      </c>
      <c r="D4120">
        <v>28.7</v>
      </c>
      <c r="E4120">
        <v>2.1</v>
      </c>
    </row>
    <row r="4121" spans="1:5" x14ac:dyDescent="0.2">
      <c r="A4121">
        <v>4114</v>
      </c>
      <c r="B4121">
        <v>3768</v>
      </c>
      <c r="C4121">
        <v>16</v>
      </c>
      <c r="D4121">
        <v>29</v>
      </c>
      <c r="E4121">
        <v>2.1</v>
      </c>
    </row>
    <row r="4122" spans="1:5" x14ac:dyDescent="0.2">
      <c r="A4122">
        <v>4115</v>
      </c>
      <c r="B4122">
        <v>3766</v>
      </c>
      <c r="C4122">
        <v>16</v>
      </c>
      <c r="D4122">
        <v>29.3</v>
      </c>
      <c r="E4122">
        <v>2.1</v>
      </c>
    </row>
    <row r="4123" spans="1:5" x14ac:dyDescent="0.2">
      <c r="A4123">
        <v>4116</v>
      </c>
      <c r="B4123">
        <v>3765</v>
      </c>
      <c r="C4123">
        <v>16</v>
      </c>
      <c r="D4123">
        <v>29.7</v>
      </c>
      <c r="E4123">
        <v>2.1</v>
      </c>
    </row>
    <row r="4124" spans="1:5" x14ac:dyDescent="0.2">
      <c r="A4124">
        <v>4117</v>
      </c>
      <c r="B4124">
        <v>3763</v>
      </c>
      <c r="C4124">
        <v>17</v>
      </c>
      <c r="D4124">
        <v>30</v>
      </c>
      <c r="E4124">
        <v>2.1</v>
      </c>
    </row>
    <row r="4125" spans="1:5" x14ac:dyDescent="0.2">
      <c r="A4125">
        <v>4118</v>
      </c>
      <c r="B4125">
        <v>3762</v>
      </c>
      <c r="C4125">
        <v>17</v>
      </c>
      <c r="D4125">
        <v>30.3</v>
      </c>
      <c r="E4125">
        <v>2.2000000000000002</v>
      </c>
    </row>
    <row r="4126" spans="1:5" x14ac:dyDescent="0.2">
      <c r="A4126">
        <v>4119</v>
      </c>
      <c r="B4126">
        <v>3760</v>
      </c>
      <c r="C4126">
        <v>17</v>
      </c>
      <c r="D4126">
        <v>30.6</v>
      </c>
      <c r="E4126">
        <v>2.2000000000000002</v>
      </c>
    </row>
    <row r="4127" spans="1:5" x14ac:dyDescent="0.2">
      <c r="A4127">
        <v>4120</v>
      </c>
      <c r="B4127">
        <v>3758</v>
      </c>
      <c r="C4127">
        <v>17</v>
      </c>
      <c r="D4127">
        <v>31</v>
      </c>
      <c r="E4127">
        <v>2.2000000000000002</v>
      </c>
    </row>
    <row r="4128" spans="1:5" x14ac:dyDescent="0.2">
      <c r="A4128">
        <v>4121</v>
      </c>
      <c r="B4128">
        <v>3757</v>
      </c>
      <c r="C4128">
        <v>16</v>
      </c>
      <c r="D4128">
        <v>31.3</v>
      </c>
      <c r="E4128">
        <v>2.1</v>
      </c>
    </row>
    <row r="4129" spans="1:5" x14ac:dyDescent="0.2">
      <c r="A4129">
        <v>4122</v>
      </c>
      <c r="B4129">
        <v>3755</v>
      </c>
      <c r="C4129">
        <v>16</v>
      </c>
      <c r="D4129">
        <v>31.7</v>
      </c>
      <c r="E4129">
        <v>2.1</v>
      </c>
    </row>
    <row r="4130" spans="1:5" x14ac:dyDescent="0.2">
      <c r="A4130">
        <v>4123</v>
      </c>
      <c r="B4130">
        <v>3753</v>
      </c>
      <c r="C4130">
        <v>16</v>
      </c>
      <c r="D4130">
        <v>32</v>
      </c>
      <c r="E4130">
        <v>2</v>
      </c>
    </row>
    <row r="4131" spans="1:5" x14ac:dyDescent="0.2">
      <c r="A4131">
        <v>4124</v>
      </c>
      <c r="B4131">
        <v>3751</v>
      </c>
      <c r="C4131">
        <v>15</v>
      </c>
      <c r="D4131">
        <v>32.4</v>
      </c>
      <c r="E4131">
        <v>2</v>
      </c>
    </row>
    <row r="4132" spans="1:5" x14ac:dyDescent="0.2">
      <c r="A4132">
        <v>4125</v>
      </c>
      <c r="B4132">
        <v>3750</v>
      </c>
      <c r="C4132">
        <v>15</v>
      </c>
      <c r="D4132">
        <v>32.700000000000003</v>
      </c>
      <c r="E4132">
        <v>1.9</v>
      </c>
    </row>
    <row r="4133" spans="1:5" x14ac:dyDescent="0.2">
      <c r="A4133">
        <v>4126</v>
      </c>
      <c r="B4133">
        <v>3748</v>
      </c>
      <c r="C4133">
        <v>15</v>
      </c>
      <c r="D4133">
        <v>33.1</v>
      </c>
      <c r="E4133">
        <v>2</v>
      </c>
    </row>
    <row r="4134" spans="1:5" x14ac:dyDescent="0.2">
      <c r="A4134">
        <v>4127</v>
      </c>
      <c r="B4134">
        <v>3746</v>
      </c>
      <c r="C4134">
        <v>15</v>
      </c>
      <c r="D4134">
        <v>33.4</v>
      </c>
      <c r="E4134">
        <v>2</v>
      </c>
    </row>
    <row r="4135" spans="1:5" x14ac:dyDescent="0.2">
      <c r="A4135">
        <v>4128</v>
      </c>
      <c r="B4135">
        <v>3744</v>
      </c>
      <c r="C4135">
        <v>15</v>
      </c>
      <c r="D4135">
        <v>33.799999999999997</v>
      </c>
      <c r="E4135">
        <v>2</v>
      </c>
    </row>
    <row r="4136" spans="1:5" x14ac:dyDescent="0.2">
      <c r="A4136">
        <v>4129</v>
      </c>
      <c r="B4136">
        <v>3743</v>
      </c>
      <c r="C4136">
        <v>15</v>
      </c>
      <c r="D4136">
        <v>34.1</v>
      </c>
      <c r="E4136">
        <v>2</v>
      </c>
    </row>
    <row r="4137" spans="1:5" x14ac:dyDescent="0.2">
      <c r="A4137">
        <v>4130</v>
      </c>
      <c r="B4137">
        <v>3741</v>
      </c>
      <c r="C4137">
        <v>15</v>
      </c>
      <c r="D4137">
        <v>34.5</v>
      </c>
      <c r="E4137">
        <v>1.9</v>
      </c>
    </row>
    <row r="4138" spans="1:5" x14ac:dyDescent="0.2">
      <c r="A4138">
        <v>4131</v>
      </c>
      <c r="B4138">
        <v>3739</v>
      </c>
      <c r="C4138">
        <v>15</v>
      </c>
      <c r="D4138">
        <v>34.799999999999997</v>
      </c>
      <c r="E4138">
        <v>1.9</v>
      </c>
    </row>
    <row r="4139" spans="1:5" x14ac:dyDescent="0.2">
      <c r="A4139">
        <v>4132</v>
      </c>
      <c r="B4139">
        <v>3738</v>
      </c>
      <c r="C4139">
        <v>15</v>
      </c>
      <c r="D4139">
        <v>35.1</v>
      </c>
      <c r="E4139">
        <v>1.9</v>
      </c>
    </row>
    <row r="4140" spans="1:5" x14ac:dyDescent="0.2">
      <c r="A4140">
        <v>4133</v>
      </c>
      <c r="B4140">
        <v>3737</v>
      </c>
      <c r="C4140">
        <v>15</v>
      </c>
      <c r="D4140">
        <v>35.4</v>
      </c>
      <c r="E4140">
        <v>1.9</v>
      </c>
    </row>
    <row r="4141" spans="1:5" x14ac:dyDescent="0.2">
      <c r="A4141">
        <v>4134</v>
      </c>
      <c r="B4141">
        <v>3736</v>
      </c>
      <c r="C4141">
        <v>15</v>
      </c>
      <c r="D4141">
        <v>35.6</v>
      </c>
      <c r="E4141">
        <v>1.9</v>
      </c>
    </row>
    <row r="4142" spans="1:5" x14ac:dyDescent="0.2">
      <c r="A4142">
        <v>4135</v>
      </c>
      <c r="B4142">
        <v>3736</v>
      </c>
      <c r="C4142">
        <v>15</v>
      </c>
      <c r="D4142">
        <v>35.799999999999997</v>
      </c>
      <c r="E4142">
        <v>1.9</v>
      </c>
    </row>
    <row r="4143" spans="1:5" x14ac:dyDescent="0.2">
      <c r="A4143">
        <v>4136</v>
      </c>
      <c r="B4143">
        <v>3736</v>
      </c>
      <c r="C4143">
        <v>15</v>
      </c>
      <c r="D4143">
        <v>35.9</v>
      </c>
      <c r="E4143">
        <v>1.9</v>
      </c>
    </row>
    <row r="4144" spans="1:5" x14ac:dyDescent="0.2">
      <c r="A4144">
        <v>4137</v>
      </c>
      <c r="B4144">
        <v>3736</v>
      </c>
      <c r="C4144">
        <v>15</v>
      </c>
      <c r="D4144">
        <v>35.9</v>
      </c>
      <c r="E4144">
        <v>1.9</v>
      </c>
    </row>
    <row r="4145" spans="1:5" x14ac:dyDescent="0.2">
      <c r="A4145">
        <v>4138</v>
      </c>
      <c r="B4145">
        <v>3737</v>
      </c>
      <c r="C4145">
        <v>15</v>
      </c>
      <c r="D4145">
        <v>36</v>
      </c>
      <c r="E4145">
        <v>1.9</v>
      </c>
    </row>
    <row r="4146" spans="1:5" x14ac:dyDescent="0.2">
      <c r="A4146">
        <v>4139</v>
      </c>
      <c r="B4146">
        <v>3738</v>
      </c>
      <c r="C4146">
        <v>15</v>
      </c>
      <c r="D4146">
        <v>35.9</v>
      </c>
      <c r="E4146">
        <v>1.9</v>
      </c>
    </row>
    <row r="4147" spans="1:5" x14ac:dyDescent="0.2">
      <c r="A4147">
        <v>4140</v>
      </c>
      <c r="B4147">
        <v>3740</v>
      </c>
      <c r="C4147">
        <v>15</v>
      </c>
      <c r="D4147">
        <v>35.799999999999997</v>
      </c>
      <c r="E4147">
        <v>2</v>
      </c>
    </row>
    <row r="4148" spans="1:5" x14ac:dyDescent="0.2">
      <c r="A4148">
        <v>4141</v>
      </c>
      <c r="B4148">
        <v>3742</v>
      </c>
      <c r="C4148">
        <v>15</v>
      </c>
      <c r="D4148">
        <v>35.700000000000003</v>
      </c>
      <c r="E4148">
        <v>2</v>
      </c>
    </row>
    <row r="4149" spans="1:5" x14ac:dyDescent="0.2">
      <c r="A4149">
        <v>4142</v>
      </c>
      <c r="B4149">
        <v>3745</v>
      </c>
      <c r="C4149">
        <v>16</v>
      </c>
      <c r="D4149">
        <v>35.5</v>
      </c>
      <c r="E4149">
        <v>2</v>
      </c>
    </row>
    <row r="4150" spans="1:5" x14ac:dyDescent="0.2">
      <c r="A4150">
        <v>4143</v>
      </c>
      <c r="B4150">
        <v>3748</v>
      </c>
      <c r="C4150">
        <v>16</v>
      </c>
      <c r="D4150">
        <v>35.200000000000003</v>
      </c>
      <c r="E4150">
        <v>2</v>
      </c>
    </row>
    <row r="4151" spans="1:5" x14ac:dyDescent="0.2">
      <c r="A4151">
        <v>4144</v>
      </c>
      <c r="B4151">
        <v>3752</v>
      </c>
      <c r="C4151">
        <v>15</v>
      </c>
      <c r="D4151">
        <v>34.799999999999997</v>
      </c>
      <c r="E4151">
        <v>2</v>
      </c>
    </row>
    <row r="4152" spans="1:5" x14ac:dyDescent="0.2">
      <c r="A4152">
        <v>4145</v>
      </c>
      <c r="B4152">
        <v>3755</v>
      </c>
      <c r="C4152">
        <v>15</v>
      </c>
      <c r="D4152">
        <v>34.5</v>
      </c>
      <c r="E4152">
        <v>2</v>
      </c>
    </row>
    <row r="4153" spans="1:5" x14ac:dyDescent="0.2">
      <c r="A4153">
        <v>4146</v>
      </c>
      <c r="B4153">
        <v>3760</v>
      </c>
      <c r="C4153">
        <v>15</v>
      </c>
      <c r="D4153">
        <v>34</v>
      </c>
      <c r="E4153">
        <v>2</v>
      </c>
    </row>
    <row r="4154" spans="1:5" x14ac:dyDescent="0.2">
      <c r="A4154">
        <v>4147</v>
      </c>
      <c r="B4154">
        <v>3764</v>
      </c>
      <c r="C4154">
        <v>16</v>
      </c>
      <c r="D4154">
        <v>33.6</v>
      </c>
      <c r="E4154">
        <v>2</v>
      </c>
    </row>
    <row r="4155" spans="1:5" x14ac:dyDescent="0.2">
      <c r="A4155">
        <v>4148</v>
      </c>
      <c r="B4155">
        <v>3769</v>
      </c>
      <c r="C4155">
        <v>16</v>
      </c>
      <c r="D4155">
        <v>33.1</v>
      </c>
      <c r="E4155">
        <v>2</v>
      </c>
    </row>
    <row r="4156" spans="1:5" x14ac:dyDescent="0.2">
      <c r="A4156">
        <v>4149</v>
      </c>
      <c r="B4156">
        <v>3774</v>
      </c>
      <c r="C4156">
        <v>16</v>
      </c>
      <c r="D4156">
        <v>32.6</v>
      </c>
      <c r="E4156">
        <v>2.1</v>
      </c>
    </row>
    <row r="4157" spans="1:5" x14ac:dyDescent="0.2">
      <c r="A4157">
        <v>4150</v>
      </c>
      <c r="B4157">
        <v>3779</v>
      </c>
      <c r="C4157">
        <v>17</v>
      </c>
      <c r="D4157">
        <v>32</v>
      </c>
      <c r="E4157">
        <v>2.1</v>
      </c>
    </row>
    <row r="4158" spans="1:5" x14ac:dyDescent="0.2">
      <c r="A4158">
        <v>4151</v>
      </c>
      <c r="B4158">
        <v>3784</v>
      </c>
      <c r="C4158">
        <v>17</v>
      </c>
      <c r="D4158">
        <v>31.5</v>
      </c>
      <c r="E4158">
        <v>2.1</v>
      </c>
    </row>
    <row r="4159" spans="1:5" x14ac:dyDescent="0.2">
      <c r="A4159">
        <v>4152</v>
      </c>
      <c r="B4159">
        <v>3790</v>
      </c>
      <c r="C4159">
        <v>17</v>
      </c>
      <c r="D4159">
        <v>31</v>
      </c>
      <c r="E4159">
        <v>2.1</v>
      </c>
    </row>
    <row r="4160" spans="1:5" x14ac:dyDescent="0.2">
      <c r="A4160">
        <v>4153</v>
      </c>
      <c r="B4160">
        <v>3795</v>
      </c>
      <c r="C4160">
        <v>16</v>
      </c>
      <c r="D4160">
        <v>30.4</v>
      </c>
      <c r="E4160">
        <v>2.1</v>
      </c>
    </row>
    <row r="4161" spans="1:5" x14ac:dyDescent="0.2">
      <c r="A4161">
        <v>4154</v>
      </c>
      <c r="B4161">
        <v>3800</v>
      </c>
      <c r="C4161">
        <v>16</v>
      </c>
      <c r="D4161">
        <v>29.9</v>
      </c>
      <c r="E4161">
        <v>2.1</v>
      </c>
    </row>
    <row r="4162" spans="1:5" x14ac:dyDescent="0.2">
      <c r="A4162">
        <v>4155</v>
      </c>
      <c r="B4162">
        <v>3805</v>
      </c>
      <c r="C4162">
        <v>16</v>
      </c>
      <c r="D4162">
        <v>29.4</v>
      </c>
      <c r="E4162">
        <v>2</v>
      </c>
    </row>
    <row r="4163" spans="1:5" x14ac:dyDescent="0.2">
      <c r="A4163">
        <v>4156</v>
      </c>
      <c r="B4163">
        <v>3809</v>
      </c>
      <c r="C4163">
        <v>16</v>
      </c>
      <c r="D4163">
        <v>29</v>
      </c>
      <c r="E4163">
        <v>2</v>
      </c>
    </row>
    <row r="4164" spans="1:5" x14ac:dyDescent="0.2">
      <c r="A4164">
        <v>4157</v>
      </c>
      <c r="B4164">
        <v>3813</v>
      </c>
      <c r="C4164">
        <v>16</v>
      </c>
      <c r="D4164">
        <v>28.6</v>
      </c>
      <c r="E4164">
        <v>2</v>
      </c>
    </row>
    <row r="4165" spans="1:5" x14ac:dyDescent="0.2">
      <c r="A4165">
        <v>4158</v>
      </c>
      <c r="B4165">
        <v>3817</v>
      </c>
      <c r="C4165">
        <v>16</v>
      </c>
      <c r="D4165">
        <v>28.2</v>
      </c>
      <c r="E4165">
        <v>2</v>
      </c>
    </row>
    <row r="4166" spans="1:5" x14ac:dyDescent="0.2">
      <c r="A4166">
        <v>4159</v>
      </c>
      <c r="B4166">
        <v>3820</v>
      </c>
      <c r="C4166">
        <v>16</v>
      </c>
      <c r="D4166">
        <v>27.9</v>
      </c>
      <c r="E4166">
        <v>2.1</v>
      </c>
    </row>
    <row r="4167" spans="1:5" x14ac:dyDescent="0.2">
      <c r="A4167">
        <v>4160</v>
      </c>
      <c r="B4167">
        <v>3822</v>
      </c>
      <c r="C4167">
        <v>16</v>
      </c>
      <c r="D4167">
        <v>27.8</v>
      </c>
      <c r="E4167">
        <v>2.1</v>
      </c>
    </row>
    <row r="4168" spans="1:5" x14ac:dyDescent="0.2">
      <c r="A4168">
        <v>4161</v>
      </c>
      <c r="B4168">
        <v>3824</v>
      </c>
      <c r="C4168">
        <v>16</v>
      </c>
      <c r="D4168">
        <v>27.7</v>
      </c>
      <c r="E4168">
        <v>2.1</v>
      </c>
    </row>
    <row r="4169" spans="1:5" x14ac:dyDescent="0.2">
      <c r="A4169">
        <v>4162</v>
      </c>
      <c r="B4169">
        <v>3825</v>
      </c>
      <c r="C4169">
        <v>16</v>
      </c>
      <c r="D4169">
        <v>27.7</v>
      </c>
      <c r="E4169">
        <v>2.1</v>
      </c>
    </row>
    <row r="4170" spans="1:5" x14ac:dyDescent="0.2">
      <c r="A4170">
        <v>4163</v>
      </c>
      <c r="B4170">
        <v>3825</v>
      </c>
      <c r="C4170">
        <v>16</v>
      </c>
      <c r="D4170">
        <v>27.8</v>
      </c>
      <c r="E4170">
        <v>2</v>
      </c>
    </row>
    <row r="4171" spans="1:5" x14ac:dyDescent="0.2">
      <c r="A4171">
        <v>4164</v>
      </c>
      <c r="B4171">
        <v>3825</v>
      </c>
      <c r="C4171">
        <v>16</v>
      </c>
      <c r="D4171">
        <v>28</v>
      </c>
      <c r="E4171">
        <v>2</v>
      </c>
    </row>
    <row r="4172" spans="1:5" x14ac:dyDescent="0.2">
      <c r="A4172">
        <v>4165</v>
      </c>
      <c r="B4172">
        <v>3824</v>
      </c>
      <c r="C4172">
        <v>15</v>
      </c>
      <c r="D4172">
        <v>28.2</v>
      </c>
      <c r="E4172">
        <v>2</v>
      </c>
    </row>
    <row r="4173" spans="1:5" x14ac:dyDescent="0.2">
      <c r="A4173">
        <v>4166</v>
      </c>
      <c r="B4173">
        <v>3822</v>
      </c>
      <c r="C4173">
        <v>15</v>
      </c>
      <c r="D4173">
        <v>28.5</v>
      </c>
      <c r="E4173">
        <v>2</v>
      </c>
    </row>
    <row r="4174" spans="1:5" x14ac:dyDescent="0.2">
      <c r="A4174">
        <v>4167</v>
      </c>
      <c r="B4174">
        <v>3821</v>
      </c>
      <c r="C4174">
        <v>15</v>
      </c>
      <c r="D4174">
        <v>28.8</v>
      </c>
      <c r="E4174">
        <v>2</v>
      </c>
    </row>
    <row r="4175" spans="1:5" x14ac:dyDescent="0.2">
      <c r="A4175">
        <v>4168</v>
      </c>
      <c r="B4175">
        <v>3819</v>
      </c>
      <c r="C4175">
        <v>16</v>
      </c>
      <c r="D4175">
        <v>29.2</v>
      </c>
      <c r="E4175">
        <v>2</v>
      </c>
    </row>
    <row r="4176" spans="1:5" x14ac:dyDescent="0.2">
      <c r="A4176">
        <v>4169</v>
      </c>
      <c r="B4176">
        <v>3817</v>
      </c>
      <c r="C4176">
        <v>16</v>
      </c>
      <c r="D4176">
        <v>29.5</v>
      </c>
      <c r="E4176">
        <v>2</v>
      </c>
    </row>
    <row r="4177" spans="1:5" x14ac:dyDescent="0.2">
      <c r="A4177">
        <v>4170</v>
      </c>
      <c r="B4177">
        <v>3816</v>
      </c>
      <c r="C4177">
        <v>16</v>
      </c>
      <c r="D4177">
        <v>29.8</v>
      </c>
      <c r="E4177">
        <v>2.1</v>
      </c>
    </row>
    <row r="4178" spans="1:5" x14ac:dyDescent="0.2">
      <c r="A4178">
        <v>4171</v>
      </c>
      <c r="B4178">
        <v>3815</v>
      </c>
      <c r="C4178">
        <v>16</v>
      </c>
      <c r="D4178">
        <v>30.1</v>
      </c>
      <c r="E4178">
        <v>2.1</v>
      </c>
    </row>
    <row r="4179" spans="1:5" x14ac:dyDescent="0.2">
      <c r="A4179">
        <v>4172</v>
      </c>
      <c r="B4179">
        <v>3814</v>
      </c>
      <c r="C4179">
        <v>16</v>
      </c>
      <c r="D4179">
        <v>30.3</v>
      </c>
      <c r="E4179">
        <v>2</v>
      </c>
    </row>
    <row r="4180" spans="1:5" x14ac:dyDescent="0.2">
      <c r="A4180">
        <v>4173</v>
      </c>
      <c r="B4180">
        <v>3813</v>
      </c>
      <c r="C4180">
        <v>16</v>
      </c>
      <c r="D4180">
        <v>30.5</v>
      </c>
      <c r="E4180">
        <v>2</v>
      </c>
    </row>
    <row r="4181" spans="1:5" x14ac:dyDescent="0.2">
      <c r="A4181">
        <v>4174</v>
      </c>
      <c r="B4181">
        <v>3813</v>
      </c>
      <c r="C4181">
        <v>16</v>
      </c>
      <c r="D4181">
        <v>30.7</v>
      </c>
      <c r="E4181">
        <v>2</v>
      </c>
    </row>
    <row r="4182" spans="1:5" x14ac:dyDescent="0.2">
      <c r="A4182">
        <v>4175</v>
      </c>
      <c r="B4182">
        <v>3813</v>
      </c>
      <c r="C4182">
        <v>16</v>
      </c>
      <c r="D4182">
        <v>30.9</v>
      </c>
      <c r="E4182">
        <v>2</v>
      </c>
    </row>
    <row r="4183" spans="1:5" x14ac:dyDescent="0.2">
      <c r="A4183">
        <v>4176</v>
      </c>
      <c r="B4183">
        <v>3813</v>
      </c>
      <c r="C4183">
        <v>16</v>
      </c>
      <c r="D4183">
        <v>31</v>
      </c>
      <c r="E4183">
        <v>2</v>
      </c>
    </row>
    <row r="4184" spans="1:5" x14ac:dyDescent="0.2">
      <c r="A4184">
        <v>4177</v>
      </c>
      <c r="B4184">
        <v>3813</v>
      </c>
      <c r="C4184">
        <v>16</v>
      </c>
      <c r="D4184">
        <v>31.1</v>
      </c>
      <c r="E4184">
        <v>2</v>
      </c>
    </row>
    <row r="4185" spans="1:5" x14ac:dyDescent="0.2">
      <c r="A4185">
        <v>4178</v>
      </c>
      <c r="B4185">
        <v>3814</v>
      </c>
      <c r="C4185">
        <v>16</v>
      </c>
      <c r="D4185">
        <v>31.1</v>
      </c>
      <c r="E4185">
        <v>2</v>
      </c>
    </row>
    <row r="4186" spans="1:5" x14ac:dyDescent="0.2">
      <c r="A4186">
        <v>4179</v>
      </c>
      <c r="B4186">
        <v>3815</v>
      </c>
      <c r="C4186">
        <v>16</v>
      </c>
      <c r="D4186">
        <v>31.1</v>
      </c>
      <c r="E4186">
        <v>2</v>
      </c>
    </row>
    <row r="4187" spans="1:5" x14ac:dyDescent="0.2">
      <c r="A4187">
        <v>4180</v>
      </c>
      <c r="B4187">
        <v>3816</v>
      </c>
      <c r="C4187">
        <v>16</v>
      </c>
      <c r="D4187">
        <v>31</v>
      </c>
      <c r="E4187">
        <v>2</v>
      </c>
    </row>
    <row r="4188" spans="1:5" x14ac:dyDescent="0.2">
      <c r="A4188">
        <v>4181</v>
      </c>
      <c r="B4188">
        <v>3818</v>
      </c>
      <c r="C4188">
        <v>15</v>
      </c>
      <c r="D4188">
        <v>30.9</v>
      </c>
      <c r="E4188">
        <v>2</v>
      </c>
    </row>
    <row r="4189" spans="1:5" x14ac:dyDescent="0.2">
      <c r="A4189">
        <v>4182</v>
      </c>
      <c r="B4189">
        <v>3820</v>
      </c>
      <c r="C4189">
        <v>15</v>
      </c>
      <c r="D4189">
        <v>30.8</v>
      </c>
      <c r="E4189">
        <v>2</v>
      </c>
    </row>
    <row r="4190" spans="1:5" x14ac:dyDescent="0.2">
      <c r="A4190">
        <v>4183</v>
      </c>
      <c r="B4190">
        <v>3821</v>
      </c>
      <c r="C4190">
        <v>15</v>
      </c>
      <c r="D4190">
        <v>30.7</v>
      </c>
      <c r="E4190">
        <v>1.9</v>
      </c>
    </row>
    <row r="4191" spans="1:5" x14ac:dyDescent="0.2">
      <c r="A4191">
        <v>4184</v>
      </c>
      <c r="B4191">
        <v>3823</v>
      </c>
      <c r="C4191">
        <v>15</v>
      </c>
      <c r="D4191">
        <v>30.6</v>
      </c>
      <c r="E4191">
        <v>2</v>
      </c>
    </row>
    <row r="4192" spans="1:5" x14ac:dyDescent="0.2">
      <c r="A4192">
        <v>4185</v>
      </c>
      <c r="B4192">
        <v>3825</v>
      </c>
      <c r="C4192">
        <v>15</v>
      </c>
      <c r="D4192">
        <v>30.5</v>
      </c>
      <c r="E4192">
        <v>2</v>
      </c>
    </row>
    <row r="4193" spans="1:5" x14ac:dyDescent="0.2">
      <c r="A4193">
        <v>4186</v>
      </c>
      <c r="B4193">
        <v>3827</v>
      </c>
      <c r="C4193">
        <v>15</v>
      </c>
      <c r="D4193">
        <v>30.4</v>
      </c>
      <c r="E4193">
        <v>2</v>
      </c>
    </row>
    <row r="4194" spans="1:5" x14ac:dyDescent="0.2">
      <c r="A4194">
        <v>4187</v>
      </c>
      <c r="B4194">
        <v>3828</v>
      </c>
      <c r="C4194">
        <v>16</v>
      </c>
      <c r="D4194">
        <v>30.3</v>
      </c>
      <c r="E4194">
        <v>2</v>
      </c>
    </row>
    <row r="4195" spans="1:5" x14ac:dyDescent="0.2">
      <c r="A4195">
        <v>4188</v>
      </c>
      <c r="B4195">
        <v>3830</v>
      </c>
      <c r="C4195">
        <v>15</v>
      </c>
      <c r="D4195">
        <v>30.3</v>
      </c>
      <c r="E4195">
        <v>2</v>
      </c>
    </row>
    <row r="4196" spans="1:5" x14ac:dyDescent="0.2">
      <c r="A4196">
        <v>4189</v>
      </c>
      <c r="B4196">
        <v>3831</v>
      </c>
      <c r="C4196">
        <v>15</v>
      </c>
      <c r="D4196">
        <v>30.3</v>
      </c>
      <c r="E4196">
        <v>2</v>
      </c>
    </row>
    <row r="4197" spans="1:5" x14ac:dyDescent="0.2">
      <c r="A4197">
        <v>4190</v>
      </c>
      <c r="B4197">
        <v>3831</v>
      </c>
      <c r="C4197">
        <v>16</v>
      </c>
      <c r="D4197">
        <v>30.4</v>
      </c>
      <c r="E4197">
        <v>2</v>
      </c>
    </row>
    <row r="4198" spans="1:5" x14ac:dyDescent="0.2">
      <c r="A4198">
        <v>4191</v>
      </c>
      <c r="B4198">
        <v>3831</v>
      </c>
      <c r="C4198">
        <v>16</v>
      </c>
      <c r="D4198">
        <v>30.5</v>
      </c>
      <c r="E4198">
        <v>2</v>
      </c>
    </row>
    <row r="4199" spans="1:5" x14ac:dyDescent="0.2">
      <c r="A4199">
        <v>4192</v>
      </c>
      <c r="B4199">
        <v>3831</v>
      </c>
      <c r="C4199">
        <v>16</v>
      </c>
      <c r="D4199">
        <v>30.6</v>
      </c>
      <c r="E4199">
        <v>2.1</v>
      </c>
    </row>
    <row r="4200" spans="1:5" x14ac:dyDescent="0.2">
      <c r="A4200">
        <v>4193</v>
      </c>
      <c r="B4200">
        <v>3830</v>
      </c>
      <c r="C4200">
        <v>16</v>
      </c>
      <c r="D4200">
        <v>30.8</v>
      </c>
      <c r="E4200">
        <v>2.1</v>
      </c>
    </row>
    <row r="4201" spans="1:5" x14ac:dyDescent="0.2">
      <c r="A4201">
        <v>4194</v>
      </c>
      <c r="B4201">
        <v>3829</v>
      </c>
      <c r="C4201">
        <v>16</v>
      </c>
      <c r="D4201">
        <v>31.1</v>
      </c>
      <c r="E4201">
        <v>2.1</v>
      </c>
    </row>
    <row r="4202" spans="1:5" x14ac:dyDescent="0.2">
      <c r="A4202">
        <v>4195</v>
      </c>
      <c r="B4202">
        <v>3828</v>
      </c>
      <c r="C4202">
        <v>16</v>
      </c>
      <c r="D4202">
        <v>31.4</v>
      </c>
      <c r="E4202">
        <v>2</v>
      </c>
    </row>
    <row r="4203" spans="1:5" x14ac:dyDescent="0.2">
      <c r="A4203">
        <v>4196</v>
      </c>
      <c r="B4203">
        <v>3826</v>
      </c>
      <c r="C4203">
        <v>16</v>
      </c>
      <c r="D4203">
        <v>31.8</v>
      </c>
      <c r="E4203">
        <v>2</v>
      </c>
    </row>
    <row r="4204" spans="1:5" x14ac:dyDescent="0.2">
      <c r="A4204">
        <v>4197</v>
      </c>
      <c r="B4204">
        <v>3824</v>
      </c>
      <c r="C4204">
        <v>16</v>
      </c>
      <c r="D4204">
        <v>32.200000000000003</v>
      </c>
      <c r="E4204">
        <v>2</v>
      </c>
    </row>
    <row r="4205" spans="1:5" x14ac:dyDescent="0.2">
      <c r="A4205">
        <v>4198</v>
      </c>
      <c r="B4205">
        <v>3822</v>
      </c>
      <c r="C4205">
        <v>16</v>
      </c>
      <c r="D4205">
        <v>32.6</v>
      </c>
      <c r="E4205">
        <v>2</v>
      </c>
    </row>
    <row r="4206" spans="1:5" x14ac:dyDescent="0.2">
      <c r="A4206">
        <v>4199</v>
      </c>
      <c r="B4206">
        <v>3819</v>
      </c>
      <c r="C4206">
        <v>16</v>
      </c>
      <c r="D4206">
        <v>33</v>
      </c>
      <c r="E4206">
        <v>2</v>
      </c>
    </row>
    <row r="4207" spans="1:5" x14ac:dyDescent="0.2">
      <c r="A4207">
        <v>4200</v>
      </c>
      <c r="B4207">
        <v>3816</v>
      </c>
      <c r="C4207">
        <v>16</v>
      </c>
      <c r="D4207">
        <v>33.5</v>
      </c>
      <c r="E4207">
        <v>2.1</v>
      </c>
    </row>
    <row r="4208" spans="1:5" x14ac:dyDescent="0.2">
      <c r="A4208">
        <v>4201</v>
      </c>
      <c r="B4208">
        <v>3814</v>
      </c>
      <c r="C4208">
        <v>16</v>
      </c>
      <c r="D4208">
        <v>34</v>
      </c>
      <c r="E4208">
        <v>2.1</v>
      </c>
    </row>
    <row r="4209" spans="1:5" x14ac:dyDescent="0.2">
      <c r="A4209">
        <v>4202</v>
      </c>
      <c r="B4209">
        <v>3811</v>
      </c>
      <c r="C4209">
        <v>16</v>
      </c>
      <c r="D4209">
        <v>34.4</v>
      </c>
      <c r="E4209">
        <v>2.1</v>
      </c>
    </row>
    <row r="4210" spans="1:5" x14ac:dyDescent="0.2">
      <c r="A4210">
        <v>4203</v>
      </c>
      <c r="B4210">
        <v>3808</v>
      </c>
      <c r="C4210">
        <v>16</v>
      </c>
      <c r="D4210">
        <v>34.9</v>
      </c>
      <c r="E4210">
        <v>2.1</v>
      </c>
    </row>
    <row r="4211" spans="1:5" x14ac:dyDescent="0.2">
      <c r="A4211">
        <v>4204</v>
      </c>
      <c r="B4211">
        <v>3806</v>
      </c>
      <c r="C4211">
        <v>16</v>
      </c>
      <c r="D4211">
        <v>35.4</v>
      </c>
      <c r="E4211">
        <v>2.1</v>
      </c>
    </row>
    <row r="4212" spans="1:5" x14ac:dyDescent="0.2">
      <c r="A4212">
        <v>4205</v>
      </c>
      <c r="B4212">
        <v>3803</v>
      </c>
      <c r="C4212">
        <v>16</v>
      </c>
      <c r="D4212">
        <v>35.799999999999997</v>
      </c>
      <c r="E4212">
        <v>2.1</v>
      </c>
    </row>
    <row r="4213" spans="1:5" x14ac:dyDescent="0.2">
      <c r="A4213">
        <v>4206</v>
      </c>
      <c r="B4213">
        <v>3801</v>
      </c>
      <c r="C4213">
        <v>16</v>
      </c>
      <c r="D4213">
        <v>36.299999999999997</v>
      </c>
      <c r="E4213">
        <v>2</v>
      </c>
    </row>
    <row r="4214" spans="1:5" x14ac:dyDescent="0.2">
      <c r="A4214">
        <v>4207</v>
      </c>
      <c r="B4214">
        <v>3798</v>
      </c>
      <c r="C4214">
        <v>16</v>
      </c>
      <c r="D4214">
        <v>36.700000000000003</v>
      </c>
      <c r="E4214">
        <v>2.1</v>
      </c>
    </row>
    <row r="4215" spans="1:5" x14ac:dyDescent="0.2">
      <c r="A4215">
        <v>4208</v>
      </c>
      <c r="B4215">
        <v>3796</v>
      </c>
      <c r="C4215">
        <v>16</v>
      </c>
      <c r="D4215">
        <v>37.1</v>
      </c>
      <c r="E4215">
        <v>2.1</v>
      </c>
    </row>
    <row r="4216" spans="1:5" x14ac:dyDescent="0.2">
      <c r="A4216">
        <v>4209</v>
      </c>
      <c r="B4216">
        <v>3795</v>
      </c>
      <c r="C4216">
        <v>16</v>
      </c>
      <c r="D4216">
        <v>37.4</v>
      </c>
      <c r="E4216">
        <v>2.1</v>
      </c>
    </row>
    <row r="4217" spans="1:5" x14ac:dyDescent="0.2">
      <c r="A4217">
        <v>4210</v>
      </c>
      <c r="B4217">
        <v>3793</v>
      </c>
      <c r="C4217">
        <v>17</v>
      </c>
      <c r="D4217">
        <v>37.799999999999997</v>
      </c>
      <c r="E4217">
        <v>2.2000000000000002</v>
      </c>
    </row>
    <row r="4218" spans="1:5" x14ac:dyDescent="0.2">
      <c r="A4218">
        <v>4211</v>
      </c>
      <c r="B4218">
        <v>3792</v>
      </c>
      <c r="C4218">
        <v>17</v>
      </c>
      <c r="D4218">
        <v>38</v>
      </c>
      <c r="E4218">
        <v>2.2000000000000002</v>
      </c>
    </row>
    <row r="4219" spans="1:5" x14ac:dyDescent="0.2">
      <c r="A4219">
        <v>4212</v>
      </c>
      <c r="B4219">
        <v>3791</v>
      </c>
      <c r="C4219">
        <v>17</v>
      </c>
      <c r="D4219">
        <v>38.200000000000003</v>
      </c>
      <c r="E4219">
        <v>2.2000000000000002</v>
      </c>
    </row>
    <row r="4220" spans="1:5" x14ac:dyDescent="0.2">
      <c r="A4220">
        <v>4213</v>
      </c>
      <c r="B4220">
        <v>3791</v>
      </c>
      <c r="C4220">
        <v>17</v>
      </c>
      <c r="D4220">
        <v>38.4</v>
      </c>
      <c r="E4220">
        <v>2.2000000000000002</v>
      </c>
    </row>
    <row r="4221" spans="1:5" x14ac:dyDescent="0.2">
      <c r="A4221">
        <v>4214</v>
      </c>
      <c r="B4221">
        <v>3791</v>
      </c>
      <c r="C4221">
        <v>17</v>
      </c>
      <c r="D4221">
        <v>38.6</v>
      </c>
      <c r="E4221">
        <v>2.2000000000000002</v>
      </c>
    </row>
    <row r="4222" spans="1:5" x14ac:dyDescent="0.2">
      <c r="A4222">
        <v>4215</v>
      </c>
      <c r="B4222">
        <v>3791</v>
      </c>
      <c r="C4222">
        <v>17</v>
      </c>
      <c r="D4222">
        <v>38.700000000000003</v>
      </c>
      <c r="E4222">
        <v>2.1</v>
      </c>
    </row>
    <row r="4223" spans="1:5" x14ac:dyDescent="0.2">
      <c r="A4223">
        <v>4216</v>
      </c>
      <c r="B4223">
        <v>3792</v>
      </c>
      <c r="C4223">
        <v>16</v>
      </c>
      <c r="D4223">
        <v>38.700000000000003</v>
      </c>
      <c r="E4223">
        <v>2.1</v>
      </c>
    </row>
    <row r="4224" spans="1:5" x14ac:dyDescent="0.2">
      <c r="A4224">
        <v>4217</v>
      </c>
      <c r="B4224">
        <v>3793</v>
      </c>
      <c r="C4224">
        <v>16</v>
      </c>
      <c r="D4224">
        <v>38.700000000000003</v>
      </c>
      <c r="E4224">
        <v>2.1</v>
      </c>
    </row>
    <row r="4225" spans="1:5" x14ac:dyDescent="0.2">
      <c r="A4225">
        <v>4218</v>
      </c>
      <c r="B4225">
        <v>3794</v>
      </c>
      <c r="C4225">
        <v>17</v>
      </c>
      <c r="D4225">
        <v>38.700000000000003</v>
      </c>
      <c r="E4225">
        <v>2.1</v>
      </c>
    </row>
    <row r="4226" spans="1:5" x14ac:dyDescent="0.2">
      <c r="A4226">
        <v>4219</v>
      </c>
      <c r="B4226">
        <v>3795</v>
      </c>
      <c r="C4226">
        <v>17</v>
      </c>
      <c r="D4226">
        <v>38.700000000000003</v>
      </c>
      <c r="E4226">
        <v>2.2000000000000002</v>
      </c>
    </row>
    <row r="4227" spans="1:5" x14ac:dyDescent="0.2">
      <c r="A4227">
        <v>4220</v>
      </c>
      <c r="B4227">
        <v>3796</v>
      </c>
      <c r="C4227">
        <v>17</v>
      </c>
      <c r="D4227">
        <v>38.6</v>
      </c>
      <c r="E4227">
        <v>2.2000000000000002</v>
      </c>
    </row>
    <row r="4228" spans="1:5" x14ac:dyDescent="0.2">
      <c r="A4228">
        <v>4221</v>
      </c>
      <c r="B4228">
        <v>3798</v>
      </c>
      <c r="C4228">
        <v>17</v>
      </c>
      <c r="D4228">
        <v>38.5</v>
      </c>
      <c r="E4228">
        <v>2.2000000000000002</v>
      </c>
    </row>
    <row r="4229" spans="1:5" x14ac:dyDescent="0.2">
      <c r="A4229">
        <v>4222</v>
      </c>
      <c r="B4229">
        <v>3800</v>
      </c>
      <c r="C4229">
        <v>17</v>
      </c>
      <c r="D4229">
        <v>38.4</v>
      </c>
      <c r="E4229">
        <v>2.2000000000000002</v>
      </c>
    </row>
    <row r="4230" spans="1:5" x14ac:dyDescent="0.2">
      <c r="A4230">
        <v>4223</v>
      </c>
      <c r="B4230">
        <v>3801</v>
      </c>
      <c r="C4230">
        <v>17</v>
      </c>
      <c r="D4230">
        <v>38.299999999999997</v>
      </c>
      <c r="E4230">
        <v>2.2000000000000002</v>
      </c>
    </row>
    <row r="4231" spans="1:5" x14ac:dyDescent="0.2">
      <c r="A4231">
        <v>4224</v>
      </c>
      <c r="B4231">
        <v>3803</v>
      </c>
      <c r="C4231">
        <v>17</v>
      </c>
      <c r="D4231">
        <v>38.200000000000003</v>
      </c>
      <c r="E4231">
        <v>2.2000000000000002</v>
      </c>
    </row>
    <row r="4232" spans="1:5" x14ac:dyDescent="0.2">
      <c r="A4232">
        <v>4225</v>
      </c>
      <c r="B4232">
        <v>3805</v>
      </c>
      <c r="C4232">
        <v>16</v>
      </c>
      <c r="D4232">
        <v>38.1</v>
      </c>
      <c r="E4232">
        <v>2.1</v>
      </c>
    </row>
    <row r="4233" spans="1:5" x14ac:dyDescent="0.2">
      <c r="A4233">
        <v>4226</v>
      </c>
      <c r="B4233">
        <v>3807</v>
      </c>
      <c r="C4233">
        <v>16</v>
      </c>
      <c r="D4233">
        <v>37.9</v>
      </c>
      <c r="E4233">
        <v>2.1</v>
      </c>
    </row>
    <row r="4234" spans="1:5" x14ac:dyDescent="0.2">
      <c r="A4234">
        <v>4227</v>
      </c>
      <c r="B4234">
        <v>3809</v>
      </c>
      <c r="C4234">
        <v>16</v>
      </c>
      <c r="D4234">
        <v>37.799999999999997</v>
      </c>
      <c r="E4234">
        <v>2.1</v>
      </c>
    </row>
    <row r="4235" spans="1:5" x14ac:dyDescent="0.2">
      <c r="A4235">
        <v>4228</v>
      </c>
      <c r="B4235">
        <v>3811</v>
      </c>
      <c r="C4235">
        <v>16</v>
      </c>
      <c r="D4235">
        <v>37.700000000000003</v>
      </c>
      <c r="E4235">
        <v>2.1</v>
      </c>
    </row>
    <row r="4236" spans="1:5" x14ac:dyDescent="0.2">
      <c r="A4236">
        <v>4229</v>
      </c>
      <c r="B4236">
        <v>3813</v>
      </c>
      <c r="C4236">
        <v>16</v>
      </c>
      <c r="D4236">
        <v>37.5</v>
      </c>
      <c r="E4236">
        <v>2.1</v>
      </c>
    </row>
    <row r="4237" spans="1:5" x14ac:dyDescent="0.2">
      <c r="A4237">
        <v>4230</v>
      </c>
      <c r="B4237">
        <v>3815</v>
      </c>
      <c r="C4237">
        <v>16</v>
      </c>
      <c r="D4237">
        <v>37.4</v>
      </c>
      <c r="E4237">
        <v>2.1</v>
      </c>
    </row>
    <row r="4238" spans="1:5" x14ac:dyDescent="0.2">
      <c r="A4238">
        <v>4231</v>
      </c>
      <c r="B4238">
        <v>3818</v>
      </c>
      <c r="C4238">
        <v>16</v>
      </c>
      <c r="D4238">
        <v>37.200000000000003</v>
      </c>
      <c r="E4238">
        <v>2.1</v>
      </c>
    </row>
    <row r="4239" spans="1:5" x14ac:dyDescent="0.2">
      <c r="A4239">
        <v>4232</v>
      </c>
      <c r="B4239">
        <v>3820</v>
      </c>
      <c r="C4239">
        <v>16</v>
      </c>
      <c r="D4239">
        <v>37.1</v>
      </c>
      <c r="E4239">
        <v>2</v>
      </c>
    </row>
    <row r="4240" spans="1:5" x14ac:dyDescent="0.2">
      <c r="A4240">
        <v>4233</v>
      </c>
      <c r="B4240">
        <v>3822</v>
      </c>
      <c r="C4240">
        <v>16</v>
      </c>
      <c r="D4240">
        <v>37</v>
      </c>
      <c r="E4240">
        <v>2</v>
      </c>
    </row>
    <row r="4241" spans="1:5" x14ac:dyDescent="0.2">
      <c r="A4241">
        <v>4234</v>
      </c>
      <c r="B4241">
        <v>3824</v>
      </c>
      <c r="C4241">
        <v>16</v>
      </c>
      <c r="D4241">
        <v>36.799999999999997</v>
      </c>
      <c r="E4241">
        <v>2</v>
      </c>
    </row>
    <row r="4242" spans="1:5" x14ac:dyDescent="0.2">
      <c r="A4242">
        <v>4235</v>
      </c>
      <c r="B4242">
        <v>3826</v>
      </c>
      <c r="C4242">
        <v>16</v>
      </c>
      <c r="D4242">
        <v>36.6</v>
      </c>
      <c r="E4242">
        <v>2.1</v>
      </c>
    </row>
    <row r="4243" spans="1:5" x14ac:dyDescent="0.2">
      <c r="A4243">
        <v>4236</v>
      </c>
      <c r="B4243">
        <v>3829</v>
      </c>
      <c r="C4243">
        <v>16</v>
      </c>
      <c r="D4243">
        <v>36.4</v>
      </c>
      <c r="E4243">
        <v>2.1</v>
      </c>
    </row>
    <row r="4244" spans="1:5" x14ac:dyDescent="0.2">
      <c r="A4244">
        <v>4237</v>
      </c>
      <c r="B4244">
        <v>3832</v>
      </c>
      <c r="C4244">
        <v>16</v>
      </c>
      <c r="D4244">
        <v>36.200000000000003</v>
      </c>
      <c r="E4244">
        <v>2.1</v>
      </c>
    </row>
    <row r="4245" spans="1:5" x14ac:dyDescent="0.2">
      <c r="A4245">
        <v>4238</v>
      </c>
      <c r="B4245">
        <v>3835</v>
      </c>
      <c r="C4245">
        <v>16</v>
      </c>
      <c r="D4245">
        <v>35.9</v>
      </c>
      <c r="E4245">
        <v>2</v>
      </c>
    </row>
    <row r="4246" spans="1:5" x14ac:dyDescent="0.2">
      <c r="A4246">
        <v>4239</v>
      </c>
      <c r="B4246">
        <v>3838</v>
      </c>
      <c r="C4246">
        <v>16</v>
      </c>
      <c r="D4246">
        <v>35.6</v>
      </c>
      <c r="E4246">
        <v>2</v>
      </c>
    </row>
    <row r="4247" spans="1:5" x14ac:dyDescent="0.2">
      <c r="A4247">
        <v>4240</v>
      </c>
      <c r="B4247">
        <v>3841</v>
      </c>
      <c r="C4247">
        <v>15</v>
      </c>
      <c r="D4247">
        <v>35.4</v>
      </c>
      <c r="E4247">
        <v>2</v>
      </c>
    </row>
    <row r="4248" spans="1:5" x14ac:dyDescent="0.2">
      <c r="A4248">
        <v>4241</v>
      </c>
      <c r="B4248">
        <v>3844</v>
      </c>
      <c r="C4248">
        <v>15</v>
      </c>
      <c r="D4248">
        <v>35.1</v>
      </c>
      <c r="E4248">
        <v>2</v>
      </c>
    </row>
    <row r="4249" spans="1:5" x14ac:dyDescent="0.2">
      <c r="A4249">
        <v>4242</v>
      </c>
      <c r="B4249">
        <v>3847</v>
      </c>
      <c r="C4249">
        <v>15</v>
      </c>
      <c r="D4249">
        <v>34.799999999999997</v>
      </c>
      <c r="E4249">
        <v>2</v>
      </c>
    </row>
    <row r="4250" spans="1:5" x14ac:dyDescent="0.2">
      <c r="A4250">
        <v>4243</v>
      </c>
      <c r="B4250">
        <v>3850</v>
      </c>
      <c r="C4250">
        <v>16</v>
      </c>
      <c r="D4250">
        <v>34.6</v>
      </c>
      <c r="E4250">
        <v>2</v>
      </c>
    </row>
    <row r="4251" spans="1:5" x14ac:dyDescent="0.2">
      <c r="A4251">
        <v>4244</v>
      </c>
      <c r="B4251">
        <v>3852</v>
      </c>
      <c r="C4251">
        <v>16</v>
      </c>
      <c r="D4251">
        <v>34.4</v>
      </c>
      <c r="E4251">
        <v>2</v>
      </c>
    </row>
    <row r="4252" spans="1:5" x14ac:dyDescent="0.2">
      <c r="A4252">
        <v>4245</v>
      </c>
      <c r="B4252">
        <v>3854</v>
      </c>
      <c r="C4252">
        <v>16</v>
      </c>
      <c r="D4252">
        <v>34.200000000000003</v>
      </c>
      <c r="E4252">
        <v>2</v>
      </c>
    </row>
    <row r="4253" spans="1:5" x14ac:dyDescent="0.2">
      <c r="A4253">
        <v>4246</v>
      </c>
      <c r="B4253">
        <v>3856</v>
      </c>
      <c r="C4253">
        <v>15</v>
      </c>
      <c r="D4253">
        <v>34.1</v>
      </c>
      <c r="E4253">
        <v>2</v>
      </c>
    </row>
    <row r="4254" spans="1:5" x14ac:dyDescent="0.2">
      <c r="A4254">
        <v>4247</v>
      </c>
      <c r="B4254">
        <v>3858</v>
      </c>
      <c r="C4254">
        <v>16</v>
      </c>
      <c r="D4254">
        <v>34</v>
      </c>
      <c r="E4254">
        <v>2</v>
      </c>
    </row>
    <row r="4255" spans="1:5" x14ac:dyDescent="0.2">
      <c r="A4255">
        <v>4248</v>
      </c>
      <c r="B4255">
        <v>3860</v>
      </c>
      <c r="C4255">
        <v>16</v>
      </c>
      <c r="D4255">
        <v>33.9</v>
      </c>
      <c r="E4255">
        <v>2</v>
      </c>
    </row>
    <row r="4256" spans="1:5" x14ac:dyDescent="0.2">
      <c r="A4256">
        <v>4249</v>
      </c>
      <c r="B4256">
        <v>3861</v>
      </c>
      <c r="C4256">
        <v>16</v>
      </c>
      <c r="D4256">
        <v>33.799999999999997</v>
      </c>
      <c r="E4256">
        <v>2.1</v>
      </c>
    </row>
    <row r="4257" spans="1:5" x14ac:dyDescent="0.2">
      <c r="A4257">
        <v>4250</v>
      </c>
      <c r="B4257">
        <v>3863</v>
      </c>
      <c r="C4257">
        <v>17</v>
      </c>
      <c r="D4257">
        <v>33.799999999999997</v>
      </c>
      <c r="E4257">
        <v>2.1</v>
      </c>
    </row>
    <row r="4258" spans="1:5" x14ac:dyDescent="0.2">
      <c r="A4258">
        <v>4251</v>
      </c>
      <c r="B4258">
        <v>3864</v>
      </c>
      <c r="C4258">
        <v>17</v>
      </c>
      <c r="D4258">
        <v>33.799999999999997</v>
      </c>
      <c r="E4258">
        <v>2.2000000000000002</v>
      </c>
    </row>
    <row r="4259" spans="1:5" x14ac:dyDescent="0.2">
      <c r="A4259">
        <v>4252</v>
      </c>
      <c r="B4259">
        <v>3865</v>
      </c>
      <c r="C4259">
        <v>17</v>
      </c>
      <c r="D4259">
        <v>33.799999999999997</v>
      </c>
      <c r="E4259">
        <v>2.2000000000000002</v>
      </c>
    </row>
    <row r="4260" spans="1:5" x14ac:dyDescent="0.2">
      <c r="A4260">
        <v>4253</v>
      </c>
      <c r="B4260">
        <v>3866</v>
      </c>
      <c r="C4260">
        <v>17</v>
      </c>
      <c r="D4260">
        <v>33.799999999999997</v>
      </c>
      <c r="E4260">
        <v>2.2000000000000002</v>
      </c>
    </row>
    <row r="4261" spans="1:5" x14ac:dyDescent="0.2">
      <c r="A4261">
        <v>4254</v>
      </c>
      <c r="B4261">
        <v>3867</v>
      </c>
      <c r="C4261">
        <v>17</v>
      </c>
      <c r="D4261">
        <v>33.799999999999997</v>
      </c>
      <c r="E4261">
        <v>2.2000000000000002</v>
      </c>
    </row>
    <row r="4262" spans="1:5" x14ac:dyDescent="0.2">
      <c r="A4262">
        <v>4255</v>
      </c>
      <c r="B4262">
        <v>3868</v>
      </c>
      <c r="C4262">
        <v>17</v>
      </c>
      <c r="D4262">
        <v>33.799999999999997</v>
      </c>
      <c r="E4262">
        <v>2.2000000000000002</v>
      </c>
    </row>
    <row r="4263" spans="1:5" x14ac:dyDescent="0.2">
      <c r="A4263">
        <v>4256</v>
      </c>
      <c r="B4263">
        <v>3868</v>
      </c>
      <c r="C4263">
        <v>17</v>
      </c>
      <c r="D4263">
        <v>33.9</v>
      </c>
      <c r="E4263">
        <v>2.2000000000000002</v>
      </c>
    </row>
    <row r="4264" spans="1:5" x14ac:dyDescent="0.2">
      <c r="A4264">
        <v>4257</v>
      </c>
      <c r="B4264">
        <v>3869</v>
      </c>
      <c r="C4264">
        <v>17</v>
      </c>
      <c r="D4264">
        <v>33.9</v>
      </c>
      <c r="E4264">
        <v>2.2000000000000002</v>
      </c>
    </row>
    <row r="4265" spans="1:5" x14ac:dyDescent="0.2">
      <c r="A4265">
        <v>4258</v>
      </c>
      <c r="B4265">
        <v>3869</v>
      </c>
      <c r="C4265">
        <v>17</v>
      </c>
      <c r="D4265">
        <v>34</v>
      </c>
      <c r="E4265">
        <v>2.2000000000000002</v>
      </c>
    </row>
    <row r="4266" spans="1:5" x14ac:dyDescent="0.2">
      <c r="A4266">
        <v>4259</v>
      </c>
      <c r="B4266">
        <v>3870</v>
      </c>
      <c r="C4266">
        <v>17</v>
      </c>
      <c r="D4266">
        <v>34</v>
      </c>
      <c r="E4266">
        <v>2.2000000000000002</v>
      </c>
    </row>
    <row r="4267" spans="1:5" x14ac:dyDescent="0.2">
      <c r="A4267">
        <v>4260</v>
      </c>
      <c r="B4267">
        <v>3870</v>
      </c>
      <c r="C4267">
        <v>18</v>
      </c>
      <c r="D4267">
        <v>34.1</v>
      </c>
      <c r="E4267">
        <v>2.2999999999999998</v>
      </c>
    </row>
    <row r="4268" spans="1:5" x14ac:dyDescent="0.2">
      <c r="A4268">
        <v>4261</v>
      </c>
      <c r="B4268">
        <v>3870</v>
      </c>
      <c r="C4268">
        <v>18</v>
      </c>
      <c r="D4268">
        <v>34.200000000000003</v>
      </c>
      <c r="E4268">
        <v>2.2999999999999998</v>
      </c>
    </row>
    <row r="4269" spans="1:5" x14ac:dyDescent="0.2">
      <c r="A4269">
        <v>4262</v>
      </c>
      <c r="B4269">
        <v>3870</v>
      </c>
      <c r="C4269">
        <v>17</v>
      </c>
      <c r="D4269">
        <v>34.4</v>
      </c>
      <c r="E4269">
        <v>2.2999999999999998</v>
      </c>
    </row>
    <row r="4270" spans="1:5" x14ac:dyDescent="0.2">
      <c r="A4270">
        <v>4263</v>
      </c>
      <c r="B4270">
        <v>3870</v>
      </c>
      <c r="C4270">
        <v>17</v>
      </c>
      <c r="D4270">
        <v>34.5</v>
      </c>
      <c r="E4270">
        <v>2.2000000000000002</v>
      </c>
    </row>
    <row r="4271" spans="1:5" x14ac:dyDescent="0.2">
      <c r="A4271">
        <v>4264</v>
      </c>
      <c r="B4271">
        <v>3870</v>
      </c>
      <c r="C4271">
        <v>17</v>
      </c>
      <c r="D4271">
        <v>34.6</v>
      </c>
      <c r="E4271">
        <v>2.2000000000000002</v>
      </c>
    </row>
    <row r="4272" spans="1:5" x14ac:dyDescent="0.2">
      <c r="A4272">
        <v>4265</v>
      </c>
      <c r="B4272">
        <v>3869</v>
      </c>
      <c r="C4272">
        <v>17</v>
      </c>
      <c r="D4272">
        <v>34.799999999999997</v>
      </c>
      <c r="E4272">
        <v>2.2000000000000002</v>
      </c>
    </row>
    <row r="4273" spans="1:5" x14ac:dyDescent="0.2">
      <c r="A4273">
        <v>4266</v>
      </c>
      <c r="B4273">
        <v>3869</v>
      </c>
      <c r="C4273">
        <v>17</v>
      </c>
      <c r="D4273">
        <v>35</v>
      </c>
      <c r="E4273">
        <v>2.1</v>
      </c>
    </row>
    <row r="4274" spans="1:5" x14ac:dyDescent="0.2">
      <c r="A4274">
        <v>4267</v>
      </c>
      <c r="B4274">
        <v>3868</v>
      </c>
      <c r="C4274">
        <v>17</v>
      </c>
      <c r="D4274">
        <v>35.200000000000003</v>
      </c>
      <c r="E4274">
        <v>2.2000000000000002</v>
      </c>
    </row>
    <row r="4275" spans="1:5" x14ac:dyDescent="0.2">
      <c r="A4275">
        <v>4268</v>
      </c>
      <c r="B4275">
        <v>3868</v>
      </c>
      <c r="C4275">
        <v>17</v>
      </c>
      <c r="D4275">
        <v>35.4</v>
      </c>
      <c r="E4275">
        <v>2.2000000000000002</v>
      </c>
    </row>
    <row r="4276" spans="1:5" x14ac:dyDescent="0.2">
      <c r="A4276">
        <v>4269</v>
      </c>
      <c r="B4276">
        <v>3867</v>
      </c>
      <c r="C4276">
        <v>17</v>
      </c>
      <c r="D4276">
        <v>35.6</v>
      </c>
      <c r="E4276">
        <v>2.2000000000000002</v>
      </c>
    </row>
    <row r="4277" spans="1:5" x14ac:dyDescent="0.2">
      <c r="A4277">
        <v>4270</v>
      </c>
      <c r="B4277">
        <v>3866</v>
      </c>
      <c r="C4277">
        <v>17</v>
      </c>
      <c r="D4277">
        <v>35.9</v>
      </c>
      <c r="E4277">
        <v>2.2000000000000002</v>
      </c>
    </row>
    <row r="4278" spans="1:5" x14ac:dyDescent="0.2">
      <c r="A4278">
        <v>4271</v>
      </c>
      <c r="B4278">
        <v>3865</v>
      </c>
      <c r="C4278">
        <v>17</v>
      </c>
      <c r="D4278">
        <v>36.200000000000003</v>
      </c>
      <c r="E4278">
        <v>2.2000000000000002</v>
      </c>
    </row>
    <row r="4279" spans="1:5" x14ac:dyDescent="0.2">
      <c r="A4279">
        <v>4272</v>
      </c>
      <c r="B4279">
        <v>3864</v>
      </c>
      <c r="C4279">
        <v>17</v>
      </c>
      <c r="D4279">
        <v>36.4</v>
      </c>
      <c r="E4279">
        <v>2.1</v>
      </c>
    </row>
    <row r="4280" spans="1:5" x14ac:dyDescent="0.2">
      <c r="A4280">
        <v>4273</v>
      </c>
      <c r="B4280">
        <v>3862</v>
      </c>
      <c r="C4280">
        <v>16</v>
      </c>
      <c r="D4280">
        <v>36.700000000000003</v>
      </c>
      <c r="E4280">
        <v>2.1</v>
      </c>
    </row>
    <row r="4281" spans="1:5" x14ac:dyDescent="0.2">
      <c r="A4281">
        <v>4274</v>
      </c>
      <c r="B4281">
        <v>3861</v>
      </c>
      <c r="C4281">
        <v>16</v>
      </c>
      <c r="D4281">
        <v>37.1</v>
      </c>
      <c r="E4281">
        <v>2</v>
      </c>
    </row>
    <row r="4282" spans="1:5" x14ac:dyDescent="0.2">
      <c r="A4282">
        <v>4275</v>
      </c>
      <c r="B4282">
        <v>3859</v>
      </c>
      <c r="C4282">
        <v>15</v>
      </c>
      <c r="D4282">
        <v>37.4</v>
      </c>
      <c r="E4282">
        <v>2</v>
      </c>
    </row>
    <row r="4283" spans="1:5" x14ac:dyDescent="0.2">
      <c r="A4283">
        <v>4276</v>
      </c>
      <c r="B4283">
        <v>3858</v>
      </c>
      <c r="C4283">
        <v>15</v>
      </c>
      <c r="D4283">
        <v>37.6</v>
      </c>
      <c r="E4283">
        <v>2</v>
      </c>
    </row>
    <row r="4284" spans="1:5" x14ac:dyDescent="0.2">
      <c r="A4284">
        <v>4277</v>
      </c>
      <c r="B4284">
        <v>3857</v>
      </c>
      <c r="C4284">
        <v>15</v>
      </c>
      <c r="D4284">
        <v>37.9</v>
      </c>
      <c r="E4284">
        <v>2</v>
      </c>
    </row>
    <row r="4285" spans="1:5" x14ac:dyDescent="0.2">
      <c r="A4285">
        <v>4278</v>
      </c>
      <c r="B4285">
        <v>3856</v>
      </c>
      <c r="C4285">
        <v>16</v>
      </c>
      <c r="D4285">
        <v>38.200000000000003</v>
      </c>
      <c r="E4285">
        <v>2</v>
      </c>
    </row>
    <row r="4286" spans="1:5" x14ac:dyDescent="0.2">
      <c r="A4286">
        <v>4279</v>
      </c>
      <c r="B4286">
        <v>3855</v>
      </c>
      <c r="C4286">
        <v>16</v>
      </c>
      <c r="D4286">
        <v>38.4</v>
      </c>
      <c r="E4286">
        <v>2</v>
      </c>
    </row>
    <row r="4287" spans="1:5" x14ac:dyDescent="0.2">
      <c r="A4287">
        <v>4280</v>
      </c>
      <c r="B4287">
        <v>3855</v>
      </c>
      <c r="C4287">
        <v>16</v>
      </c>
      <c r="D4287">
        <v>38.6</v>
      </c>
      <c r="E4287">
        <v>2.1</v>
      </c>
    </row>
    <row r="4288" spans="1:5" x14ac:dyDescent="0.2">
      <c r="A4288">
        <v>4281</v>
      </c>
      <c r="B4288">
        <v>3855</v>
      </c>
      <c r="C4288">
        <v>16</v>
      </c>
      <c r="D4288">
        <v>38.700000000000003</v>
      </c>
      <c r="E4288">
        <v>2.1</v>
      </c>
    </row>
    <row r="4289" spans="1:5" x14ac:dyDescent="0.2">
      <c r="A4289">
        <v>4282</v>
      </c>
      <c r="B4289">
        <v>3855</v>
      </c>
      <c r="C4289">
        <v>16</v>
      </c>
      <c r="D4289">
        <v>38.799999999999997</v>
      </c>
      <c r="E4289">
        <v>2.1</v>
      </c>
    </row>
    <row r="4290" spans="1:5" x14ac:dyDescent="0.2">
      <c r="A4290">
        <v>4283</v>
      </c>
      <c r="B4290">
        <v>3856</v>
      </c>
      <c r="C4290">
        <v>16</v>
      </c>
      <c r="D4290">
        <v>38.799999999999997</v>
      </c>
      <c r="E4290">
        <v>2</v>
      </c>
    </row>
    <row r="4291" spans="1:5" x14ac:dyDescent="0.2">
      <c r="A4291">
        <v>4284</v>
      </c>
      <c r="B4291">
        <v>3857</v>
      </c>
      <c r="C4291">
        <v>16</v>
      </c>
      <c r="D4291">
        <v>38.799999999999997</v>
      </c>
      <c r="E4291">
        <v>2</v>
      </c>
    </row>
    <row r="4292" spans="1:5" x14ac:dyDescent="0.2">
      <c r="A4292">
        <v>4285</v>
      </c>
      <c r="B4292">
        <v>3858</v>
      </c>
      <c r="C4292">
        <v>15</v>
      </c>
      <c r="D4292">
        <v>38.799999999999997</v>
      </c>
      <c r="E4292">
        <v>2</v>
      </c>
    </row>
    <row r="4293" spans="1:5" x14ac:dyDescent="0.2">
      <c r="A4293">
        <v>4286</v>
      </c>
      <c r="B4293">
        <v>3859</v>
      </c>
      <c r="C4293">
        <v>16</v>
      </c>
      <c r="D4293">
        <v>38.700000000000003</v>
      </c>
      <c r="E4293">
        <v>2</v>
      </c>
    </row>
    <row r="4294" spans="1:5" x14ac:dyDescent="0.2">
      <c r="A4294">
        <v>4287</v>
      </c>
      <c r="B4294">
        <v>3861</v>
      </c>
      <c r="C4294">
        <v>16</v>
      </c>
      <c r="D4294">
        <v>38.6</v>
      </c>
      <c r="E4294">
        <v>2.1</v>
      </c>
    </row>
    <row r="4295" spans="1:5" x14ac:dyDescent="0.2">
      <c r="A4295">
        <v>4288</v>
      </c>
      <c r="B4295">
        <v>3863</v>
      </c>
      <c r="C4295">
        <v>16</v>
      </c>
      <c r="D4295">
        <v>38.5</v>
      </c>
      <c r="E4295">
        <v>2.1</v>
      </c>
    </row>
    <row r="4296" spans="1:5" x14ac:dyDescent="0.2">
      <c r="A4296">
        <v>4289</v>
      </c>
      <c r="B4296">
        <v>3866</v>
      </c>
      <c r="C4296">
        <v>17</v>
      </c>
      <c r="D4296">
        <v>38.299999999999997</v>
      </c>
      <c r="E4296">
        <v>2.1</v>
      </c>
    </row>
    <row r="4297" spans="1:5" x14ac:dyDescent="0.2">
      <c r="A4297">
        <v>4290</v>
      </c>
      <c r="B4297">
        <v>3868</v>
      </c>
      <c r="C4297">
        <v>17</v>
      </c>
      <c r="D4297">
        <v>38.1</v>
      </c>
      <c r="E4297">
        <v>2.2000000000000002</v>
      </c>
    </row>
    <row r="4298" spans="1:5" x14ac:dyDescent="0.2">
      <c r="A4298">
        <v>4291</v>
      </c>
      <c r="B4298">
        <v>3871</v>
      </c>
      <c r="C4298">
        <v>17</v>
      </c>
      <c r="D4298">
        <v>37.9</v>
      </c>
      <c r="E4298">
        <v>2.2000000000000002</v>
      </c>
    </row>
    <row r="4299" spans="1:5" x14ac:dyDescent="0.2">
      <c r="A4299">
        <v>4292</v>
      </c>
      <c r="B4299">
        <v>3874</v>
      </c>
      <c r="C4299">
        <v>17</v>
      </c>
      <c r="D4299">
        <v>37.6</v>
      </c>
      <c r="E4299">
        <v>2.2000000000000002</v>
      </c>
    </row>
    <row r="4300" spans="1:5" x14ac:dyDescent="0.2">
      <c r="A4300">
        <v>4293</v>
      </c>
      <c r="B4300">
        <v>3877</v>
      </c>
      <c r="C4300">
        <v>17</v>
      </c>
      <c r="D4300">
        <v>37.4</v>
      </c>
      <c r="E4300">
        <v>2.1</v>
      </c>
    </row>
    <row r="4301" spans="1:5" x14ac:dyDescent="0.2">
      <c r="A4301">
        <v>4294</v>
      </c>
      <c r="B4301">
        <v>3880</v>
      </c>
      <c r="C4301">
        <v>16</v>
      </c>
      <c r="D4301">
        <v>37.1</v>
      </c>
      <c r="E4301">
        <v>2.1</v>
      </c>
    </row>
    <row r="4302" spans="1:5" x14ac:dyDescent="0.2">
      <c r="A4302">
        <v>4295</v>
      </c>
      <c r="B4302">
        <v>3883</v>
      </c>
      <c r="C4302">
        <v>16</v>
      </c>
      <c r="D4302">
        <v>36.799999999999997</v>
      </c>
      <c r="E4302">
        <v>2.1</v>
      </c>
    </row>
    <row r="4303" spans="1:5" x14ac:dyDescent="0.2">
      <c r="A4303">
        <v>4296</v>
      </c>
      <c r="B4303">
        <v>3886</v>
      </c>
      <c r="C4303">
        <v>16</v>
      </c>
      <c r="D4303">
        <v>36.6</v>
      </c>
      <c r="E4303">
        <v>2.1</v>
      </c>
    </row>
    <row r="4304" spans="1:5" x14ac:dyDescent="0.2">
      <c r="A4304">
        <v>4297</v>
      </c>
      <c r="B4304">
        <v>3889</v>
      </c>
      <c r="C4304">
        <v>16</v>
      </c>
      <c r="D4304">
        <v>36.4</v>
      </c>
      <c r="E4304">
        <v>2.1</v>
      </c>
    </row>
    <row r="4305" spans="1:5" x14ac:dyDescent="0.2">
      <c r="A4305">
        <v>4298</v>
      </c>
      <c r="B4305">
        <v>3891</v>
      </c>
      <c r="C4305">
        <v>16</v>
      </c>
      <c r="D4305">
        <v>36.200000000000003</v>
      </c>
      <c r="E4305">
        <v>2.1</v>
      </c>
    </row>
    <row r="4306" spans="1:5" x14ac:dyDescent="0.2">
      <c r="A4306">
        <v>4299</v>
      </c>
      <c r="B4306">
        <v>3893</v>
      </c>
      <c r="C4306">
        <v>16</v>
      </c>
      <c r="D4306">
        <v>36</v>
      </c>
      <c r="E4306">
        <v>2.1</v>
      </c>
    </row>
    <row r="4307" spans="1:5" x14ac:dyDescent="0.2">
      <c r="A4307">
        <v>4300</v>
      </c>
      <c r="B4307">
        <v>3895</v>
      </c>
      <c r="C4307">
        <v>17</v>
      </c>
      <c r="D4307">
        <v>35.9</v>
      </c>
      <c r="E4307">
        <v>2.1</v>
      </c>
    </row>
    <row r="4308" spans="1:5" x14ac:dyDescent="0.2">
      <c r="A4308">
        <v>4301</v>
      </c>
      <c r="B4308">
        <v>3897</v>
      </c>
      <c r="C4308">
        <v>17</v>
      </c>
      <c r="D4308">
        <v>35.799999999999997</v>
      </c>
      <c r="E4308">
        <v>2.2000000000000002</v>
      </c>
    </row>
    <row r="4309" spans="1:5" x14ac:dyDescent="0.2">
      <c r="A4309">
        <v>4302</v>
      </c>
      <c r="B4309">
        <v>3898</v>
      </c>
      <c r="C4309">
        <v>17</v>
      </c>
      <c r="D4309">
        <v>35.799999999999997</v>
      </c>
      <c r="E4309">
        <v>2.2000000000000002</v>
      </c>
    </row>
    <row r="4310" spans="1:5" x14ac:dyDescent="0.2">
      <c r="A4310">
        <v>4303</v>
      </c>
      <c r="B4310">
        <v>3899</v>
      </c>
      <c r="C4310">
        <v>17</v>
      </c>
      <c r="D4310">
        <v>35.799999999999997</v>
      </c>
      <c r="E4310">
        <v>2.1</v>
      </c>
    </row>
    <row r="4311" spans="1:5" x14ac:dyDescent="0.2">
      <c r="A4311">
        <v>4304</v>
      </c>
      <c r="B4311">
        <v>3899</v>
      </c>
      <c r="C4311">
        <v>17</v>
      </c>
      <c r="D4311">
        <v>35.799999999999997</v>
      </c>
      <c r="E4311">
        <v>2.1</v>
      </c>
    </row>
    <row r="4312" spans="1:5" x14ac:dyDescent="0.2">
      <c r="A4312">
        <v>4305</v>
      </c>
      <c r="B4312">
        <v>3900</v>
      </c>
      <c r="C4312">
        <v>17</v>
      </c>
      <c r="D4312">
        <v>35.9</v>
      </c>
      <c r="E4312">
        <v>2.1</v>
      </c>
    </row>
    <row r="4313" spans="1:5" x14ac:dyDescent="0.2">
      <c r="A4313">
        <v>4306</v>
      </c>
      <c r="B4313">
        <v>3900</v>
      </c>
      <c r="C4313">
        <v>17</v>
      </c>
      <c r="D4313">
        <v>36</v>
      </c>
      <c r="E4313">
        <v>2.2000000000000002</v>
      </c>
    </row>
    <row r="4314" spans="1:5" x14ac:dyDescent="0.2">
      <c r="A4314">
        <v>4307</v>
      </c>
      <c r="B4314">
        <v>3900</v>
      </c>
      <c r="C4314">
        <v>17</v>
      </c>
      <c r="D4314">
        <v>36.200000000000003</v>
      </c>
      <c r="E4314">
        <v>2.2000000000000002</v>
      </c>
    </row>
    <row r="4315" spans="1:5" x14ac:dyDescent="0.2">
      <c r="A4315">
        <v>4308</v>
      </c>
      <c r="B4315">
        <v>3900</v>
      </c>
      <c r="C4315">
        <v>17</v>
      </c>
      <c r="D4315">
        <v>36.299999999999997</v>
      </c>
      <c r="E4315">
        <v>2.2999999999999998</v>
      </c>
    </row>
    <row r="4316" spans="1:5" x14ac:dyDescent="0.2">
      <c r="A4316">
        <v>4309</v>
      </c>
      <c r="B4316">
        <v>3900</v>
      </c>
      <c r="C4316">
        <v>18</v>
      </c>
      <c r="D4316">
        <v>36.4</v>
      </c>
      <c r="E4316">
        <v>2.2999999999999998</v>
      </c>
    </row>
    <row r="4317" spans="1:5" x14ac:dyDescent="0.2">
      <c r="A4317">
        <v>4310</v>
      </c>
      <c r="B4317">
        <v>3900</v>
      </c>
      <c r="C4317">
        <v>18</v>
      </c>
      <c r="D4317">
        <v>36.6</v>
      </c>
      <c r="E4317">
        <v>2.2999999999999998</v>
      </c>
    </row>
    <row r="4318" spans="1:5" x14ac:dyDescent="0.2">
      <c r="A4318">
        <v>4311</v>
      </c>
      <c r="B4318">
        <v>3900</v>
      </c>
      <c r="C4318">
        <v>18</v>
      </c>
      <c r="D4318">
        <v>36.700000000000003</v>
      </c>
      <c r="E4318">
        <v>2.2999999999999998</v>
      </c>
    </row>
    <row r="4319" spans="1:5" x14ac:dyDescent="0.2">
      <c r="A4319">
        <v>4312</v>
      </c>
      <c r="B4319">
        <v>3900</v>
      </c>
      <c r="C4319">
        <v>17</v>
      </c>
      <c r="D4319">
        <v>36.799999999999997</v>
      </c>
      <c r="E4319">
        <v>2.2999999999999998</v>
      </c>
    </row>
    <row r="4320" spans="1:5" x14ac:dyDescent="0.2">
      <c r="A4320">
        <v>4313</v>
      </c>
      <c r="B4320">
        <v>3900</v>
      </c>
      <c r="C4320">
        <v>17</v>
      </c>
      <c r="D4320">
        <v>36.9</v>
      </c>
      <c r="E4320">
        <v>2.2000000000000002</v>
      </c>
    </row>
    <row r="4321" spans="1:5" x14ac:dyDescent="0.2">
      <c r="A4321">
        <v>4314</v>
      </c>
      <c r="B4321">
        <v>3900</v>
      </c>
      <c r="C4321">
        <v>17</v>
      </c>
      <c r="D4321">
        <v>37</v>
      </c>
      <c r="E4321">
        <v>2.1</v>
      </c>
    </row>
    <row r="4322" spans="1:5" x14ac:dyDescent="0.2">
      <c r="A4322">
        <v>4315</v>
      </c>
      <c r="B4322">
        <v>3901</v>
      </c>
      <c r="C4322">
        <v>16</v>
      </c>
      <c r="D4322">
        <v>37</v>
      </c>
      <c r="E4322">
        <v>2.1</v>
      </c>
    </row>
    <row r="4323" spans="1:5" x14ac:dyDescent="0.2">
      <c r="A4323">
        <v>4316</v>
      </c>
      <c r="B4323">
        <v>3901</v>
      </c>
      <c r="C4323">
        <v>16</v>
      </c>
      <c r="D4323">
        <v>37.1</v>
      </c>
      <c r="E4323">
        <v>2.1</v>
      </c>
    </row>
    <row r="4324" spans="1:5" x14ac:dyDescent="0.2">
      <c r="A4324">
        <v>4317</v>
      </c>
      <c r="B4324">
        <v>3901</v>
      </c>
      <c r="C4324">
        <v>16</v>
      </c>
      <c r="D4324">
        <v>37.200000000000003</v>
      </c>
      <c r="E4324">
        <v>2.1</v>
      </c>
    </row>
    <row r="4325" spans="1:5" x14ac:dyDescent="0.2">
      <c r="A4325">
        <v>4318</v>
      </c>
      <c r="B4325">
        <v>3901</v>
      </c>
      <c r="C4325">
        <v>16</v>
      </c>
      <c r="D4325">
        <v>37.4</v>
      </c>
      <c r="E4325">
        <v>2.1</v>
      </c>
    </row>
    <row r="4326" spans="1:5" x14ac:dyDescent="0.2">
      <c r="A4326">
        <v>4319</v>
      </c>
      <c r="B4326">
        <v>3901</v>
      </c>
      <c r="C4326">
        <v>16</v>
      </c>
      <c r="D4326">
        <v>37.5</v>
      </c>
      <c r="E4326">
        <v>2.1</v>
      </c>
    </row>
    <row r="4327" spans="1:5" x14ac:dyDescent="0.2">
      <c r="A4327">
        <v>4320</v>
      </c>
      <c r="B4327">
        <v>3901</v>
      </c>
      <c r="C4327">
        <v>16</v>
      </c>
      <c r="D4327">
        <v>37.700000000000003</v>
      </c>
      <c r="E4327">
        <v>2.1</v>
      </c>
    </row>
    <row r="4328" spans="1:5" x14ac:dyDescent="0.2">
      <c r="A4328">
        <v>4321</v>
      </c>
      <c r="B4328">
        <v>3900</v>
      </c>
      <c r="C4328">
        <v>16</v>
      </c>
      <c r="D4328">
        <v>37.9</v>
      </c>
      <c r="E4328">
        <v>2</v>
      </c>
    </row>
    <row r="4329" spans="1:5" x14ac:dyDescent="0.2">
      <c r="A4329">
        <v>4322</v>
      </c>
      <c r="B4329">
        <v>3899</v>
      </c>
      <c r="C4329">
        <v>16</v>
      </c>
      <c r="D4329">
        <v>38.1</v>
      </c>
      <c r="E4329">
        <v>2</v>
      </c>
    </row>
    <row r="4330" spans="1:5" x14ac:dyDescent="0.2">
      <c r="A4330">
        <v>4323</v>
      </c>
      <c r="B4330">
        <v>3898</v>
      </c>
      <c r="C4330">
        <v>16</v>
      </c>
      <c r="D4330">
        <v>38.4</v>
      </c>
      <c r="E4330">
        <v>2</v>
      </c>
    </row>
    <row r="4331" spans="1:5" x14ac:dyDescent="0.2">
      <c r="A4331">
        <v>4324</v>
      </c>
      <c r="B4331">
        <v>3897</v>
      </c>
      <c r="C4331">
        <v>16</v>
      </c>
      <c r="D4331">
        <v>38.6</v>
      </c>
      <c r="E4331">
        <v>2</v>
      </c>
    </row>
    <row r="4332" spans="1:5" x14ac:dyDescent="0.2">
      <c r="A4332">
        <v>4325</v>
      </c>
      <c r="B4332">
        <v>3896</v>
      </c>
      <c r="C4332">
        <v>16</v>
      </c>
      <c r="D4332">
        <v>38.9</v>
      </c>
      <c r="E4332">
        <v>2.1</v>
      </c>
    </row>
    <row r="4333" spans="1:5" x14ac:dyDescent="0.2">
      <c r="A4333">
        <v>4326</v>
      </c>
      <c r="B4333">
        <v>3894</v>
      </c>
      <c r="C4333">
        <v>16</v>
      </c>
      <c r="D4333">
        <v>39.299999999999997</v>
      </c>
      <c r="E4333">
        <v>2.1</v>
      </c>
    </row>
    <row r="4334" spans="1:5" x14ac:dyDescent="0.2">
      <c r="A4334">
        <v>4327</v>
      </c>
      <c r="B4334">
        <v>3893</v>
      </c>
      <c r="C4334">
        <v>17</v>
      </c>
      <c r="D4334">
        <v>39.6</v>
      </c>
      <c r="E4334">
        <v>2.2000000000000002</v>
      </c>
    </row>
    <row r="4335" spans="1:5" x14ac:dyDescent="0.2">
      <c r="A4335">
        <v>4328</v>
      </c>
      <c r="B4335">
        <v>3891</v>
      </c>
      <c r="C4335">
        <v>17</v>
      </c>
      <c r="D4335">
        <v>40</v>
      </c>
      <c r="E4335">
        <v>2.2000000000000002</v>
      </c>
    </row>
    <row r="4336" spans="1:5" x14ac:dyDescent="0.2">
      <c r="A4336">
        <v>4329</v>
      </c>
      <c r="B4336">
        <v>3889</v>
      </c>
      <c r="C4336">
        <v>17</v>
      </c>
      <c r="D4336">
        <v>40.299999999999997</v>
      </c>
      <c r="E4336">
        <v>2.2000000000000002</v>
      </c>
    </row>
    <row r="4337" spans="1:5" x14ac:dyDescent="0.2">
      <c r="A4337">
        <v>4330</v>
      </c>
      <c r="B4337">
        <v>3887</v>
      </c>
      <c r="C4337">
        <v>17</v>
      </c>
      <c r="D4337">
        <v>40.700000000000003</v>
      </c>
      <c r="E4337">
        <v>2.2000000000000002</v>
      </c>
    </row>
    <row r="4338" spans="1:5" x14ac:dyDescent="0.2">
      <c r="A4338">
        <v>4331</v>
      </c>
      <c r="B4338">
        <v>3885</v>
      </c>
      <c r="C4338">
        <v>17</v>
      </c>
      <c r="D4338">
        <v>41.1</v>
      </c>
      <c r="E4338">
        <v>2.2000000000000002</v>
      </c>
    </row>
    <row r="4339" spans="1:5" x14ac:dyDescent="0.2">
      <c r="A4339">
        <v>4332</v>
      </c>
      <c r="B4339">
        <v>3883</v>
      </c>
      <c r="C4339">
        <v>17</v>
      </c>
      <c r="D4339">
        <v>41.4</v>
      </c>
      <c r="E4339">
        <v>2.2000000000000002</v>
      </c>
    </row>
    <row r="4340" spans="1:5" x14ac:dyDescent="0.2">
      <c r="A4340">
        <v>4333</v>
      </c>
      <c r="B4340">
        <v>3882</v>
      </c>
      <c r="C4340">
        <v>17</v>
      </c>
      <c r="D4340">
        <v>41.8</v>
      </c>
      <c r="E4340">
        <v>2.2000000000000002</v>
      </c>
    </row>
    <row r="4341" spans="1:5" x14ac:dyDescent="0.2">
      <c r="A4341">
        <v>4334</v>
      </c>
      <c r="B4341">
        <v>3880</v>
      </c>
      <c r="C4341">
        <v>17</v>
      </c>
      <c r="D4341">
        <v>42.1</v>
      </c>
      <c r="E4341">
        <v>2.2000000000000002</v>
      </c>
    </row>
    <row r="4342" spans="1:5" x14ac:dyDescent="0.2">
      <c r="A4342">
        <v>4335</v>
      </c>
      <c r="B4342">
        <v>3878</v>
      </c>
      <c r="C4342">
        <v>17</v>
      </c>
      <c r="D4342">
        <v>42.5</v>
      </c>
      <c r="E4342">
        <v>2.2000000000000002</v>
      </c>
    </row>
    <row r="4343" spans="1:5" x14ac:dyDescent="0.2">
      <c r="A4343">
        <v>4336</v>
      </c>
      <c r="B4343">
        <v>3877</v>
      </c>
      <c r="C4343">
        <v>17</v>
      </c>
      <c r="D4343">
        <v>42.8</v>
      </c>
      <c r="E4343">
        <v>2.2000000000000002</v>
      </c>
    </row>
    <row r="4344" spans="1:5" x14ac:dyDescent="0.2">
      <c r="A4344">
        <v>4337</v>
      </c>
      <c r="B4344">
        <v>3876</v>
      </c>
      <c r="C4344">
        <v>17</v>
      </c>
      <c r="D4344">
        <v>43</v>
      </c>
      <c r="E4344">
        <v>2.2000000000000002</v>
      </c>
    </row>
    <row r="4345" spans="1:5" x14ac:dyDescent="0.2">
      <c r="A4345">
        <v>4338</v>
      </c>
      <c r="B4345">
        <v>3875</v>
      </c>
      <c r="C4345">
        <v>17</v>
      </c>
      <c r="D4345">
        <v>43.3</v>
      </c>
      <c r="E4345">
        <v>2.2000000000000002</v>
      </c>
    </row>
    <row r="4346" spans="1:5" x14ac:dyDescent="0.2">
      <c r="A4346">
        <v>4339</v>
      </c>
      <c r="B4346">
        <v>3874</v>
      </c>
      <c r="C4346">
        <v>17</v>
      </c>
      <c r="D4346">
        <v>43.5</v>
      </c>
      <c r="E4346">
        <v>2.2000000000000002</v>
      </c>
    </row>
    <row r="4347" spans="1:5" x14ac:dyDescent="0.2">
      <c r="A4347">
        <v>4340</v>
      </c>
      <c r="B4347">
        <v>3874</v>
      </c>
      <c r="C4347">
        <v>16</v>
      </c>
      <c r="D4347">
        <v>43.6</v>
      </c>
      <c r="E4347">
        <v>2.1</v>
      </c>
    </row>
    <row r="4348" spans="1:5" x14ac:dyDescent="0.2">
      <c r="A4348">
        <v>4341</v>
      </c>
      <c r="B4348">
        <v>3874</v>
      </c>
      <c r="C4348">
        <v>17</v>
      </c>
      <c r="D4348">
        <v>43.8</v>
      </c>
      <c r="E4348">
        <v>2.2000000000000002</v>
      </c>
    </row>
    <row r="4349" spans="1:5" x14ac:dyDescent="0.2">
      <c r="A4349">
        <v>4342</v>
      </c>
      <c r="B4349">
        <v>3874</v>
      </c>
      <c r="C4349">
        <v>17</v>
      </c>
      <c r="D4349">
        <v>43.9</v>
      </c>
      <c r="E4349">
        <v>2.2000000000000002</v>
      </c>
    </row>
    <row r="4350" spans="1:5" x14ac:dyDescent="0.2">
      <c r="A4350">
        <v>4343</v>
      </c>
      <c r="B4350">
        <v>3875</v>
      </c>
      <c r="C4350">
        <v>17</v>
      </c>
      <c r="D4350">
        <v>43.9</v>
      </c>
      <c r="E4350">
        <v>2.2000000000000002</v>
      </c>
    </row>
    <row r="4351" spans="1:5" x14ac:dyDescent="0.2">
      <c r="A4351">
        <v>4344</v>
      </c>
      <c r="B4351">
        <v>3876</v>
      </c>
      <c r="C4351">
        <v>18</v>
      </c>
      <c r="D4351">
        <v>43.9</v>
      </c>
      <c r="E4351">
        <v>2.2999999999999998</v>
      </c>
    </row>
    <row r="4352" spans="1:5" x14ac:dyDescent="0.2">
      <c r="A4352">
        <v>4345</v>
      </c>
      <c r="B4352">
        <v>3877</v>
      </c>
      <c r="C4352">
        <v>18</v>
      </c>
      <c r="D4352">
        <v>43.9</v>
      </c>
      <c r="E4352">
        <v>2.2999999999999998</v>
      </c>
    </row>
    <row r="4353" spans="1:5" x14ac:dyDescent="0.2">
      <c r="A4353">
        <v>4346</v>
      </c>
      <c r="B4353">
        <v>3878</v>
      </c>
      <c r="C4353">
        <v>18</v>
      </c>
      <c r="D4353">
        <v>43.9</v>
      </c>
      <c r="E4353">
        <v>2.2999999999999998</v>
      </c>
    </row>
    <row r="4354" spans="1:5" x14ac:dyDescent="0.2">
      <c r="A4354">
        <v>4347</v>
      </c>
      <c r="B4354">
        <v>3879</v>
      </c>
      <c r="C4354">
        <v>18</v>
      </c>
      <c r="D4354">
        <v>43.8</v>
      </c>
      <c r="E4354">
        <v>2.2999999999999998</v>
      </c>
    </row>
    <row r="4355" spans="1:5" x14ac:dyDescent="0.2">
      <c r="A4355">
        <v>4348</v>
      </c>
      <c r="B4355">
        <v>3881</v>
      </c>
      <c r="C4355">
        <v>18</v>
      </c>
      <c r="D4355">
        <v>43.7</v>
      </c>
      <c r="E4355">
        <v>2.2999999999999998</v>
      </c>
    </row>
    <row r="4356" spans="1:5" x14ac:dyDescent="0.2">
      <c r="A4356">
        <v>4349</v>
      </c>
      <c r="B4356">
        <v>3883</v>
      </c>
      <c r="C4356">
        <v>18</v>
      </c>
      <c r="D4356">
        <v>43.6</v>
      </c>
      <c r="E4356">
        <v>2.2999999999999998</v>
      </c>
    </row>
    <row r="4357" spans="1:5" x14ac:dyDescent="0.2">
      <c r="A4357">
        <v>4350</v>
      </c>
      <c r="B4357">
        <v>3885</v>
      </c>
      <c r="C4357">
        <v>18</v>
      </c>
      <c r="D4357">
        <v>43.5</v>
      </c>
      <c r="E4357">
        <v>2.2999999999999998</v>
      </c>
    </row>
    <row r="4358" spans="1:5" x14ac:dyDescent="0.2">
      <c r="A4358">
        <v>4351</v>
      </c>
      <c r="B4358">
        <v>3887</v>
      </c>
      <c r="C4358">
        <v>18</v>
      </c>
      <c r="D4358">
        <v>43.4</v>
      </c>
      <c r="E4358">
        <v>2.2999999999999998</v>
      </c>
    </row>
    <row r="4359" spans="1:5" x14ac:dyDescent="0.2">
      <c r="A4359">
        <v>4352</v>
      </c>
      <c r="B4359">
        <v>3889</v>
      </c>
      <c r="C4359">
        <v>18</v>
      </c>
      <c r="D4359">
        <v>43.2</v>
      </c>
      <c r="E4359">
        <v>2.2999999999999998</v>
      </c>
    </row>
    <row r="4360" spans="1:5" x14ac:dyDescent="0.2">
      <c r="A4360">
        <v>4353</v>
      </c>
      <c r="B4360">
        <v>3891</v>
      </c>
      <c r="C4360">
        <v>18</v>
      </c>
      <c r="D4360">
        <v>43.1</v>
      </c>
      <c r="E4360">
        <v>2.2999999999999998</v>
      </c>
    </row>
    <row r="4361" spans="1:5" x14ac:dyDescent="0.2">
      <c r="A4361">
        <v>4354</v>
      </c>
      <c r="B4361">
        <v>3893</v>
      </c>
      <c r="C4361">
        <v>17</v>
      </c>
      <c r="D4361">
        <v>42.9</v>
      </c>
      <c r="E4361">
        <v>2.2999999999999998</v>
      </c>
    </row>
    <row r="4362" spans="1:5" x14ac:dyDescent="0.2">
      <c r="A4362">
        <v>4355</v>
      </c>
      <c r="B4362">
        <v>3895</v>
      </c>
      <c r="C4362">
        <v>17</v>
      </c>
      <c r="D4362">
        <v>42.8</v>
      </c>
      <c r="E4362">
        <v>2.2000000000000002</v>
      </c>
    </row>
    <row r="4363" spans="1:5" x14ac:dyDescent="0.2">
      <c r="A4363">
        <v>4356</v>
      </c>
      <c r="B4363">
        <v>3898</v>
      </c>
      <c r="C4363">
        <v>17</v>
      </c>
      <c r="D4363">
        <v>42.6</v>
      </c>
      <c r="E4363">
        <v>2.2000000000000002</v>
      </c>
    </row>
    <row r="4364" spans="1:5" x14ac:dyDescent="0.2">
      <c r="A4364">
        <v>4357</v>
      </c>
      <c r="B4364">
        <v>3900</v>
      </c>
      <c r="C4364">
        <v>16</v>
      </c>
      <c r="D4364">
        <v>42.5</v>
      </c>
      <c r="E4364">
        <v>2.1</v>
      </c>
    </row>
    <row r="4365" spans="1:5" x14ac:dyDescent="0.2">
      <c r="A4365">
        <v>4358</v>
      </c>
      <c r="B4365">
        <v>3902</v>
      </c>
      <c r="C4365">
        <v>16</v>
      </c>
      <c r="D4365">
        <v>42.3</v>
      </c>
      <c r="E4365">
        <v>2.1</v>
      </c>
    </row>
    <row r="4366" spans="1:5" x14ac:dyDescent="0.2">
      <c r="A4366">
        <v>4359</v>
      </c>
      <c r="B4366">
        <v>3903</v>
      </c>
      <c r="C4366">
        <v>16</v>
      </c>
      <c r="D4366">
        <v>42.2</v>
      </c>
      <c r="E4366">
        <v>2.1</v>
      </c>
    </row>
    <row r="4367" spans="1:5" x14ac:dyDescent="0.2">
      <c r="A4367">
        <v>4360</v>
      </c>
      <c r="B4367">
        <v>3905</v>
      </c>
      <c r="C4367">
        <v>16</v>
      </c>
      <c r="D4367">
        <v>42.2</v>
      </c>
      <c r="E4367">
        <v>2.1</v>
      </c>
    </row>
    <row r="4368" spans="1:5" x14ac:dyDescent="0.2">
      <c r="A4368">
        <v>4361</v>
      </c>
      <c r="B4368">
        <v>3905</v>
      </c>
      <c r="C4368">
        <v>16</v>
      </c>
      <c r="D4368">
        <v>42.2</v>
      </c>
      <c r="E4368">
        <v>2.1</v>
      </c>
    </row>
    <row r="4369" spans="1:5" x14ac:dyDescent="0.2">
      <c r="A4369">
        <v>4362</v>
      </c>
      <c r="B4369">
        <v>3906</v>
      </c>
      <c r="C4369">
        <v>16</v>
      </c>
      <c r="D4369">
        <v>42.3</v>
      </c>
      <c r="E4369">
        <v>2.1</v>
      </c>
    </row>
    <row r="4370" spans="1:5" x14ac:dyDescent="0.2">
      <c r="A4370">
        <v>4363</v>
      </c>
      <c r="B4370">
        <v>3906</v>
      </c>
      <c r="C4370">
        <v>16</v>
      </c>
      <c r="D4370">
        <v>42.5</v>
      </c>
      <c r="E4370">
        <v>2.1</v>
      </c>
    </row>
    <row r="4371" spans="1:5" x14ac:dyDescent="0.2">
      <c r="A4371">
        <v>4364</v>
      </c>
      <c r="B4371">
        <v>3905</v>
      </c>
      <c r="C4371">
        <v>16</v>
      </c>
      <c r="D4371">
        <v>42.7</v>
      </c>
      <c r="E4371">
        <v>2.1</v>
      </c>
    </row>
    <row r="4372" spans="1:5" x14ac:dyDescent="0.2">
      <c r="A4372">
        <v>4365</v>
      </c>
      <c r="B4372">
        <v>3903</v>
      </c>
      <c r="C4372">
        <v>16</v>
      </c>
      <c r="D4372">
        <v>43</v>
      </c>
      <c r="E4372">
        <v>2.1</v>
      </c>
    </row>
    <row r="4373" spans="1:5" x14ac:dyDescent="0.2">
      <c r="A4373">
        <v>4366</v>
      </c>
      <c r="B4373">
        <v>3902</v>
      </c>
      <c r="C4373">
        <v>16</v>
      </c>
      <c r="D4373">
        <v>43.3</v>
      </c>
      <c r="E4373">
        <v>2.1</v>
      </c>
    </row>
    <row r="4374" spans="1:5" x14ac:dyDescent="0.2">
      <c r="A4374">
        <v>4367</v>
      </c>
      <c r="B4374">
        <v>3900</v>
      </c>
      <c r="C4374">
        <v>16</v>
      </c>
      <c r="D4374">
        <v>43.7</v>
      </c>
      <c r="E4374">
        <v>2.1</v>
      </c>
    </row>
    <row r="4375" spans="1:5" x14ac:dyDescent="0.2">
      <c r="A4375">
        <v>4368</v>
      </c>
      <c r="B4375">
        <v>3898</v>
      </c>
      <c r="C4375">
        <v>16</v>
      </c>
      <c r="D4375">
        <v>44.1</v>
      </c>
      <c r="E4375">
        <v>2.1</v>
      </c>
    </row>
    <row r="4376" spans="1:5" x14ac:dyDescent="0.2">
      <c r="A4376">
        <v>4369</v>
      </c>
      <c r="B4376">
        <v>3896</v>
      </c>
      <c r="C4376">
        <v>17</v>
      </c>
      <c r="D4376">
        <v>44.4</v>
      </c>
      <c r="E4376">
        <v>2.2000000000000002</v>
      </c>
    </row>
    <row r="4377" spans="1:5" x14ac:dyDescent="0.2">
      <c r="A4377">
        <v>4370</v>
      </c>
      <c r="B4377">
        <v>3894</v>
      </c>
      <c r="C4377">
        <v>17</v>
      </c>
      <c r="D4377">
        <v>44.8</v>
      </c>
      <c r="E4377">
        <v>2.2000000000000002</v>
      </c>
    </row>
    <row r="4378" spans="1:5" x14ac:dyDescent="0.2">
      <c r="A4378">
        <v>4371</v>
      </c>
      <c r="B4378">
        <v>3893</v>
      </c>
      <c r="C4378">
        <v>17</v>
      </c>
      <c r="D4378">
        <v>45.1</v>
      </c>
      <c r="E4378">
        <v>2.2000000000000002</v>
      </c>
    </row>
    <row r="4379" spans="1:5" x14ac:dyDescent="0.2">
      <c r="A4379">
        <v>4372</v>
      </c>
      <c r="B4379">
        <v>3892</v>
      </c>
      <c r="C4379">
        <v>17</v>
      </c>
      <c r="D4379">
        <v>45.4</v>
      </c>
      <c r="E4379">
        <v>2.2000000000000002</v>
      </c>
    </row>
    <row r="4380" spans="1:5" x14ac:dyDescent="0.2">
      <c r="A4380">
        <v>4373</v>
      </c>
      <c r="B4380">
        <v>3891</v>
      </c>
      <c r="C4380">
        <v>16</v>
      </c>
      <c r="D4380">
        <v>45.7</v>
      </c>
      <c r="E4380">
        <v>2.1</v>
      </c>
    </row>
    <row r="4381" spans="1:5" x14ac:dyDescent="0.2">
      <c r="A4381">
        <v>4374</v>
      </c>
      <c r="B4381">
        <v>3890</v>
      </c>
      <c r="C4381">
        <v>16</v>
      </c>
      <c r="D4381">
        <v>45.9</v>
      </c>
      <c r="E4381">
        <v>2.1</v>
      </c>
    </row>
    <row r="4382" spans="1:5" x14ac:dyDescent="0.2">
      <c r="A4382">
        <v>4375</v>
      </c>
      <c r="B4382">
        <v>3889</v>
      </c>
      <c r="C4382">
        <v>16</v>
      </c>
      <c r="D4382">
        <v>46.1</v>
      </c>
      <c r="E4382">
        <v>2</v>
      </c>
    </row>
    <row r="4383" spans="1:5" x14ac:dyDescent="0.2">
      <c r="A4383">
        <v>4376</v>
      </c>
      <c r="B4383">
        <v>3889</v>
      </c>
      <c r="C4383">
        <v>15</v>
      </c>
      <c r="D4383">
        <v>46.3</v>
      </c>
      <c r="E4383">
        <v>2</v>
      </c>
    </row>
    <row r="4384" spans="1:5" x14ac:dyDescent="0.2">
      <c r="A4384">
        <v>4377</v>
      </c>
      <c r="B4384">
        <v>3889</v>
      </c>
      <c r="C4384">
        <v>15</v>
      </c>
      <c r="D4384">
        <v>46.4</v>
      </c>
      <c r="E4384">
        <v>2</v>
      </c>
    </row>
    <row r="4385" spans="1:5" x14ac:dyDescent="0.2">
      <c r="A4385">
        <v>4378</v>
      </c>
      <c r="B4385">
        <v>3889</v>
      </c>
      <c r="C4385">
        <v>15</v>
      </c>
      <c r="D4385">
        <v>46.5</v>
      </c>
      <c r="E4385">
        <v>2</v>
      </c>
    </row>
    <row r="4386" spans="1:5" x14ac:dyDescent="0.2">
      <c r="A4386">
        <v>4379</v>
      </c>
      <c r="B4386">
        <v>3889</v>
      </c>
      <c r="C4386">
        <v>15</v>
      </c>
      <c r="D4386">
        <v>46.6</v>
      </c>
      <c r="E4386">
        <v>2</v>
      </c>
    </row>
    <row r="4387" spans="1:5" x14ac:dyDescent="0.2">
      <c r="A4387">
        <v>4380</v>
      </c>
      <c r="B4387">
        <v>3889</v>
      </c>
      <c r="C4387">
        <v>15</v>
      </c>
      <c r="D4387">
        <v>46.7</v>
      </c>
      <c r="E4387">
        <v>2</v>
      </c>
    </row>
    <row r="4388" spans="1:5" x14ac:dyDescent="0.2">
      <c r="A4388">
        <v>4381</v>
      </c>
      <c r="B4388">
        <v>3889</v>
      </c>
      <c r="C4388">
        <v>16</v>
      </c>
      <c r="D4388">
        <v>46.8</v>
      </c>
      <c r="E4388">
        <v>2</v>
      </c>
    </row>
    <row r="4389" spans="1:5" x14ac:dyDescent="0.2">
      <c r="A4389">
        <v>4382</v>
      </c>
      <c r="B4389">
        <v>3890</v>
      </c>
      <c r="C4389">
        <v>16</v>
      </c>
      <c r="D4389">
        <v>46.9</v>
      </c>
      <c r="E4389">
        <v>2</v>
      </c>
    </row>
    <row r="4390" spans="1:5" x14ac:dyDescent="0.2">
      <c r="A4390">
        <v>4383</v>
      </c>
      <c r="B4390">
        <v>3890</v>
      </c>
      <c r="C4390">
        <v>16</v>
      </c>
      <c r="D4390">
        <v>47</v>
      </c>
      <c r="E4390">
        <v>2</v>
      </c>
    </row>
    <row r="4391" spans="1:5" x14ac:dyDescent="0.2">
      <c r="A4391">
        <v>4384</v>
      </c>
      <c r="B4391">
        <v>3890</v>
      </c>
      <c r="C4391">
        <v>15</v>
      </c>
      <c r="D4391">
        <v>47.1</v>
      </c>
      <c r="E4391">
        <v>2</v>
      </c>
    </row>
    <row r="4392" spans="1:5" x14ac:dyDescent="0.2">
      <c r="A4392">
        <v>4385</v>
      </c>
      <c r="B4392">
        <v>3891</v>
      </c>
      <c r="C4392">
        <v>15</v>
      </c>
      <c r="D4392">
        <v>47.2</v>
      </c>
      <c r="E4392">
        <v>2</v>
      </c>
    </row>
    <row r="4393" spans="1:5" x14ac:dyDescent="0.2">
      <c r="A4393">
        <v>4386</v>
      </c>
      <c r="B4393">
        <v>3891</v>
      </c>
      <c r="C4393">
        <v>15</v>
      </c>
      <c r="D4393">
        <v>47.2</v>
      </c>
      <c r="E4393">
        <v>2</v>
      </c>
    </row>
    <row r="4394" spans="1:5" x14ac:dyDescent="0.2">
      <c r="A4394">
        <v>4387</v>
      </c>
      <c r="B4394">
        <v>3891</v>
      </c>
      <c r="C4394">
        <v>15</v>
      </c>
      <c r="D4394">
        <v>47.3</v>
      </c>
      <c r="E4394">
        <v>2</v>
      </c>
    </row>
    <row r="4395" spans="1:5" x14ac:dyDescent="0.2">
      <c r="A4395">
        <v>4388</v>
      </c>
      <c r="B4395">
        <v>3892</v>
      </c>
      <c r="C4395">
        <v>16</v>
      </c>
      <c r="D4395">
        <v>47.4</v>
      </c>
      <c r="E4395">
        <v>2</v>
      </c>
    </row>
    <row r="4396" spans="1:5" x14ac:dyDescent="0.2">
      <c r="A4396">
        <v>4389</v>
      </c>
      <c r="B4396">
        <v>3892</v>
      </c>
      <c r="C4396">
        <v>16</v>
      </c>
      <c r="D4396">
        <v>47.5</v>
      </c>
      <c r="E4396">
        <v>2.1</v>
      </c>
    </row>
    <row r="4397" spans="1:5" x14ac:dyDescent="0.2">
      <c r="A4397">
        <v>4390</v>
      </c>
      <c r="B4397">
        <v>3892</v>
      </c>
      <c r="C4397">
        <v>16</v>
      </c>
      <c r="D4397">
        <v>47.6</v>
      </c>
      <c r="E4397">
        <v>2.1</v>
      </c>
    </row>
    <row r="4398" spans="1:5" x14ac:dyDescent="0.2">
      <c r="A4398">
        <v>4391</v>
      </c>
      <c r="B4398">
        <v>3892</v>
      </c>
      <c r="C4398">
        <v>17</v>
      </c>
      <c r="D4398">
        <v>47.7</v>
      </c>
      <c r="E4398">
        <v>2.2000000000000002</v>
      </c>
    </row>
    <row r="4399" spans="1:5" x14ac:dyDescent="0.2">
      <c r="A4399">
        <v>4392</v>
      </c>
      <c r="B4399">
        <v>3892</v>
      </c>
      <c r="C4399">
        <v>17</v>
      </c>
      <c r="D4399">
        <v>47.9</v>
      </c>
      <c r="E4399">
        <v>2.2000000000000002</v>
      </c>
    </row>
    <row r="4400" spans="1:5" x14ac:dyDescent="0.2">
      <c r="A4400">
        <v>4393</v>
      </c>
      <c r="B4400">
        <v>3892</v>
      </c>
      <c r="C4400">
        <v>17</v>
      </c>
      <c r="D4400">
        <v>48</v>
      </c>
      <c r="E4400">
        <v>2.2000000000000002</v>
      </c>
    </row>
    <row r="4401" spans="1:5" x14ac:dyDescent="0.2">
      <c r="A4401">
        <v>4394</v>
      </c>
      <c r="B4401">
        <v>3892</v>
      </c>
      <c r="C4401">
        <v>16</v>
      </c>
      <c r="D4401">
        <v>48.1</v>
      </c>
      <c r="E4401">
        <v>2.1</v>
      </c>
    </row>
    <row r="4402" spans="1:5" x14ac:dyDescent="0.2">
      <c r="A4402">
        <v>4395</v>
      </c>
      <c r="B4402">
        <v>3892</v>
      </c>
      <c r="C4402">
        <v>16</v>
      </c>
      <c r="D4402">
        <v>48.2</v>
      </c>
      <c r="E4402">
        <v>2.1</v>
      </c>
    </row>
    <row r="4403" spans="1:5" x14ac:dyDescent="0.2">
      <c r="A4403">
        <v>4396</v>
      </c>
      <c r="B4403">
        <v>3892</v>
      </c>
      <c r="C4403">
        <v>16</v>
      </c>
      <c r="D4403">
        <v>48.3</v>
      </c>
      <c r="E4403">
        <v>2.1</v>
      </c>
    </row>
    <row r="4404" spans="1:5" x14ac:dyDescent="0.2">
      <c r="A4404">
        <v>4397</v>
      </c>
      <c r="B4404">
        <v>3893</v>
      </c>
      <c r="C4404">
        <v>16</v>
      </c>
      <c r="D4404">
        <v>48.4</v>
      </c>
      <c r="E4404">
        <v>2.1</v>
      </c>
    </row>
    <row r="4405" spans="1:5" x14ac:dyDescent="0.2">
      <c r="A4405">
        <v>4398</v>
      </c>
      <c r="B4405">
        <v>3893</v>
      </c>
      <c r="C4405">
        <v>16</v>
      </c>
      <c r="D4405">
        <v>48.5</v>
      </c>
      <c r="E4405">
        <v>2.1</v>
      </c>
    </row>
    <row r="4406" spans="1:5" x14ac:dyDescent="0.2">
      <c r="A4406">
        <v>4399</v>
      </c>
      <c r="B4406">
        <v>3894</v>
      </c>
      <c r="C4406">
        <v>16</v>
      </c>
      <c r="D4406">
        <v>48.6</v>
      </c>
      <c r="E4406">
        <v>2.1</v>
      </c>
    </row>
    <row r="4407" spans="1:5" x14ac:dyDescent="0.2">
      <c r="A4407">
        <v>4400</v>
      </c>
      <c r="B4407">
        <v>3894</v>
      </c>
      <c r="C4407">
        <v>16</v>
      </c>
      <c r="D4407">
        <v>48.6</v>
      </c>
      <c r="E4407">
        <v>2.1</v>
      </c>
    </row>
    <row r="4408" spans="1:5" x14ac:dyDescent="0.2">
      <c r="A4408">
        <v>4401</v>
      </c>
      <c r="B4408">
        <v>3896</v>
      </c>
      <c r="C4408">
        <v>17</v>
      </c>
      <c r="D4408">
        <v>48.6</v>
      </c>
      <c r="E4408">
        <v>2.2000000000000002</v>
      </c>
    </row>
    <row r="4409" spans="1:5" x14ac:dyDescent="0.2">
      <c r="A4409">
        <v>4402</v>
      </c>
      <c r="B4409">
        <v>3897</v>
      </c>
      <c r="C4409">
        <v>17</v>
      </c>
      <c r="D4409">
        <v>48.5</v>
      </c>
      <c r="E4409">
        <v>2.2000000000000002</v>
      </c>
    </row>
    <row r="4410" spans="1:5" x14ac:dyDescent="0.2">
      <c r="A4410">
        <v>4403</v>
      </c>
      <c r="B4410">
        <v>3899</v>
      </c>
      <c r="C4410">
        <v>17</v>
      </c>
      <c r="D4410">
        <v>48.4</v>
      </c>
      <c r="E4410">
        <v>2.2000000000000002</v>
      </c>
    </row>
    <row r="4411" spans="1:5" x14ac:dyDescent="0.2">
      <c r="A4411">
        <v>4404</v>
      </c>
      <c r="B4411">
        <v>3901</v>
      </c>
      <c r="C4411">
        <v>17</v>
      </c>
      <c r="D4411">
        <v>48.2</v>
      </c>
      <c r="E4411">
        <v>2.2000000000000002</v>
      </c>
    </row>
    <row r="4412" spans="1:5" x14ac:dyDescent="0.2">
      <c r="A4412">
        <v>4405</v>
      </c>
      <c r="B4412">
        <v>3904</v>
      </c>
      <c r="C4412">
        <v>17</v>
      </c>
      <c r="D4412">
        <v>48</v>
      </c>
      <c r="E4412">
        <v>2.2000000000000002</v>
      </c>
    </row>
    <row r="4413" spans="1:5" x14ac:dyDescent="0.2">
      <c r="A4413">
        <v>4406</v>
      </c>
      <c r="B4413">
        <v>3907</v>
      </c>
      <c r="C4413">
        <v>17</v>
      </c>
      <c r="D4413">
        <v>47.7</v>
      </c>
      <c r="E4413">
        <v>2.2000000000000002</v>
      </c>
    </row>
    <row r="4414" spans="1:5" x14ac:dyDescent="0.2">
      <c r="A4414">
        <v>4407</v>
      </c>
      <c r="B4414">
        <v>3910</v>
      </c>
      <c r="C4414">
        <v>16</v>
      </c>
      <c r="D4414">
        <v>47.4</v>
      </c>
      <c r="E4414">
        <v>2.1</v>
      </c>
    </row>
    <row r="4415" spans="1:5" x14ac:dyDescent="0.2">
      <c r="A4415">
        <v>4408</v>
      </c>
      <c r="B4415">
        <v>3914</v>
      </c>
      <c r="C4415">
        <v>16</v>
      </c>
      <c r="D4415">
        <v>47</v>
      </c>
      <c r="E4415">
        <v>2.1</v>
      </c>
    </row>
    <row r="4416" spans="1:5" x14ac:dyDescent="0.2">
      <c r="A4416">
        <v>4409</v>
      </c>
      <c r="B4416">
        <v>3918</v>
      </c>
      <c r="C4416">
        <v>16</v>
      </c>
      <c r="D4416">
        <v>46.7</v>
      </c>
      <c r="E4416">
        <v>2.1</v>
      </c>
    </row>
    <row r="4417" spans="1:5" x14ac:dyDescent="0.2">
      <c r="A4417">
        <v>4410</v>
      </c>
      <c r="B4417">
        <v>3922</v>
      </c>
      <c r="C4417">
        <v>16</v>
      </c>
      <c r="D4417">
        <v>46.3</v>
      </c>
      <c r="E4417">
        <v>2.1</v>
      </c>
    </row>
    <row r="4418" spans="1:5" x14ac:dyDescent="0.2">
      <c r="A4418">
        <v>4411</v>
      </c>
      <c r="B4418">
        <v>3926</v>
      </c>
      <c r="C4418">
        <v>16</v>
      </c>
      <c r="D4418">
        <v>45.9</v>
      </c>
      <c r="E4418">
        <v>2.1</v>
      </c>
    </row>
    <row r="4419" spans="1:5" x14ac:dyDescent="0.2">
      <c r="A4419">
        <v>4412</v>
      </c>
      <c r="B4419">
        <v>3930</v>
      </c>
      <c r="C4419">
        <v>16</v>
      </c>
      <c r="D4419">
        <v>45.5</v>
      </c>
      <c r="E4419">
        <v>2</v>
      </c>
    </row>
    <row r="4420" spans="1:5" x14ac:dyDescent="0.2">
      <c r="A4420">
        <v>4413</v>
      </c>
      <c r="B4420">
        <v>3934</v>
      </c>
      <c r="C4420">
        <v>15</v>
      </c>
      <c r="D4420">
        <v>45</v>
      </c>
      <c r="E4420">
        <v>2</v>
      </c>
    </row>
    <row r="4421" spans="1:5" x14ac:dyDescent="0.2">
      <c r="A4421">
        <v>4414</v>
      </c>
      <c r="B4421">
        <v>3939</v>
      </c>
      <c r="C4421">
        <v>15</v>
      </c>
      <c r="D4421">
        <v>44.5</v>
      </c>
      <c r="E4421">
        <v>2</v>
      </c>
    </row>
    <row r="4422" spans="1:5" x14ac:dyDescent="0.2">
      <c r="A4422">
        <v>4415</v>
      </c>
      <c r="B4422">
        <v>3945</v>
      </c>
      <c r="C4422">
        <v>15</v>
      </c>
      <c r="D4422">
        <v>43.9</v>
      </c>
      <c r="E4422">
        <v>1.9</v>
      </c>
    </row>
    <row r="4423" spans="1:5" x14ac:dyDescent="0.2">
      <c r="A4423">
        <v>4416</v>
      </c>
      <c r="B4423">
        <v>3951</v>
      </c>
      <c r="C4423">
        <v>15</v>
      </c>
      <c r="D4423">
        <v>43.3</v>
      </c>
      <c r="E4423">
        <v>1.9</v>
      </c>
    </row>
    <row r="4424" spans="1:5" x14ac:dyDescent="0.2">
      <c r="A4424">
        <v>4417</v>
      </c>
      <c r="B4424">
        <v>3957</v>
      </c>
      <c r="C4424">
        <v>15</v>
      </c>
      <c r="D4424">
        <v>42.6</v>
      </c>
      <c r="E4424">
        <v>1.9</v>
      </c>
    </row>
    <row r="4425" spans="1:5" x14ac:dyDescent="0.2">
      <c r="A4425">
        <v>4418</v>
      </c>
      <c r="B4425">
        <v>3963</v>
      </c>
      <c r="C4425">
        <v>14</v>
      </c>
      <c r="D4425">
        <v>41.9</v>
      </c>
      <c r="E4425">
        <v>1.9</v>
      </c>
    </row>
    <row r="4426" spans="1:5" x14ac:dyDescent="0.2">
      <c r="A4426">
        <v>4419</v>
      </c>
      <c r="B4426">
        <v>3970</v>
      </c>
      <c r="C4426">
        <v>14</v>
      </c>
      <c r="D4426">
        <v>41.1</v>
      </c>
      <c r="E4426">
        <v>1.9</v>
      </c>
    </row>
    <row r="4427" spans="1:5" x14ac:dyDescent="0.2">
      <c r="A4427">
        <v>4420</v>
      </c>
      <c r="B4427">
        <v>3976</v>
      </c>
      <c r="C4427">
        <v>15</v>
      </c>
      <c r="D4427">
        <v>40.4</v>
      </c>
      <c r="E4427">
        <v>1.9</v>
      </c>
    </row>
    <row r="4428" spans="1:5" x14ac:dyDescent="0.2">
      <c r="A4428">
        <v>4421</v>
      </c>
      <c r="B4428">
        <v>3982</v>
      </c>
      <c r="C4428">
        <v>15</v>
      </c>
      <c r="D4428">
        <v>39.799999999999997</v>
      </c>
      <c r="E4428">
        <v>1.9</v>
      </c>
    </row>
    <row r="4429" spans="1:5" x14ac:dyDescent="0.2">
      <c r="A4429">
        <v>4422</v>
      </c>
      <c r="B4429">
        <v>3987</v>
      </c>
      <c r="C4429">
        <v>15</v>
      </c>
      <c r="D4429">
        <v>39.299999999999997</v>
      </c>
      <c r="E4429">
        <v>1.9</v>
      </c>
    </row>
    <row r="4430" spans="1:5" x14ac:dyDescent="0.2">
      <c r="A4430">
        <v>4423</v>
      </c>
      <c r="B4430">
        <v>3991</v>
      </c>
      <c r="C4430">
        <v>15</v>
      </c>
      <c r="D4430">
        <v>38.9</v>
      </c>
      <c r="E4430">
        <v>1.9</v>
      </c>
    </row>
    <row r="4431" spans="1:5" x14ac:dyDescent="0.2">
      <c r="A4431">
        <v>4424</v>
      </c>
      <c r="B4431">
        <v>3995</v>
      </c>
      <c r="C4431">
        <v>15</v>
      </c>
      <c r="D4431">
        <v>38.6</v>
      </c>
      <c r="E4431">
        <v>1.9</v>
      </c>
    </row>
    <row r="4432" spans="1:5" x14ac:dyDescent="0.2">
      <c r="A4432">
        <v>4425</v>
      </c>
      <c r="B4432">
        <v>3997</v>
      </c>
      <c r="C4432">
        <v>15</v>
      </c>
      <c r="D4432">
        <v>38.4</v>
      </c>
      <c r="E4432">
        <v>1.9</v>
      </c>
    </row>
    <row r="4433" spans="1:5" x14ac:dyDescent="0.2">
      <c r="A4433">
        <v>4426</v>
      </c>
      <c r="B4433">
        <v>3998</v>
      </c>
      <c r="C4433">
        <v>15</v>
      </c>
      <c r="D4433">
        <v>38.4</v>
      </c>
      <c r="E4433">
        <v>2</v>
      </c>
    </row>
    <row r="4434" spans="1:5" x14ac:dyDescent="0.2">
      <c r="A4434">
        <v>4427</v>
      </c>
      <c r="B4434">
        <v>3998</v>
      </c>
      <c r="C4434">
        <v>15</v>
      </c>
      <c r="D4434">
        <v>38.5</v>
      </c>
      <c r="E4434">
        <v>2</v>
      </c>
    </row>
    <row r="4435" spans="1:5" x14ac:dyDescent="0.2">
      <c r="A4435">
        <v>4428</v>
      </c>
      <c r="B4435">
        <v>3998</v>
      </c>
      <c r="C4435">
        <v>15</v>
      </c>
      <c r="D4435">
        <v>38.700000000000003</v>
      </c>
      <c r="E4435">
        <v>2</v>
      </c>
    </row>
    <row r="4436" spans="1:5" x14ac:dyDescent="0.2">
      <c r="A4436">
        <v>4429</v>
      </c>
      <c r="B4436">
        <v>3997</v>
      </c>
      <c r="C4436">
        <v>15</v>
      </c>
      <c r="D4436">
        <v>38.9</v>
      </c>
      <c r="E4436">
        <v>2</v>
      </c>
    </row>
    <row r="4437" spans="1:5" x14ac:dyDescent="0.2">
      <c r="A4437">
        <v>4430</v>
      </c>
      <c r="B4437">
        <v>3996</v>
      </c>
      <c r="C4437">
        <v>16</v>
      </c>
      <c r="D4437">
        <v>39.200000000000003</v>
      </c>
      <c r="E4437">
        <v>2</v>
      </c>
    </row>
    <row r="4438" spans="1:5" x14ac:dyDescent="0.2">
      <c r="A4438">
        <v>4431</v>
      </c>
      <c r="B4438">
        <v>3995</v>
      </c>
      <c r="C4438">
        <v>16</v>
      </c>
      <c r="D4438">
        <v>39.5</v>
      </c>
      <c r="E4438">
        <v>2.1</v>
      </c>
    </row>
    <row r="4439" spans="1:5" x14ac:dyDescent="0.2">
      <c r="A4439">
        <v>4432</v>
      </c>
      <c r="B4439">
        <v>3994</v>
      </c>
      <c r="C4439">
        <v>16</v>
      </c>
      <c r="D4439">
        <v>39.700000000000003</v>
      </c>
      <c r="E4439">
        <v>2.1</v>
      </c>
    </row>
    <row r="4440" spans="1:5" x14ac:dyDescent="0.2">
      <c r="A4440">
        <v>4433</v>
      </c>
      <c r="B4440">
        <v>3993</v>
      </c>
      <c r="C4440">
        <v>16</v>
      </c>
      <c r="D4440">
        <v>39.9</v>
      </c>
      <c r="E4440">
        <v>2.1</v>
      </c>
    </row>
    <row r="4441" spans="1:5" x14ac:dyDescent="0.2">
      <c r="A4441">
        <v>4434</v>
      </c>
      <c r="B4441">
        <v>3993</v>
      </c>
      <c r="C4441">
        <v>16</v>
      </c>
      <c r="D4441">
        <v>40.1</v>
      </c>
      <c r="E4441">
        <v>2.1</v>
      </c>
    </row>
    <row r="4442" spans="1:5" x14ac:dyDescent="0.2">
      <c r="A4442">
        <v>4435</v>
      </c>
      <c r="B4442">
        <v>3993</v>
      </c>
      <c r="C4442">
        <v>16</v>
      </c>
      <c r="D4442">
        <v>40.200000000000003</v>
      </c>
      <c r="E4442">
        <v>2</v>
      </c>
    </row>
    <row r="4443" spans="1:5" x14ac:dyDescent="0.2">
      <c r="A4443">
        <v>4436</v>
      </c>
      <c r="B4443">
        <v>3994</v>
      </c>
      <c r="C4443">
        <v>16</v>
      </c>
      <c r="D4443">
        <v>40.200000000000003</v>
      </c>
      <c r="E4443">
        <v>2.1</v>
      </c>
    </row>
    <row r="4444" spans="1:5" x14ac:dyDescent="0.2">
      <c r="A4444">
        <v>4437</v>
      </c>
      <c r="B4444">
        <v>3994</v>
      </c>
      <c r="C4444">
        <v>16</v>
      </c>
      <c r="D4444">
        <v>40.299999999999997</v>
      </c>
      <c r="E4444">
        <v>2.1</v>
      </c>
    </row>
    <row r="4445" spans="1:5" x14ac:dyDescent="0.2">
      <c r="A4445">
        <v>4438</v>
      </c>
      <c r="B4445">
        <v>3996</v>
      </c>
      <c r="C4445">
        <v>16</v>
      </c>
      <c r="D4445">
        <v>40.200000000000003</v>
      </c>
      <c r="E4445">
        <v>2.1</v>
      </c>
    </row>
    <row r="4446" spans="1:5" x14ac:dyDescent="0.2">
      <c r="A4446">
        <v>4439</v>
      </c>
      <c r="B4446">
        <v>3997</v>
      </c>
      <c r="C4446">
        <v>16</v>
      </c>
      <c r="D4446">
        <v>40.1</v>
      </c>
      <c r="E4446">
        <v>2.1</v>
      </c>
    </row>
    <row r="4447" spans="1:5" x14ac:dyDescent="0.2">
      <c r="A4447">
        <v>4440</v>
      </c>
      <c r="B4447">
        <v>3999</v>
      </c>
      <c r="C4447">
        <v>17</v>
      </c>
      <c r="D4447">
        <v>40</v>
      </c>
      <c r="E4447">
        <v>2.1</v>
      </c>
    </row>
    <row r="4448" spans="1:5" x14ac:dyDescent="0.2">
      <c r="A4448">
        <v>4441</v>
      </c>
      <c r="B4448">
        <v>4002</v>
      </c>
      <c r="C4448">
        <v>16</v>
      </c>
      <c r="D4448">
        <v>39.700000000000003</v>
      </c>
      <c r="E4448">
        <v>2.1</v>
      </c>
    </row>
    <row r="4449" spans="1:5" x14ac:dyDescent="0.2">
      <c r="A4449">
        <v>4442</v>
      </c>
      <c r="B4449">
        <v>4005</v>
      </c>
      <c r="C4449">
        <v>16</v>
      </c>
      <c r="D4449">
        <v>39.5</v>
      </c>
      <c r="E4449">
        <v>2.1</v>
      </c>
    </row>
    <row r="4450" spans="1:5" x14ac:dyDescent="0.2">
      <c r="A4450">
        <v>4443</v>
      </c>
      <c r="B4450">
        <v>4009</v>
      </c>
      <c r="C4450">
        <v>16</v>
      </c>
      <c r="D4450">
        <v>39.1</v>
      </c>
      <c r="E4450">
        <v>2.1</v>
      </c>
    </row>
    <row r="4451" spans="1:5" x14ac:dyDescent="0.2">
      <c r="A4451">
        <v>4444</v>
      </c>
      <c r="B4451">
        <v>4013</v>
      </c>
      <c r="C4451">
        <v>16</v>
      </c>
      <c r="D4451">
        <v>38.799999999999997</v>
      </c>
      <c r="E4451">
        <v>2.1</v>
      </c>
    </row>
    <row r="4452" spans="1:5" x14ac:dyDescent="0.2">
      <c r="A4452">
        <v>4445</v>
      </c>
      <c r="B4452">
        <v>4017</v>
      </c>
      <c r="C4452">
        <v>16</v>
      </c>
      <c r="D4452">
        <v>38.4</v>
      </c>
      <c r="E4452">
        <v>2.1</v>
      </c>
    </row>
    <row r="4453" spans="1:5" x14ac:dyDescent="0.2">
      <c r="A4453">
        <v>4446</v>
      </c>
      <c r="B4453">
        <v>4021</v>
      </c>
      <c r="C4453">
        <v>17</v>
      </c>
      <c r="D4453">
        <v>38</v>
      </c>
      <c r="E4453">
        <v>2.1</v>
      </c>
    </row>
    <row r="4454" spans="1:5" x14ac:dyDescent="0.2">
      <c r="A4454">
        <v>4447</v>
      </c>
      <c r="B4454">
        <v>4025</v>
      </c>
      <c r="C4454">
        <v>17</v>
      </c>
      <c r="D4454">
        <v>37.6</v>
      </c>
      <c r="E4454">
        <v>2.2000000000000002</v>
      </c>
    </row>
    <row r="4455" spans="1:5" x14ac:dyDescent="0.2">
      <c r="A4455">
        <v>4448</v>
      </c>
      <c r="B4455">
        <v>4029</v>
      </c>
      <c r="C4455">
        <v>17</v>
      </c>
      <c r="D4455">
        <v>37.200000000000003</v>
      </c>
      <c r="E4455">
        <v>2.2000000000000002</v>
      </c>
    </row>
    <row r="4456" spans="1:5" x14ac:dyDescent="0.2">
      <c r="A4456">
        <v>4449</v>
      </c>
      <c r="B4456">
        <v>4032</v>
      </c>
      <c r="C4456">
        <v>17</v>
      </c>
      <c r="D4456">
        <v>36.9</v>
      </c>
      <c r="E4456">
        <v>2.2000000000000002</v>
      </c>
    </row>
    <row r="4457" spans="1:5" x14ac:dyDescent="0.2">
      <c r="A4457">
        <v>4450</v>
      </c>
      <c r="B4457">
        <v>4035</v>
      </c>
      <c r="C4457">
        <v>17</v>
      </c>
      <c r="D4457">
        <v>36.6</v>
      </c>
      <c r="E4457">
        <v>2.2000000000000002</v>
      </c>
    </row>
    <row r="4458" spans="1:5" x14ac:dyDescent="0.2">
      <c r="A4458">
        <v>4451</v>
      </c>
      <c r="B4458">
        <v>4038</v>
      </c>
      <c r="C4458">
        <v>17</v>
      </c>
      <c r="D4458">
        <v>36.299999999999997</v>
      </c>
      <c r="E4458">
        <v>2.2000000000000002</v>
      </c>
    </row>
    <row r="4459" spans="1:5" x14ac:dyDescent="0.2">
      <c r="A4459">
        <v>4452</v>
      </c>
      <c r="B4459">
        <v>4041</v>
      </c>
      <c r="C4459">
        <v>17</v>
      </c>
      <c r="D4459">
        <v>36.1</v>
      </c>
      <c r="E4459">
        <v>2.2000000000000002</v>
      </c>
    </row>
    <row r="4460" spans="1:5" x14ac:dyDescent="0.2">
      <c r="A4460">
        <v>4453</v>
      </c>
      <c r="B4460">
        <v>4043</v>
      </c>
      <c r="C4460">
        <v>16</v>
      </c>
      <c r="D4460">
        <v>36</v>
      </c>
      <c r="E4460">
        <v>2.1</v>
      </c>
    </row>
    <row r="4461" spans="1:5" x14ac:dyDescent="0.2">
      <c r="A4461">
        <v>4454</v>
      </c>
      <c r="B4461">
        <v>4045</v>
      </c>
      <c r="C4461">
        <v>16</v>
      </c>
      <c r="D4461">
        <v>35.9</v>
      </c>
      <c r="E4461">
        <v>2.1</v>
      </c>
    </row>
    <row r="4462" spans="1:5" x14ac:dyDescent="0.2">
      <c r="A4462">
        <v>4455</v>
      </c>
      <c r="B4462">
        <v>4046</v>
      </c>
      <c r="C4462">
        <v>16</v>
      </c>
      <c r="D4462">
        <v>35.9</v>
      </c>
      <c r="E4462">
        <v>2</v>
      </c>
    </row>
    <row r="4463" spans="1:5" x14ac:dyDescent="0.2">
      <c r="A4463">
        <v>4456</v>
      </c>
      <c r="B4463">
        <v>4046</v>
      </c>
      <c r="C4463">
        <v>16</v>
      </c>
      <c r="D4463">
        <v>35.9</v>
      </c>
      <c r="E4463">
        <v>2</v>
      </c>
    </row>
    <row r="4464" spans="1:5" x14ac:dyDescent="0.2">
      <c r="A4464">
        <v>4457</v>
      </c>
      <c r="B4464">
        <v>4047</v>
      </c>
      <c r="C4464">
        <v>16</v>
      </c>
      <c r="D4464">
        <v>36</v>
      </c>
      <c r="E4464">
        <v>2</v>
      </c>
    </row>
    <row r="4465" spans="1:5" x14ac:dyDescent="0.2">
      <c r="A4465">
        <v>4458</v>
      </c>
      <c r="B4465">
        <v>4046</v>
      </c>
      <c r="C4465">
        <v>16</v>
      </c>
      <c r="D4465">
        <v>36.200000000000003</v>
      </c>
      <c r="E4465">
        <v>2.1</v>
      </c>
    </row>
    <row r="4466" spans="1:5" x14ac:dyDescent="0.2">
      <c r="A4466">
        <v>4459</v>
      </c>
      <c r="B4466">
        <v>4046</v>
      </c>
      <c r="C4466">
        <v>16</v>
      </c>
      <c r="D4466">
        <v>36.4</v>
      </c>
      <c r="E4466">
        <v>2.1</v>
      </c>
    </row>
    <row r="4467" spans="1:5" x14ac:dyDescent="0.2">
      <c r="A4467">
        <v>4460</v>
      </c>
      <c r="B4467">
        <v>4044</v>
      </c>
      <c r="C4467">
        <v>16</v>
      </c>
      <c r="D4467">
        <v>36.700000000000003</v>
      </c>
      <c r="E4467">
        <v>2</v>
      </c>
    </row>
    <row r="4468" spans="1:5" x14ac:dyDescent="0.2">
      <c r="A4468">
        <v>4461</v>
      </c>
      <c r="B4468">
        <v>4043</v>
      </c>
      <c r="C4468">
        <v>16</v>
      </c>
      <c r="D4468">
        <v>37</v>
      </c>
      <c r="E4468">
        <v>2</v>
      </c>
    </row>
    <row r="4469" spans="1:5" x14ac:dyDescent="0.2">
      <c r="A4469">
        <v>4462</v>
      </c>
      <c r="B4469">
        <v>4041</v>
      </c>
      <c r="C4469">
        <v>16</v>
      </c>
      <c r="D4469">
        <v>37.4</v>
      </c>
      <c r="E4469">
        <v>2</v>
      </c>
    </row>
    <row r="4470" spans="1:5" x14ac:dyDescent="0.2">
      <c r="A4470">
        <v>4463</v>
      </c>
      <c r="B4470">
        <v>4039</v>
      </c>
      <c r="C4470">
        <v>16</v>
      </c>
      <c r="D4470">
        <v>37.799999999999997</v>
      </c>
      <c r="E4470">
        <v>2</v>
      </c>
    </row>
    <row r="4471" spans="1:5" x14ac:dyDescent="0.2">
      <c r="A4471">
        <v>4464</v>
      </c>
      <c r="B4471">
        <v>4037</v>
      </c>
      <c r="C4471">
        <v>16</v>
      </c>
      <c r="D4471">
        <v>38.200000000000003</v>
      </c>
      <c r="E4471">
        <v>2</v>
      </c>
    </row>
    <row r="4472" spans="1:5" x14ac:dyDescent="0.2">
      <c r="A4472">
        <v>4465</v>
      </c>
      <c r="B4472">
        <v>4034</v>
      </c>
      <c r="C4472">
        <v>16</v>
      </c>
      <c r="D4472">
        <v>38.6</v>
      </c>
      <c r="E4472">
        <v>2.1</v>
      </c>
    </row>
    <row r="4473" spans="1:5" x14ac:dyDescent="0.2">
      <c r="A4473">
        <v>4466</v>
      </c>
      <c r="B4473">
        <v>4032</v>
      </c>
      <c r="C4473">
        <v>16</v>
      </c>
      <c r="D4473">
        <v>39</v>
      </c>
      <c r="E4473">
        <v>2.1</v>
      </c>
    </row>
    <row r="4474" spans="1:5" x14ac:dyDescent="0.2">
      <c r="A4474">
        <v>4467</v>
      </c>
      <c r="B4474">
        <v>4030</v>
      </c>
      <c r="C4474">
        <v>17</v>
      </c>
      <c r="D4474">
        <v>39.4</v>
      </c>
      <c r="E4474">
        <v>2.2000000000000002</v>
      </c>
    </row>
    <row r="4475" spans="1:5" x14ac:dyDescent="0.2">
      <c r="A4475">
        <v>4468</v>
      </c>
      <c r="B4475">
        <v>4028</v>
      </c>
      <c r="C4475">
        <v>17</v>
      </c>
      <c r="D4475">
        <v>39.799999999999997</v>
      </c>
      <c r="E4475">
        <v>2.2000000000000002</v>
      </c>
    </row>
    <row r="4476" spans="1:5" x14ac:dyDescent="0.2">
      <c r="A4476">
        <v>4469</v>
      </c>
      <c r="B4476">
        <v>4027</v>
      </c>
      <c r="C4476">
        <v>17</v>
      </c>
      <c r="D4476">
        <v>40.1</v>
      </c>
      <c r="E4476">
        <v>2.2000000000000002</v>
      </c>
    </row>
    <row r="4477" spans="1:5" x14ac:dyDescent="0.2">
      <c r="A4477">
        <v>4470</v>
      </c>
      <c r="B4477">
        <v>4026</v>
      </c>
      <c r="C4477">
        <v>17</v>
      </c>
      <c r="D4477">
        <v>40.4</v>
      </c>
      <c r="E4477">
        <v>2.1</v>
      </c>
    </row>
    <row r="4478" spans="1:5" x14ac:dyDescent="0.2">
      <c r="A4478">
        <v>4471</v>
      </c>
      <c r="B4478">
        <v>4025</v>
      </c>
      <c r="C4478">
        <v>16</v>
      </c>
      <c r="D4478">
        <v>40.6</v>
      </c>
      <c r="E4478">
        <v>2.1</v>
      </c>
    </row>
    <row r="4479" spans="1:5" x14ac:dyDescent="0.2">
      <c r="A4479">
        <v>4472</v>
      </c>
      <c r="B4479">
        <v>4024</v>
      </c>
      <c r="C4479">
        <v>16</v>
      </c>
      <c r="D4479">
        <v>40.799999999999997</v>
      </c>
      <c r="E4479">
        <v>2.1</v>
      </c>
    </row>
    <row r="4480" spans="1:5" x14ac:dyDescent="0.2">
      <c r="A4480">
        <v>4473</v>
      </c>
      <c r="B4480">
        <v>4024</v>
      </c>
      <c r="C4480">
        <v>16</v>
      </c>
      <c r="D4480">
        <v>41</v>
      </c>
      <c r="E4480">
        <v>2.1</v>
      </c>
    </row>
    <row r="4481" spans="1:5" x14ac:dyDescent="0.2">
      <c r="A4481">
        <v>4474</v>
      </c>
      <c r="B4481">
        <v>4023</v>
      </c>
      <c r="C4481">
        <v>16</v>
      </c>
      <c r="D4481">
        <v>41.2</v>
      </c>
      <c r="E4481">
        <v>2.1</v>
      </c>
    </row>
    <row r="4482" spans="1:5" x14ac:dyDescent="0.2">
      <c r="A4482">
        <v>4475</v>
      </c>
      <c r="B4482">
        <v>4022</v>
      </c>
      <c r="C4482">
        <v>16</v>
      </c>
      <c r="D4482">
        <v>41.5</v>
      </c>
      <c r="E4482">
        <v>2.1</v>
      </c>
    </row>
    <row r="4483" spans="1:5" x14ac:dyDescent="0.2">
      <c r="A4483">
        <v>4476</v>
      </c>
      <c r="B4483">
        <v>4021</v>
      </c>
      <c r="C4483">
        <v>16</v>
      </c>
      <c r="D4483">
        <v>41.7</v>
      </c>
      <c r="E4483">
        <v>2.1</v>
      </c>
    </row>
    <row r="4484" spans="1:5" x14ac:dyDescent="0.2">
      <c r="A4484">
        <v>4477</v>
      </c>
      <c r="B4484">
        <v>4019</v>
      </c>
      <c r="C4484">
        <v>16</v>
      </c>
      <c r="D4484">
        <v>42.1</v>
      </c>
      <c r="E4484">
        <v>2.1</v>
      </c>
    </row>
    <row r="4485" spans="1:5" x14ac:dyDescent="0.2">
      <c r="A4485">
        <v>4478</v>
      </c>
      <c r="B4485">
        <v>4018</v>
      </c>
      <c r="C4485">
        <v>16</v>
      </c>
      <c r="D4485">
        <v>42.4</v>
      </c>
      <c r="E4485">
        <v>2.1</v>
      </c>
    </row>
    <row r="4486" spans="1:5" x14ac:dyDescent="0.2">
      <c r="A4486">
        <v>4479</v>
      </c>
      <c r="B4486">
        <v>4016</v>
      </c>
      <c r="C4486">
        <v>16</v>
      </c>
      <c r="D4486">
        <v>42.8</v>
      </c>
      <c r="E4486">
        <v>2.1</v>
      </c>
    </row>
    <row r="4487" spans="1:5" x14ac:dyDescent="0.2">
      <c r="A4487">
        <v>4480</v>
      </c>
      <c r="B4487">
        <v>4014</v>
      </c>
      <c r="C4487">
        <v>16</v>
      </c>
      <c r="D4487">
        <v>43.2</v>
      </c>
      <c r="E4487">
        <v>2</v>
      </c>
    </row>
    <row r="4488" spans="1:5" x14ac:dyDescent="0.2">
      <c r="A4488">
        <v>4481</v>
      </c>
      <c r="B4488">
        <v>4012</v>
      </c>
      <c r="C4488">
        <v>16</v>
      </c>
      <c r="D4488">
        <v>43.5</v>
      </c>
      <c r="E4488">
        <v>2</v>
      </c>
    </row>
    <row r="4489" spans="1:5" x14ac:dyDescent="0.2">
      <c r="A4489">
        <v>4482</v>
      </c>
      <c r="B4489">
        <v>4010</v>
      </c>
      <c r="C4489">
        <v>16</v>
      </c>
      <c r="D4489">
        <v>44</v>
      </c>
      <c r="E4489">
        <v>2</v>
      </c>
    </row>
    <row r="4490" spans="1:5" x14ac:dyDescent="0.2">
      <c r="A4490">
        <v>4483</v>
      </c>
      <c r="B4490">
        <v>4008</v>
      </c>
      <c r="C4490">
        <v>16</v>
      </c>
      <c r="D4490">
        <v>44.3</v>
      </c>
      <c r="E4490">
        <v>2.1</v>
      </c>
    </row>
    <row r="4491" spans="1:5" x14ac:dyDescent="0.2">
      <c r="A4491">
        <v>4484</v>
      </c>
      <c r="B4491">
        <v>4006</v>
      </c>
      <c r="C4491">
        <v>16</v>
      </c>
      <c r="D4491">
        <v>44.7</v>
      </c>
      <c r="E4491">
        <v>2.1</v>
      </c>
    </row>
    <row r="4492" spans="1:5" x14ac:dyDescent="0.2">
      <c r="A4492">
        <v>4485</v>
      </c>
      <c r="B4492">
        <v>4004</v>
      </c>
      <c r="C4492">
        <v>16</v>
      </c>
      <c r="D4492">
        <v>45.1</v>
      </c>
      <c r="E4492">
        <v>2.1</v>
      </c>
    </row>
    <row r="4493" spans="1:5" x14ac:dyDescent="0.2">
      <c r="A4493">
        <v>4486</v>
      </c>
      <c r="B4493">
        <v>4002</v>
      </c>
      <c r="C4493">
        <v>16</v>
      </c>
      <c r="D4493">
        <v>45.5</v>
      </c>
      <c r="E4493">
        <v>2.1</v>
      </c>
    </row>
    <row r="4494" spans="1:5" x14ac:dyDescent="0.2">
      <c r="A4494">
        <v>4487</v>
      </c>
      <c r="B4494">
        <v>4000</v>
      </c>
      <c r="C4494">
        <v>16</v>
      </c>
      <c r="D4494">
        <v>45.8</v>
      </c>
      <c r="E4494">
        <v>2.1</v>
      </c>
    </row>
    <row r="4495" spans="1:5" x14ac:dyDescent="0.2">
      <c r="A4495">
        <v>4488</v>
      </c>
      <c r="B4495">
        <v>3999</v>
      </c>
      <c r="C4495">
        <v>16</v>
      </c>
      <c r="D4495">
        <v>46.1</v>
      </c>
      <c r="E4495">
        <v>2.1</v>
      </c>
    </row>
    <row r="4496" spans="1:5" x14ac:dyDescent="0.2">
      <c r="A4496">
        <v>4489</v>
      </c>
      <c r="B4496">
        <v>3998</v>
      </c>
      <c r="C4496">
        <v>16</v>
      </c>
      <c r="D4496">
        <v>46.4</v>
      </c>
      <c r="E4496">
        <v>2.1</v>
      </c>
    </row>
    <row r="4497" spans="1:5" x14ac:dyDescent="0.2">
      <c r="A4497">
        <v>4490</v>
      </c>
      <c r="B4497">
        <v>3997</v>
      </c>
      <c r="C4497">
        <v>16</v>
      </c>
      <c r="D4497">
        <v>46.7</v>
      </c>
      <c r="E4497">
        <v>2.1</v>
      </c>
    </row>
    <row r="4498" spans="1:5" x14ac:dyDescent="0.2">
      <c r="A4498">
        <v>4491</v>
      </c>
      <c r="B4498">
        <v>3996</v>
      </c>
      <c r="C4498">
        <v>16</v>
      </c>
      <c r="D4498">
        <v>46.9</v>
      </c>
      <c r="E4498">
        <v>2</v>
      </c>
    </row>
    <row r="4499" spans="1:5" x14ac:dyDescent="0.2">
      <c r="A4499">
        <v>4492</v>
      </c>
      <c r="B4499">
        <v>3995</v>
      </c>
      <c r="C4499">
        <v>16</v>
      </c>
      <c r="D4499">
        <v>47.1</v>
      </c>
      <c r="E4499">
        <v>2</v>
      </c>
    </row>
    <row r="4500" spans="1:5" x14ac:dyDescent="0.2">
      <c r="A4500">
        <v>4493</v>
      </c>
      <c r="B4500">
        <v>3995</v>
      </c>
      <c r="C4500">
        <v>16</v>
      </c>
      <c r="D4500">
        <v>47.2</v>
      </c>
      <c r="E4500">
        <v>2.1</v>
      </c>
    </row>
    <row r="4501" spans="1:5" x14ac:dyDescent="0.2">
      <c r="A4501">
        <v>4494</v>
      </c>
      <c r="B4501">
        <v>3995</v>
      </c>
      <c r="C4501">
        <v>16</v>
      </c>
      <c r="D4501">
        <v>47.4</v>
      </c>
      <c r="E4501">
        <v>2.1</v>
      </c>
    </row>
    <row r="4502" spans="1:5" x14ac:dyDescent="0.2">
      <c r="A4502">
        <v>4495</v>
      </c>
      <c r="B4502">
        <v>3995</v>
      </c>
      <c r="C4502">
        <v>16</v>
      </c>
      <c r="D4502">
        <v>47.5</v>
      </c>
      <c r="E4502">
        <v>2.1</v>
      </c>
    </row>
    <row r="4503" spans="1:5" x14ac:dyDescent="0.2">
      <c r="A4503">
        <v>4496</v>
      </c>
      <c r="B4503">
        <v>3994</v>
      </c>
      <c r="C4503">
        <v>16</v>
      </c>
      <c r="D4503">
        <v>47.7</v>
      </c>
      <c r="E4503">
        <v>2.1</v>
      </c>
    </row>
    <row r="4504" spans="1:5" x14ac:dyDescent="0.2">
      <c r="A4504">
        <v>4497</v>
      </c>
      <c r="B4504">
        <v>3994</v>
      </c>
      <c r="C4504">
        <v>16</v>
      </c>
      <c r="D4504">
        <v>47.8</v>
      </c>
      <c r="E4504">
        <v>2.1</v>
      </c>
    </row>
    <row r="4505" spans="1:5" x14ac:dyDescent="0.2">
      <c r="A4505">
        <v>4498</v>
      </c>
      <c r="B4505">
        <v>3994</v>
      </c>
      <c r="C4505">
        <v>16</v>
      </c>
      <c r="D4505">
        <v>48</v>
      </c>
      <c r="E4505">
        <v>2.1</v>
      </c>
    </row>
    <row r="4506" spans="1:5" x14ac:dyDescent="0.2">
      <c r="A4506">
        <v>4499</v>
      </c>
      <c r="B4506">
        <v>3994</v>
      </c>
      <c r="C4506">
        <v>16</v>
      </c>
      <c r="D4506">
        <v>48.1</v>
      </c>
      <c r="E4506">
        <v>2.1</v>
      </c>
    </row>
    <row r="4507" spans="1:5" x14ac:dyDescent="0.2">
      <c r="A4507">
        <v>4500</v>
      </c>
      <c r="B4507">
        <v>3994</v>
      </c>
      <c r="C4507">
        <v>16</v>
      </c>
      <c r="D4507">
        <v>48.3</v>
      </c>
      <c r="E4507">
        <v>2.1</v>
      </c>
    </row>
    <row r="4508" spans="1:5" x14ac:dyDescent="0.2">
      <c r="A4508">
        <v>4501</v>
      </c>
      <c r="B4508">
        <v>3994</v>
      </c>
      <c r="C4508">
        <v>16</v>
      </c>
      <c r="D4508">
        <v>48.4</v>
      </c>
      <c r="E4508">
        <v>2</v>
      </c>
    </row>
    <row r="4509" spans="1:5" x14ac:dyDescent="0.2">
      <c r="A4509">
        <v>4502</v>
      </c>
      <c r="B4509">
        <v>3994</v>
      </c>
      <c r="C4509">
        <v>16</v>
      </c>
      <c r="D4509">
        <v>48.5</v>
      </c>
      <c r="E4509">
        <v>2</v>
      </c>
    </row>
    <row r="4510" spans="1:5" x14ac:dyDescent="0.2">
      <c r="A4510">
        <v>4503</v>
      </c>
      <c r="B4510">
        <v>3995</v>
      </c>
      <c r="C4510">
        <v>16</v>
      </c>
      <c r="D4510">
        <v>48.6</v>
      </c>
      <c r="E4510">
        <v>2.1</v>
      </c>
    </row>
    <row r="4511" spans="1:5" x14ac:dyDescent="0.2">
      <c r="A4511">
        <v>4504</v>
      </c>
      <c r="B4511">
        <v>3995</v>
      </c>
      <c r="C4511">
        <v>16</v>
      </c>
      <c r="D4511">
        <v>48.6</v>
      </c>
      <c r="E4511">
        <v>2.1</v>
      </c>
    </row>
    <row r="4512" spans="1:5" x14ac:dyDescent="0.2">
      <c r="A4512">
        <v>4505</v>
      </c>
      <c r="B4512">
        <v>3996</v>
      </c>
      <c r="C4512">
        <v>16</v>
      </c>
      <c r="D4512">
        <v>48.7</v>
      </c>
      <c r="E4512">
        <v>2.2000000000000002</v>
      </c>
    </row>
    <row r="4513" spans="1:5" x14ac:dyDescent="0.2">
      <c r="A4513">
        <v>4506</v>
      </c>
      <c r="B4513">
        <v>3996</v>
      </c>
      <c r="C4513">
        <v>17</v>
      </c>
      <c r="D4513">
        <v>48.7</v>
      </c>
      <c r="E4513">
        <v>2.2000000000000002</v>
      </c>
    </row>
    <row r="4514" spans="1:5" x14ac:dyDescent="0.2">
      <c r="A4514">
        <v>4507</v>
      </c>
      <c r="B4514">
        <v>3997</v>
      </c>
      <c r="C4514">
        <v>17</v>
      </c>
      <c r="D4514">
        <v>48.7</v>
      </c>
      <c r="E4514">
        <v>2.2000000000000002</v>
      </c>
    </row>
    <row r="4515" spans="1:5" x14ac:dyDescent="0.2">
      <c r="A4515">
        <v>4508</v>
      </c>
      <c r="B4515">
        <v>3998</v>
      </c>
      <c r="C4515">
        <v>17</v>
      </c>
      <c r="D4515">
        <v>48.7</v>
      </c>
      <c r="E4515">
        <v>2.2000000000000002</v>
      </c>
    </row>
    <row r="4516" spans="1:5" x14ac:dyDescent="0.2">
      <c r="A4516">
        <v>4509</v>
      </c>
      <c r="B4516">
        <v>4000</v>
      </c>
      <c r="C4516">
        <v>17</v>
      </c>
      <c r="D4516">
        <v>48.7</v>
      </c>
      <c r="E4516">
        <v>2.2000000000000002</v>
      </c>
    </row>
    <row r="4517" spans="1:5" x14ac:dyDescent="0.2">
      <c r="A4517">
        <v>4510</v>
      </c>
      <c r="B4517">
        <v>4001</v>
      </c>
      <c r="C4517">
        <v>16</v>
      </c>
      <c r="D4517">
        <v>48.6</v>
      </c>
      <c r="E4517">
        <v>2.1</v>
      </c>
    </row>
    <row r="4518" spans="1:5" x14ac:dyDescent="0.2">
      <c r="A4518">
        <v>4511</v>
      </c>
      <c r="B4518">
        <v>4003</v>
      </c>
      <c r="C4518">
        <v>16</v>
      </c>
      <c r="D4518">
        <v>48.5</v>
      </c>
      <c r="E4518">
        <v>2.1</v>
      </c>
    </row>
    <row r="4519" spans="1:5" x14ac:dyDescent="0.2">
      <c r="A4519">
        <v>4512</v>
      </c>
      <c r="B4519">
        <v>4005</v>
      </c>
      <c r="C4519">
        <v>16</v>
      </c>
      <c r="D4519">
        <v>48.4</v>
      </c>
      <c r="E4519">
        <v>2.1</v>
      </c>
    </row>
    <row r="4520" spans="1:5" x14ac:dyDescent="0.2">
      <c r="A4520">
        <v>4513</v>
      </c>
      <c r="B4520">
        <v>4007</v>
      </c>
      <c r="C4520">
        <v>16</v>
      </c>
      <c r="D4520">
        <v>48.2</v>
      </c>
      <c r="E4520">
        <v>2.1</v>
      </c>
    </row>
    <row r="4521" spans="1:5" x14ac:dyDescent="0.2">
      <c r="A4521">
        <v>4514</v>
      </c>
      <c r="B4521">
        <v>4010</v>
      </c>
      <c r="C4521">
        <v>16</v>
      </c>
      <c r="D4521">
        <v>47.9</v>
      </c>
      <c r="E4521">
        <v>2.1</v>
      </c>
    </row>
    <row r="4522" spans="1:5" x14ac:dyDescent="0.2">
      <c r="A4522">
        <v>4515</v>
      </c>
      <c r="B4522">
        <v>4014</v>
      </c>
      <c r="C4522">
        <v>17</v>
      </c>
      <c r="D4522">
        <v>47.6</v>
      </c>
      <c r="E4522">
        <v>2.2000000000000002</v>
      </c>
    </row>
    <row r="4523" spans="1:5" x14ac:dyDescent="0.2">
      <c r="A4523">
        <v>4516</v>
      </c>
      <c r="B4523">
        <v>4017</v>
      </c>
      <c r="C4523">
        <v>16</v>
      </c>
      <c r="D4523">
        <v>47.2</v>
      </c>
      <c r="E4523">
        <v>2.1</v>
      </c>
    </row>
    <row r="4524" spans="1:5" x14ac:dyDescent="0.2">
      <c r="A4524">
        <v>4517</v>
      </c>
      <c r="B4524">
        <v>4021</v>
      </c>
      <c r="C4524">
        <v>16</v>
      </c>
      <c r="D4524">
        <v>46.8</v>
      </c>
      <c r="E4524">
        <v>2.1</v>
      </c>
    </row>
    <row r="4525" spans="1:5" x14ac:dyDescent="0.2">
      <c r="A4525">
        <v>4518</v>
      </c>
      <c r="B4525">
        <v>4026</v>
      </c>
      <c r="C4525">
        <v>16</v>
      </c>
      <c r="D4525">
        <v>46.4</v>
      </c>
      <c r="E4525">
        <v>2.1</v>
      </c>
    </row>
    <row r="4526" spans="1:5" x14ac:dyDescent="0.2">
      <c r="A4526">
        <v>4519</v>
      </c>
      <c r="B4526">
        <v>4030</v>
      </c>
      <c r="C4526">
        <v>16</v>
      </c>
      <c r="D4526">
        <v>45.9</v>
      </c>
      <c r="E4526">
        <v>2.1</v>
      </c>
    </row>
    <row r="4527" spans="1:5" x14ac:dyDescent="0.2">
      <c r="A4527">
        <v>4520</v>
      </c>
      <c r="B4527">
        <v>4035</v>
      </c>
      <c r="C4527">
        <v>16</v>
      </c>
      <c r="D4527">
        <v>45.4</v>
      </c>
      <c r="E4527">
        <v>2</v>
      </c>
    </row>
    <row r="4528" spans="1:5" x14ac:dyDescent="0.2">
      <c r="A4528">
        <v>4521</v>
      </c>
      <c r="B4528">
        <v>4040</v>
      </c>
      <c r="C4528">
        <v>16</v>
      </c>
      <c r="D4528">
        <v>44.9</v>
      </c>
      <c r="E4528">
        <v>2</v>
      </c>
    </row>
    <row r="4529" spans="1:5" x14ac:dyDescent="0.2">
      <c r="A4529">
        <v>4522</v>
      </c>
      <c r="B4529">
        <v>4045</v>
      </c>
      <c r="C4529">
        <v>16</v>
      </c>
      <c r="D4529">
        <v>44.4</v>
      </c>
      <c r="E4529">
        <v>2</v>
      </c>
    </row>
    <row r="4530" spans="1:5" x14ac:dyDescent="0.2">
      <c r="A4530">
        <v>4523</v>
      </c>
      <c r="B4530">
        <v>4050</v>
      </c>
      <c r="C4530">
        <v>16</v>
      </c>
      <c r="D4530">
        <v>43.9</v>
      </c>
      <c r="E4530">
        <v>2.1</v>
      </c>
    </row>
    <row r="4531" spans="1:5" x14ac:dyDescent="0.2">
      <c r="A4531">
        <v>4524</v>
      </c>
      <c r="B4531">
        <v>4055</v>
      </c>
      <c r="C4531">
        <v>16</v>
      </c>
      <c r="D4531">
        <v>43.4</v>
      </c>
      <c r="E4531">
        <v>2.1</v>
      </c>
    </row>
    <row r="4532" spans="1:5" x14ac:dyDescent="0.2">
      <c r="A4532">
        <v>4525</v>
      </c>
      <c r="B4532">
        <v>4060</v>
      </c>
      <c r="C4532">
        <v>16</v>
      </c>
      <c r="D4532">
        <v>42.9</v>
      </c>
      <c r="E4532">
        <v>2.1</v>
      </c>
    </row>
    <row r="4533" spans="1:5" x14ac:dyDescent="0.2">
      <c r="A4533">
        <v>4526</v>
      </c>
      <c r="B4533">
        <v>4064</v>
      </c>
      <c r="C4533">
        <v>17</v>
      </c>
      <c r="D4533">
        <v>42.4</v>
      </c>
      <c r="E4533">
        <v>2.2000000000000002</v>
      </c>
    </row>
    <row r="4534" spans="1:5" x14ac:dyDescent="0.2">
      <c r="A4534">
        <v>4527</v>
      </c>
      <c r="B4534">
        <v>4069</v>
      </c>
      <c r="C4534">
        <v>17</v>
      </c>
      <c r="D4534">
        <v>42</v>
      </c>
      <c r="E4534">
        <v>2.2000000000000002</v>
      </c>
    </row>
    <row r="4535" spans="1:5" x14ac:dyDescent="0.2">
      <c r="A4535">
        <v>4528</v>
      </c>
      <c r="B4535">
        <v>4073</v>
      </c>
      <c r="C4535">
        <v>17</v>
      </c>
      <c r="D4535">
        <v>41.6</v>
      </c>
      <c r="E4535">
        <v>2.2000000000000002</v>
      </c>
    </row>
    <row r="4536" spans="1:5" x14ac:dyDescent="0.2">
      <c r="A4536">
        <v>4529</v>
      </c>
      <c r="B4536">
        <v>4076</v>
      </c>
      <c r="C4536">
        <v>16</v>
      </c>
      <c r="D4536">
        <v>41.2</v>
      </c>
      <c r="E4536">
        <v>2.1</v>
      </c>
    </row>
    <row r="4537" spans="1:5" x14ac:dyDescent="0.2">
      <c r="A4537">
        <v>4530</v>
      </c>
      <c r="B4537">
        <v>4079</v>
      </c>
      <c r="C4537">
        <v>16</v>
      </c>
      <c r="D4537">
        <v>40.9</v>
      </c>
      <c r="E4537">
        <v>2.1</v>
      </c>
    </row>
    <row r="4538" spans="1:5" x14ac:dyDescent="0.2">
      <c r="A4538">
        <v>4531</v>
      </c>
      <c r="B4538">
        <v>4082</v>
      </c>
      <c r="C4538">
        <v>16</v>
      </c>
      <c r="D4538">
        <v>40.700000000000003</v>
      </c>
      <c r="E4538">
        <v>2.1</v>
      </c>
    </row>
    <row r="4539" spans="1:5" x14ac:dyDescent="0.2">
      <c r="A4539">
        <v>4532</v>
      </c>
      <c r="B4539">
        <v>4085</v>
      </c>
      <c r="C4539">
        <v>16</v>
      </c>
      <c r="D4539">
        <v>40.5</v>
      </c>
      <c r="E4539">
        <v>2.1</v>
      </c>
    </row>
    <row r="4540" spans="1:5" x14ac:dyDescent="0.2">
      <c r="A4540">
        <v>4533</v>
      </c>
      <c r="B4540">
        <v>4087</v>
      </c>
      <c r="C4540">
        <v>16</v>
      </c>
      <c r="D4540">
        <v>40.4</v>
      </c>
      <c r="E4540">
        <v>2.1</v>
      </c>
    </row>
    <row r="4541" spans="1:5" x14ac:dyDescent="0.2">
      <c r="A4541">
        <v>4534</v>
      </c>
      <c r="B4541">
        <v>4088</v>
      </c>
      <c r="C4541">
        <v>16</v>
      </c>
      <c r="D4541">
        <v>40.299999999999997</v>
      </c>
      <c r="E4541">
        <v>2.1</v>
      </c>
    </row>
    <row r="4542" spans="1:5" x14ac:dyDescent="0.2">
      <c r="A4542">
        <v>4535</v>
      </c>
      <c r="B4542">
        <v>4089</v>
      </c>
      <c r="C4542">
        <v>16</v>
      </c>
      <c r="D4542">
        <v>40.299999999999997</v>
      </c>
      <c r="E4542">
        <v>2.1</v>
      </c>
    </row>
    <row r="4543" spans="1:5" x14ac:dyDescent="0.2">
      <c r="A4543">
        <v>4536</v>
      </c>
      <c r="B4543">
        <v>4090</v>
      </c>
      <c r="C4543">
        <v>16</v>
      </c>
      <c r="D4543">
        <v>40.299999999999997</v>
      </c>
      <c r="E4543">
        <v>2.1</v>
      </c>
    </row>
    <row r="4544" spans="1:5" x14ac:dyDescent="0.2">
      <c r="A4544">
        <v>4537</v>
      </c>
      <c r="B4544">
        <v>4090</v>
      </c>
      <c r="C4544">
        <v>16</v>
      </c>
      <c r="D4544">
        <v>40.4</v>
      </c>
      <c r="E4544">
        <v>2</v>
      </c>
    </row>
    <row r="4545" spans="1:5" x14ac:dyDescent="0.2">
      <c r="A4545">
        <v>4538</v>
      </c>
      <c r="B4545">
        <v>4090</v>
      </c>
      <c r="C4545">
        <v>15</v>
      </c>
      <c r="D4545">
        <v>40.5</v>
      </c>
      <c r="E4545">
        <v>2</v>
      </c>
    </row>
    <row r="4546" spans="1:5" x14ac:dyDescent="0.2">
      <c r="A4546">
        <v>4539</v>
      </c>
      <c r="B4546">
        <v>4090</v>
      </c>
      <c r="C4546">
        <v>15</v>
      </c>
      <c r="D4546">
        <v>40.700000000000003</v>
      </c>
      <c r="E4546">
        <v>2</v>
      </c>
    </row>
    <row r="4547" spans="1:5" x14ac:dyDescent="0.2">
      <c r="A4547">
        <v>4540</v>
      </c>
      <c r="B4547">
        <v>4090</v>
      </c>
      <c r="C4547">
        <v>15</v>
      </c>
      <c r="D4547">
        <v>40.9</v>
      </c>
      <c r="E4547">
        <v>2</v>
      </c>
    </row>
    <row r="4548" spans="1:5" x14ac:dyDescent="0.2">
      <c r="A4548">
        <v>4541</v>
      </c>
      <c r="B4548">
        <v>4089</v>
      </c>
      <c r="C4548">
        <v>15</v>
      </c>
      <c r="D4548">
        <v>41.1</v>
      </c>
      <c r="E4548">
        <v>2</v>
      </c>
    </row>
    <row r="4549" spans="1:5" x14ac:dyDescent="0.2">
      <c r="A4549">
        <v>4542</v>
      </c>
      <c r="B4549">
        <v>4088</v>
      </c>
      <c r="C4549">
        <v>16</v>
      </c>
      <c r="D4549">
        <v>41.3</v>
      </c>
      <c r="E4549">
        <v>2</v>
      </c>
    </row>
    <row r="4550" spans="1:5" x14ac:dyDescent="0.2">
      <c r="A4550">
        <v>4543</v>
      </c>
      <c r="B4550">
        <v>4087</v>
      </c>
      <c r="C4550">
        <v>16</v>
      </c>
      <c r="D4550">
        <v>41.5</v>
      </c>
      <c r="E4550">
        <v>2</v>
      </c>
    </row>
    <row r="4551" spans="1:5" x14ac:dyDescent="0.2">
      <c r="A4551">
        <v>4544</v>
      </c>
      <c r="B4551">
        <v>4087</v>
      </c>
      <c r="C4551">
        <v>16</v>
      </c>
      <c r="D4551">
        <v>41.8</v>
      </c>
      <c r="E4551">
        <v>2.1</v>
      </c>
    </row>
    <row r="4552" spans="1:5" x14ac:dyDescent="0.2">
      <c r="A4552">
        <v>4545</v>
      </c>
      <c r="B4552">
        <v>4086</v>
      </c>
      <c r="C4552">
        <v>16</v>
      </c>
      <c r="D4552">
        <v>42</v>
      </c>
      <c r="E4552">
        <v>2.1</v>
      </c>
    </row>
    <row r="4553" spans="1:5" x14ac:dyDescent="0.2">
      <c r="A4553">
        <v>4546</v>
      </c>
      <c r="B4553">
        <v>4085</v>
      </c>
      <c r="C4553">
        <v>17</v>
      </c>
      <c r="D4553">
        <v>42.2</v>
      </c>
      <c r="E4553">
        <v>2.2000000000000002</v>
      </c>
    </row>
    <row r="4554" spans="1:5" x14ac:dyDescent="0.2">
      <c r="A4554">
        <v>4547</v>
      </c>
      <c r="B4554">
        <v>4085</v>
      </c>
      <c r="C4554">
        <v>17</v>
      </c>
      <c r="D4554">
        <v>42.4</v>
      </c>
      <c r="E4554">
        <v>2.2000000000000002</v>
      </c>
    </row>
    <row r="4555" spans="1:5" x14ac:dyDescent="0.2">
      <c r="A4555">
        <v>4548</v>
      </c>
      <c r="B4555">
        <v>4084</v>
      </c>
      <c r="C4555">
        <v>17</v>
      </c>
      <c r="D4555">
        <v>42.6</v>
      </c>
      <c r="E4555">
        <v>2.2000000000000002</v>
      </c>
    </row>
    <row r="4556" spans="1:5" x14ac:dyDescent="0.2">
      <c r="A4556">
        <v>4549</v>
      </c>
      <c r="B4556">
        <v>4084</v>
      </c>
      <c r="C4556">
        <v>17</v>
      </c>
      <c r="D4556">
        <v>42.8</v>
      </c>
      <c r="E4556">
        <v>2.2000000000000002</v>
      </c>
    </row>
    <row r="4557" spans="1:5" x14ac:dyDescent="0.2">
      <c r="A4557">
        <v>4550</v>
      </c>
      <c r="B4557">
        <v>4084</v>
      </c>
      <c r="C4557">
        <v>17</v>
      </c>
      <c r="D4557">
        <v>42.9</v>
      </c>
      <c r="E4557">
        <v>2.1</v>
      </c>
    </row>
    <row r="4558" spans="1:5" x14ac:dyDescent="0.2">
      <c r="A4558">
        <v>4551</v>
      </c>
      <c r="B4558">
        <v>4084</v>
      </c>
      <c r="C4558">
        <v>17</v>
      </c>
      <c r="D4558">
        <v>43.1</v>
      </c>
      <c r="E4558">
        <v>2.2000000000000002</v>
      </c>
    </row>
    <row r="4559" spans="1:5" x14ac:dyDescent="0.2">
      <c r="A4559">
        <v>4552</v>
      </c>
      <c r="B4559">
        <v>4083</v>
      </c>
      <c r="C4559">
        <v>17</v>
      </c>
      <c r="D4559">
        <v>43.2</v>
      </c>
      <c r="E4559">
        <v>2.2000000000000002</v>
      </c>
    </row>
    <row r="4560" spans="1:5" x14ac:dyDescent="0.2">
      <c r="A4560">
        <v>4553</v>
      </c>
      <c r="B4560">
        <v>4083</v>
      </c>
      <c r="C4560">
        <v>17</v>
      </c>
      <c r="D4560">
        <v>43.4</v>
      </c>
      <c r="E4560">
        <v>2.2000000000000002</v>
      </c>
    </row>
    <row r="4561" spans="1:5" x14ac:dyDescent="0.2">
      <c r="A4561">
        <v>4554</v>
      </c>
      <c r="B4561">
        <v>4083</v>
      </c>
      <c r="C4561">
        <v>17</v>
      </c>
      <c r="D4561">
        <v>43.6</v>
      </c>
      <c r="E4561">
        <v>2.2000000000000002</v>
      </c>
    </row>
    <row r="4562" spans="1:5" x14ac:dyDescent="0.2">
      <c r="A4562">
        <v>4555</v>
      </c>
      <c r="B4562">
        <v>4082</v>
      </c>
      <c r="C4562">
        <v>17</v>
      </c>
      <c r="D4562">
        <v>43.8</v>
      </c>
      <c r="E4562">
        <v>2.2999999999999998</v>
      </c>
    </row>
    <row r="4563" spans="1:5" x14ac:dyDescent="0.2">
      <c r="A4563">
        <v>4556</v>
      </c>
      <c r="B4563">
        <v>4081</v>
      </c>
      <c r="C4563">
        <v>17</v>
      </c>
      <c r="D4563">
        <v>44</v>
      </c>
      <c r="E4563">
        <v>2.2000000000000002</v>
      </c>
    </row>
    <row r="4564" spans="1:5" x14ac:dyDescent="0.2">
      <c r="A4564">
        <v>4557</v>
      </c>
      <c r="B4564">
        <v>4080</v>
      </c>
      <c r="C4564">
        <v>17</v>
      </c>
      <c r="D4564">
        <v>44.3</v>
      </c>
      <c r="E4564">
        <v>2.2000000000000002</v>
      </c>
    </row>
    <row r="4565" spans="1:5" x14ac:dyDescent="0.2">
      <c r="A4565">
        <v>4558</v>
      </c>
      <c r="B4565">
        <v>4079</v>
      </c>
      <c r="C4565">
        <v>17</v>
      </c>
      <c r="D4565">
        <v>44.5</v>
      </c>
      <c r="E4565">
        <v>2.2000000000000002</v>
      </c>
    </row>
    <row r="4566" spans="1:5" x14ac:dyDescent="0.2">
      <c r="A4566">
        <v>4559</v>
      </c>
      <c r="B4566">
        <v>4078</v>
      </c>
      <c r="C4566">
        <v>17</v>
      </c>
      <c r="D4566">
        <v>44.8</v>
      </c>
      <c r="E4566">
        <v>2.2000000000000002</v>
      </c>
    </row>
    <row r="4567" spans="1:5" x14ac:dyDescent="0.2">
      <c r="A4567">
        <v>4560</v>
      </c>
      <c r="B4567">
        <v>4077</v>
      </c>
      <c r="C4567">
        <v>16</v>
      </c>
      <c r="D4567">
        <v>45.1</v>
      </c>
      <c r="E4567">
        <v>2.1</v>
      </c>
    </row>
    <row r="4568" spans="1:5" x14ac:dyDescent="0.2">
      <c r="A4568">
        <v>4561</v>
      </c>
      <c r="B4568">
        <v>4076</v>
      </c>
      <c r="C4568">
        <v>16</v>
      </c>
      <c r="D4568">
        <v>45.3</v>
      </c>
      <c r="E4568">
        <v>2.1</v>
      </c>
    </row>
    <row r="4569" spans="1:5" x14ac:dyDescent="0.2">
      <c r="A4569">
        <v>4562</v>
      </c>
      <c r="B4569">
        <v>4075</v>
      </c>
      <c r="C4569">
        <v>16</v>
      </c>
      <c r="D4569">
        <v>45.5</v>
      </c>
      <c r="E4569">
        <v>2.1</v>
      </c>
    </row>
    <row r="4570" spans="1:5" x14ac:dyDescent="0.2">
      <c r="A4570">
        <v>4563</v>
      </c>
      <c r="B4570">
        <v>4075</v>
      </c>
      <c r="C4570">
        <v>16</v>
      </c>
      <c r="D4570">
        <v>45.7</v>
      </c>
      <c r="E4570">
        <v>2.1</v>
      </c>
    </row>
    <row r="4571" spans="1:5" x14ac:dyDescent="0.2">
      <c r="A4571">
        <v>4564</v>
      </c>
      <c r="B4571">
        <v>4075</v>
      </c>
      <c r="C4571">
        <v>17</v>
      </c>
      <c r="D4571">
        <v>45.8</v>
      </c>
      <c r="E4571">
        <v>2.2000000000000002</v>
      </c>
    </row>
    <row r="4572" spans="1:5" x14ac:dyDescent="0.2">
      <c r="A4572">
        <v>4565</v>
      </c>
      <c r="B4572">
        <v>4075</v>
      </c>
      <c r="C4572">
        <v>17</v>
      </c>
      <c r="D4572">
        <v>45.9</v>
      </c>
      <c r="E4572">
        <v>2.2000000000000002</v>
      </c>
    </row>
    <row r="4573" spans="1:5" x14ac:dyDescent="0.2">
      <c r="A4573">
        <v>4566</v>
      </c>
      <c r="B4573">
        <v>4076</v>
      </c>
      <c r="C4573">
        <v>17</v>
      </c>
      <c r="D4573">
        <v>46</v>
      </c>
      <c r="E4573">
        <v>2.2000000000000002</v>
      </c>
    </row>
    <row r="4574" spans="1:5" x14ac:dyDescent="0.2">
      <c r="A4574">
        <v>4567</v>
      </c>
      <c r="B4574">
        <v>4077</v>
      </c>
      <c r="C4574">
        <v>17</v>
      </c>
      <c r="D4574">
        <v>45.9</v>
      </c>
      <c r="E4574">
        <v>2.2000000000000002</v>
      </c>
    </row>
    <row r="4575" spans="1:5" x14ac:dyDescent="0.2">
      <c r="A4575">
        <v>4568</v>
      </c>
      <c r="B4575">
        <v>4079</v>
      </c>
      <c r="C4575">
        <v>17</v>
      </c>
      <c r="D4575">
        <v>45.8</v>
      </c>
      <c r="E4575">
        <v>2.1</v>
      </c>
    </row>
    <row r="4576" spans="1:5" x14ac:dyDescent="0.2">
      <c r="A4576">
        <v>4569</v>
      </c>
      <c r="B4576">
        <v>4081</v>
      </c>
      <c r="C4576">
        <v>16</v>
      </c>
      <c r="D4576">
        <v>45.7</v>
      </c>
      <c r="E4576">
        <v>2.1</v>
      </c>
    </row>
    <row r="4577" spans="1:5" x14ac:dyDescent="0.2">
      <c r="A4577">
        <v>4570</v>
      </c>
      <c r="B4577">
        <v>4083</v>
      </c>
      <c r="C4577">
        <v>16</v>
      </c>
      <c r="D4577">
        <v>45.5</v>
      </c>
      <c r="E4577">
        <v>2.1</v>
      </c>
    </row>
    <row r="4578" spans="1:5" x14ac:dyDescent="0.2">
      <c r="A4578">
        <v>4571</v>
      </c>
      <c r="B4578">
        <v>4086</v>
      </c>
      <c r="C4578">
        <v>16</v>
      </c>
      <c r="D4578">
        <v>45.2</v>
      </c>
      <c r="E4578">
        <v>2.1</v>
      </c>
    </row>
    <row r="4579" spans="1:5" x14ac:dyDescent="0.2">
      <c r="A4579">
        <v>4572</v>
      </c>
      <c r="B4579">
        <v>4089</v>
      </c>
      <c r="C4579">
        <v>16</v>
      </c>
      <c r="D4579">
        <v>45</v>
      </c>
      <c r="E4579">
        <v>2.1</v>
      </c>
    </row>
    <row r="4580" spans="1:5" x14ac:dyDescent="0.2">
      <c r="A4580">
        <v>4573</v>
      </c>
      <c r="B4580">
        <v>4092</v>
      </c>
      <c r="C4580">
        <v>16</v>
      </c>
      <c r="D4580">
        <v>44.7</v>
      </c>
      <c r="E4580">
        <v>2.1</v>
      </c>
    </row>
    <row r="4581" spans="1:5" x14ac:dyDescent="0.2">
      <c r="A4581">
        <v>4574</v>
      </c>
      <c r="B4581">
        <v>4095</v>
      </c>
      <c r="C4581">
        <v>17</v>
      </c>
      <c r="D4581">
        <v>44.4</v>
      </c>
      <c r="E4581">
        <v>2.2000000000000002</v>
      </c>
    </row>
    <row r="4582" spans="1:5" x14ac:dyDescent="0.2">
      <c r="A4582">
        <v>4575</v>
      </c>
      <c r="B4582">
        <v>4098</v>
      </c>
      <c r="C4582">
        <v>17</v>
      </c>
      <c r="D4582">
        <v>44.2</v>
      </c>
      <c r="E4582">
        <v>2.1</v>
      </c>
    </row>
    <row r="4583" spans="1:5" x14ac:dyDescent="0.2">
      <c r="A4583">
        <v>4576</v>
      </c>
      <c r="B4583">
        <v>4101</v>
      </c>
      <c r="C4583">
        <v>16</v>
      </c>
      <c r="D4583">
        <v>43.9</v>
      </c>
      <c r="E4583">
        <v>2.1</v>
      </c>
    </row>
    <row r="4584" spans="1:5" x14ac:dyDescent="0.2">
      <c r="A4584">
        <v>4577</v>
      </c>
      <c r="B4584">
        <v>4104</v>
      </c>
      <c r="C4584">
        <v>16</v>
      </c>
      <c r="D4584">
        <v>43.7</v>
      </c>
      <c r="E4584">
        <v>2.1</v>
      </c>
    </row>
    <row r="4585" spans="1:5" x14ac:dyDescent="0.2">
      <c r="A4585">
        <v>4578</v>
      </c>
      <c r="B4585">
        <v>4106</v>
      </c>
      <c r="C4585">
        <v>16</v>
      </c>
      <c r="D4585">
        <v>43.5</v>
      </c>
      <c r="E4585">
        <v>2</v>
      </c>
    </row>
    <row r="4586" spans="1:5" x14ac:dyDescent="0.2">
      <c r="A4586">
        <v>4579</v>
      </c>
      <c r="B4586">
        <v>4109</v>
      </c>
      <c r="C4586">
        <v>15</v>
      </c>
      <c r="D4586">
        <v>43.3</v>
      </c>
      <c r="E4586">
        <v>2</v>
      </c>
    </row>
    <row r="4587" spans="1:5" x14ac:dyDescent="0.2">
      <c r="A4587">
        <v>4580</v>
      </c>
      <c r="B4587">
        <v>4111</v>
      </c>
      <c r="C4587">
        <v>15</v>
      </c>
      <c r="D4587">
        <v>43.2</v>
      </c>
      <c r="E4587">
        <v>2</v>
      </c>
    </row>
    <row r="4588" spans="1:5" x14ac:dyDescent="0.2">
      <c r="A4588">
        <v>4581</v>
      </c>
      <c r="B4588">
        <v>4113</v>
      </c>
      <c r="C4588">
        <v>15</v>
      </c>
      <c r="D4588">
        <v>43</v>
      </c>
      <c r="E4588">
        <v>2</v>
      </c>
    </row>
    <row r="4589" spans="1:5" x14ac:dyDescent="0.2">
      <c r="A4589">
        <v>4582</v>
      </c>
      <c r="B4589">
        <v>4115</v>
      </c>
      <c r="C4589">
        <v>15</v>
      </c>
      <c r="D4589">
        <v>42.9</v>
      </c>
      <c r="E4589">
        <v>2</v>
      </c>
    </row>
    <row r="4590" spans="1:5" x14ac:dyDescent="0.2">
      <c r="A4590">
        <v>4583</v>
      </c>
      <c r="B4590">
        <v>4116</v>
      </c>
      <c r="C4590">
        <v>16</v>
      </c>
      <c r="D4590">
        <v>42.8</v>
      </c>
      <c r="E4590">
        <v>2</v>
      </c>
    </row>
    <row r="4591" spans="1:5" x14ac:dyDescent="0.2">
      <c r="A4591">
        <v>4584</v>
      </c>
      <c r="B4591">
        <v>4118</v>
      </c>
      <c r="C4591">
        <v>16</v>
      </c>
      <c r="D4591">
        <v>42.8</v>
      </c>
      <c r="E4591">
        <v>2.1</v>
      </c>
    </row>
    <row r="4592" spans="1:5" x14ac:dyDescent="0.2">
      <c r="A4592">
        <v>4585</v>
      </c>
      <c r="B4592">
        <v>4119</v>
      </c>
      <c r="C4592">
        <v>16</v>
      </c>
      <c r="D4592">
        <v>42.7</v>
      </c>
      <c r="E4592">
        <v>2.1</v>
      </c>
    </row>
    <row r="4593" spans="1:5" x14ac:dyDescent="0.2">
      <c r="A4593">
        <v>4586</v>
      </c>
      <c r="B4593">
        <v>4120</v>
      </c>
      <c r="C4593">
        <v>16</v>
      </c>
      <c r="D4593">
        <v>42.7</v>
      </c>
      <c r="E4593">
        <v>2.1</v>
      </c>
    </row>
    <row r="4594" spans="1:5" x14ac:dyDescent="0.2">
      <c r="A4594">
        <v>4587</v>
      </c>
      <c r="B4594">
        <v>4121</v>
      </c>
      <c r="C4594">
        <v>16</v>
      </c>
      <c r="D4594">
        <v>42.7</v>
      </c>
      <c r="E4594">
        <v>2.1</v>
      </c>
    </row>
    <row r="4595" spans="1:5" x14ac:dyDescent="0.2">
      <c r="A4595">
        <v>4588</v>
      </c>
      <c r="B4595">
        <v>4122</v>
      </c>
      <c r="C4595">
        <v>16</v>
      </c>
      <c r="D4595">
        <v>42.8</v>
      </c>
      <c r="E4595">
        <v>2.1</v>
      </c>
    </row>
    <row r="4596" spans="1:5" x14ac:dyDescent="0.2">
      <c r="A4596">
        <v>4589</v>
      </c>
      <c r="B4596">
        <v>4122</v>
      </c>
      <c r="C4596">
        <v>17</v>
      </c>
      <c r="D4596">
        <v>42.8</v>
      </c>
      <c r="E4596">
        <v>2.1</v>
      </c>
    </row>
    <row r="4597" spans="1:5" x14ac:dyDescent="0.2">
      <c r="A4597">
        <v>4590</v>
      </c>
      <c r="B4597">
        <v>4122</v>
      </c>
      <c r="C4597">
        <v>17</v>
      </c>
      <c r="D4597">
        <v>42.9</v>
      </c>
      <c r="E4597">
        <v>2.2000000000000002</v>
      </c>
    </row>
    <row r="4598" spans="1:5" x14ac:dyDescent="0.2">
      <c r="A4598">
        <v>4591</v>
      </c>
      <c r="B4598">
        <v>4122</v>
      </c>
      <c r="C4598">
        <v>17</v>
      </c>
      <c r="D4598">
        <v>43.1</v>
      </c>
      <c r="E4598">
        <v>2.2000000000000002</v>
      </c>
    </row>
    <row r="4599" spans="1:5" x14ac:dyDescent="0.2">
      <c r="A4599">
        <v>4592</v>
      </c>
      <c r="B4599">
        <v>4122</v>
      </c>
      <c r="C4599">
        <v>17</v>
      </c>
      <c r="D4599">
        <v>43.3</v>
      </c>
      <c r="E4599">
        <v>2.2000000000000002</v>
      </c>
    </row>
    <row r="4600" spans="1:5" x14ac:dyDescent="0.2">
      <c r="A4600">
        <v>4593</v>
      </c>
      <c r="B4600">
        <v>4121</v>
      </c>
      <c r="C4600">
        <v>18</v>
      </c>
      <c r="D4600">
        <v>43.5</v>
      </c>
      <c r="E4600">
        <v>2.2999999999999998</v>
      </c>
    </row>
    <row r="4601" spans="1:5" x14ac:dyDescent="0.2">
      <c r="A4601">
        <v>4594</v>
      </c>
      <c r="B4601">
        <v>4120</v>
      </c>
      <c r="C4601">
        <v>18</v>
      </c>
      <c r="D4601">
        <v>43.7</v>
      </c>
      <c r="E4601">
        <v>2.2999999999999998</v>
      </c>
    </row>
    <row r="4602" spans="1:5" x14ac:dyDescent="0.2">
      <c r="A4602">
        <v>4595</v>
      </c>
      <c r="B4602">
        <v>4119</v>
      </c>
      <c r="C4602">
        <v>18</v>
      </c>
      <c r="D4602">
        <v>44</v>
      </c>
      <c r="E4602">
        <v>2.2999999999999998</v>
      </c>
    </row>
    <row r="4603" spans="1:5" x14ac:dyDescent="0.2">
      <c r="A4603">
        <v>4596</v>
      </c>
      <c r="B4603">
        <v>4118</v>
      </c>
      <c r="C4603">
        <v>18</v>
      </c>
      <c r="D4603">
        <v>44.2</v>
      </c>
      <c r="E4603">
        <v>2.2999999999999998</v>
      </c>
    </row>
    <row r="4604" spans="1:5" x14ac:dyDescent="0.2">
      <c r="A4604">
        <v>4597</v>
      </c>
      <c r="B4604">
        <v>4117</v>
      </c>
      <c r="C4604">
        <v>18</v>
      </c>
      <c r="D4604">
        <v>44.5</v>
      </c>
      <c r="E4604">
        <v>2.2999999999999998</v>
      </c>
    </row>
    <row r="4605" spans="1:5" x14ac:dyDescent="0.2">
      <c r="A4605">
        <v>4598</v>
      </c>
      <c r="B4605">
        <v>4115</v>
      </c>
      <c r="C4605">
        <v>17</v>
      </c>
      <c r="D4605">
        <v>44.9</v>
      </c>
      <c r="E4605">
        <v>2.2999999999999998</v>
      </c>
    </row>
    <row r="4606" spans="1:5" x14ac:dyDescent="0.2">
      <c r="A4606">
        <v>4599</v>
      </c>
      <c r="B4606">
        <v>4114</v>
      </c>
      <c r="C4606">
        <v>17</v>
      </c>
      <c r="D4606">
        <v>45.2</v>
      </c>
      <c r="E4606">
        <v>2.2000000000000002</v>
      </c>
    </row>
    <row r="4607" spans="1:5" x14ac:dyDescent="0.2">
      <c r="A4607">
        <v>4600</v>
      </c>
      <c r="B4607">
        <v>4113</v>
      </c>
      <c r="C4607">
        <v>17</v>
      </c>
      <c r="D4607">
        <v>45.5</v>
      </c>
      <c r="E4607">
        <v>2.2000000000000002</v>
      </c>
    </row>
    <row r="4608" spans="1:5" x14ac:dyDescent="0.2">
      <c r="A4608">
        <v>4601</v>
      </c>
      <c r="B4608">
        <v>4111</v>
      </c>
      <c r="C4608">
        <v>17</v>
      </c>
      <c r="D4608">
        <v>45.8</v>
      </c>
      <c r="E4608">
        <v>2.2000000000000002</v>
      </c>
    </row>
    <row r="4609" spans="1:5" x14ac:dyDescent="0.2">
      <c r="A4609">
        <v>4602</v>
      </c>
      <c r="B4609">
        <v>4110</v>
      </c>
      <c r="C4609">
        <v>16</v>
      </c>
      <c r="D4609">
        <v>46.1</v>
      </c>
      <c r="E4609">
        <v>2.1</v>
      </c>
    </row>
    <row r="4610" spans="1:5" x14ac:dyDescent="0.2">
      <c r="A4610">
        <v>4603</v>
      </c>
      <c r="B4610">
        <v>4109</v>
      </c>
      <c r="C4610">
        <v>17</v>
      </c>
      <c r="D4610">
        <v>46.3</v>
      </c>
      <c r="E4610">
        <v>2.2000000000000002</v>
      </c>
    </row>
    <row r="4611" spans="1:5" x14ac:dyDescent="0.2">
      <c r="A4611">
        <v>4604</v>
      </c>
      <c r="B4611">
        <v>4108</v>
      </c>
      <c r="C4611">
        <v>17</v>
      </c>
      <c r="D4611">
        <v>46.6</v>
      </c>
      <c r="E4611">
        <v>2.2000000000000002</v>
      </c>
    </row>
    <row r="4612" spans="1:5" x14ac:dyDescent="0.2">
      <c r="A4612">
        <v>4605</v>
      </c>
      <c r="B4612">
        <v>4107</v>
      </c>
      <c r="C4612">
        <v>17</v>
      </c>
      <c r="D4612">
        <v>46.8</v>
      </c>
      <c r="E4612">
        <v>2.2000000000000002</v>
      </c>
    </row>
    <row r="4613" spans="1:5" x14ac:dyDescent="0.2">
      <c r="A4613">
        <v>4606</v>
      </c>
      <c r="B4613">
        <v>4107</v>
      </c>
      <c r="C4613">
        <v>17</v>
      </c>
      <c r="D4613">
        <v>47</v>
      </c>
      <c r="E4613">
        <v>2.2000000000000002</v>
      </c>
    </row>
    <row r="4614" spans="1:5" x14ac:dyDescent="0.2">
      <c r="A4614">
        <v>4607</v>
      </c>
      <c r="B4614">
        <v>4107</v>
      </c>
      <c r="C4614">
        <v>17</v>
      </c>
      <c r="D4614">
        <v>47.1</v>
      </c>
      <c r="E4614">
        <v>2.2000000000000002</v>
      </c>
    </row>
    <row r="4615" spans="1:5" x14ac:dyDescent="0.2">
      <c r="A4615">
        <v>4608</v>
      </c>
      <c r="B4615">
        <v>4107</v>
      </c>
      <c r="C4615">
        <v>17</v>
      </c>
      <c r="D4615">
        <v>47.2</v>
      </c>
      <c r="E4615">
        <v>2.2000000000000002</v>
      </c>
    </row>
    <row r="4616" spans="1:5" x14ac:dyDescent="0.2">
      <c r="A4616">
        <v>4609</v>
      </c>
      <c r="B4616">
        <v>4108</v>
      </c>
      <c r="C4616">
        <v>17</v>
      </c>
      <c r="D4616">
        <v>47.2</v>
      </c>
      <c r="E4616">
        <v>2.2000000000000002</v>
      </c>
    </row>
    <row r="4617" spans="1:5" x14ac:dyDescent="0.2">
      <c r="A4617">
        <v>4610</v>
      </c>
      <c r="B4617">
        <v>4109</v>
      </c>
      <c r="C4617">
        <v>16</v>
      </c>
      <c r="D4617">
        <v>47.2</v>
      </c>
      <c r="E4617">
        <v>2.1</v>
      </c>
    </row>
    <row r="4618" spans="1:5" x14ac:dyDescent="0.2">
      <c r="A4618">
        <v>4611</v>
      </c>
      <c r="B4618">
        <v>4110</v>
      </c>
      <c r="C4618">
        <v>16</v>
      </c>
      <c r="D4618">
        <v>47.2</v>
      </c>
      <c r="E4618">
        <v>2.1</v>
      </c>
    </row>
    <row r="4619" spans="1:5" x14ac:dyDescent="0.2">
      <c r="A4619">
        <v>4612</v>
      </c>
      <c r="B4619">
        <v>4112</v>
      </c>
      <c r="C4619">
        <v>16</v>
      </c>
      <c r="D4619">
        <v>47.1</v>
      </c>
      <c r="E4619">
        <v>2</v>
      </c>
    </row>
    <row r="4620" spans="1:5" x14ac:dyDescent="0.2">
      <c r="A4620">
        <v>4613</v>
      </c>
      <c r="B4620">
        <v>4114</v>
      </c>
      <c r="C4620">
        <v>15</v>
      </c>
      <c r="D4620">
        <v>47</v>
      </c>
      <c r="E4620">
        <v>2</v>
      </c>
    </row>
    <row r="4621" spans="1:5" x14ac:dyDescent="0.2">
      <c r="A4621">
        <v>4614</v>
      </c>
      <c r="B4621">
        <v>4116</v>
      </c>
      <c r="C4621">
        <v>15</v>
      </c>
      <c r="D4621">
        <v>46.8</v>
      </c>
      <c r="E4621">
        <v>2</v>
      </c>
    </row>
    <row r="4622" spans="1:5" x14ac:dyDescent="0.2">
      <c r="A4622">
        <v>4615</v>
      </c>
      <c r="B4622">
        <v>4118</v>
      </c>
      <c r="C4622">
        <v>15</v>
      </c>
      <c r="D4622">
        <v>46.7</v>
      </c>
      <c r="E4622">
        <v>2</v>
      </c>
    </row>
    <row r="4623" spans="1:5" x14ac:dyDescent="0.2">
      <c r="A4623">
        <v>4616</v>
      </c>
      <c r="B4623">
        <v>4120</v>
      </c>
      <c r="C4623">
        <v>16</v>
      </c>
      <c r="D4623">
        <v>46.5</v>
      </c>
      <c r="E4623">
        <v>2</v>
      </c>
    </row>
    <row r="4624" spans="1:5" x14ac:dyDescent="0.2">
      <c r="A4624">
        <v>4617</v>
      </c>
      <c r="B4624">
        <v>4122</v>
      </c>
      <c r="C4624">
        <v>16</v>
      </c>
      <c r="D4624">
        <v>46.3</v>
      </c>
      <c r="E4624">
        <v>2</v>
      </c>
    </row>
    <row r="4625" spans="1:5" x14ac:dyDescent="0.2">
      <c r="A4625">
        <v>4618</v>
      </c>
      <c r="B4625">
        <v>4125</v>
      </c>
      <c r="C4625">
        <v>16</v>
      </c>
      <c r="D4625">
        <v>46.2</v>
      </c>
      <c r="E4625">
        <v>2.1</v>
      </c>
    </row>
    <row r="4626" spans="1:5" x14ac:dyDescent="0.2">
      <c r="A4626">
        <v>4619</v>
      </c>
      <c r="B4626">
        <v>4127</v>
      </c>
      <c r="C4626">
        <v>16</v>
      </c>
      <c r="D4626">
        <v>46</v>
      </c>
      <c r="E4626">
        <v>2.1</v>
      </c>
    </row>
    <row r="4627" spans="1:5" x14ac:dyDescent="0.2">
      <c r="A4627">
        <v>4620</v>
      </c>
      <c r="B4627">
        <v>4129</v>
      </c>
      <c r="C4627">
        <v>16</v>
      </c>
      <c r="D4627">
        <v>45.9</v>
      </c>
      <c r="E4627">
        <v>2.1</v>
      </c>
    </row>
    <row r="4628" spans="1:5" x14ac:dyDescent="0.2">
      <c r="A4628">
        <v>4621</v>
      </c>
      <c r="B4628">
        <v>4131</v>
      </c>
      <c r="C4628">
        <v>16</v>
      </c>
      <c r="D4628">
        <v>45.7</v>
      </c>
      <c r="E4628">
        <v>2.1</v>
      </c>
    </row>
    <row r="4629" spans="1:5" x14ac:dyDescent="0.2">
      <c r="A4629">
        <v>4622</v>
      </c>
      <c r="B4629">
        <v>4133</v>
      </c>
      <c r="C4629">
        <v>16</v>
      </c>
      <c r="D4629">
        <v>45.6</v>
      </c>
      <c r="E4629">
        <v>2.1</v>
      </c>
    </row>
    <row r="4630" spans="1:5" x14ac:dyDescent="0.2">
      <c r="A4630">
        <v>4623</v>
      </c>
      <c r="B4630">
        <v>4135</v>
      </c>
      <c r="C4630">
        <v>16</v>
      </c>
      <c r="D4630">
        <v>45.5</v>
      </c>
      <c r="E4630">
        <v>2</v>
      </c>
    </row>
    <row r="4631" spans="1:5" x14ac:dyDescent="0.2">
      <c r="A4631">
        <v>4624</v>
      </c>
      <c r="B4631">
        <v>4136</v>
      </c>
      <c r="C4631">
        <v>16</v>
      </c>
      <c r="D4631">
        <v>45.4</v>
      </c>
      <c r="E4631">
        <v>2</v>
      </c>
    </row>
    <row r="4632" spans="1:5" x14ac:dyDescent="0.2">
      <c r="A4632">
        <v>4625</v>
      </c>
      <c r="B4632">
        <v>4138</v>
      </c>
      <c r="C4632">
        <v>15</v>
      </c>
      <c r="D4632">
        <v>45.4</v>
      </c>
      <c r="E4632">
        <v>2</v>
      </c>
    </row>
    <row r="4633" spans="1:5" x14ac:dyDescent="0.2">
      <c r="A4633">
        <v>4626</v>
      </c>
      <c r="B4633">
        <v>4139</v>
      </c>
      <c r="C4633">
        <v>15</v>
      </c>
      <c r="D4633">
        <v>45.4</v>
      </c>
      <c r="E4633">
        <v>2</v>
      </c>
    </row>
    <row r="4634" spans="1:5" x14ac:dyDescent="0.2">
      <c r="A4634">
        <v>4627</v>
      </c>
      <c r="B4634">
        <v>4140</v>
      </c>
      <c r="C4634">
        <v>16</v>
      </c>
      <c r="D4634">
        <v>45.4</v>
      </c>
      <c r="E4634">
        <v>2</v>
      </c>
    </row>
    <row r="4635" spans="1:5" x14ac:dyDescent="0.2">
      <c r="A4635">
        <v>4628</v>
      </c>
      <c r="B4635">
        <v>4140</v>
      </c>
      <c r="C4635">
        <v>16</v>
      </c>
      <c r="D4635">
        <v>45.4</v>
      </c>
      <c r="E4635">
        <v>2.1</v>
      </c>
    </row>
    <row r="4636" spans="1:5" x14ac:dyDescent="0.2">
      <c r="A4636">
        <v>4629</v>
      </c>
      <c r="B4636">
        <v>4141</v>
      </c>
      <c r="C4636">
        <v>16</v>
      </c>
      <c r="D4636">
        <v>45.5</v>
      </c>
      <c r="E4636">
        <v>2.1</v>
      </c>
    </row>
    <row r="4637" spans="1:5" x14ac:dyDescent="0.2">
      <c r="A4637">
        <v>4630</v>
      </c>
      <c r="B4637">
        <v>4141</v>
      </c>
      <c r="C4637">
        <v>16</v>
      </c>
      <c r="D4637">
        <v>45.6</v>
      </c>
      <c r="E4637">
        <v>2.1</v>
      </c>
    </row>
    <row r="4638" spans="1:5" x14ac:dyDescent="0.2">
      <c r="A4638">
        <v>4631</v>
      </c>
      <c r="B4638">
        <v>4141</v>
      </c>
      <c r="C4638">
        <v>16</v>
      </c>
      <c r="D4638">
        <v>45.7</v>
      </c>
      <c r="E4638">
        <v>2.1</v>
      </c>
    </row>
    <row r="4639" spans="1:5" x14ac:dyDescent="0.2">
      <c r="A4639">
        <v>4632</v>
      </c>
      <c r="B4639">
        <v>4140</v>
      </c>
      <c r="C4639">
        <v>16</v>
      </c>
      <c r="D4639">
        <v>45.9</v>
      </c>
      <c r="E4639">
        <v>2.1</v>
      </c>
    </row>
    <row r="4640" spans="1:5" x14ac:dyDescent="0.2">
      <c r="A4640">
        <v>4633</v>
      </c>
      <c r="B4640">
        <v>4140</v>
      </c>
      <c r="C4640">
        <v>16</v>
      </c>
      <c r="D4640">
        <v>46.1</v>
      </c>
      <c r="E4640">
        <v>2.1</v>
      </c>
    </row>
    <row r="4641" spans="1:5" x14ac:dyDescent="0.2">
      <c r="A4641">
        <v>4634</v>
      </c>
      <c r="B4641">
        <v>4139</v>
      </c>
      <c r="C4641">
        <v>16</v>
      </c>
      <c r="D4641">
        <v>46.3</v>
      </c>
      <c r="E4641">
        <v>2</v>
      </c>
    </row>
    <row r="4642" spans="1:5" x14ac:dyDescent="0.2">
      <c r="A4642">
        <v>4635</v>
      </c>
      <c r="B4642">
        <v>4138</v>
      </c>
      <c r="C4642">
        <v>15</v>
      </c>
      <c r="D4642">
        <v>46.6</v>
      </c>
      <c r="E4642">
        <v>2</v>
      </c>
    </row>
    <row r="4643" spans="1:5" x14ac:dyDescent="0.2">
      <c r="A4643">
        <v>4636</v>
      </c>
      <c r="B4643">
        <v>4137</v>
      </c>
      <c r="C4643">
        <v>15</v>
      </c>
      <c r="D4643">
        <v>46.8</v>
      </c>
      <c r="E4643">
        <v>2</v>
      </c>
    </row>
    <row r="4644" spans="1:5" x14ac:dyDescent="0.2">
      <c r="A4644">
        <v>4637</v>
      </c>
      <c r="B4644">
        <v>4137</v>
      </c>
      <c r="C4644">
        <v>15</v>
      </c>
      <c r="D4644">
        <v>47</v>
      </c>
      <c r="E4644">
        <v>2</v>
      </c>
    </row>
    <row r="4645" spans="1:5" x14ac:dyDescent="0.2">
      <c r="A4645">
        <v>4638</v>
      </c>
      <c r="B4645">
        <v>4136</v>
      </c>
      <c r="C4645">
        <v>15</v>
      </c>
      <c r="D4645">
        <v>47.2</v>
      </c>
      <c r="E4645">
        <v>2</v>
      </c>
    </row>
    <row r="4646" spans="1:5" x14ac:dyDescent="0.2">
      <c r="A4646">
        <v>4639</v>
      </c>
      <c r="B4646">
        <v>4136</v>
      </c>
      <c r="C4646">
        <v>16</v>
      </c>
      <c r="D4646">
        <v>47.4</v>
      </c>
      <c r="E4646">
        <v>2</v>
      </c>
    </row>
    <row r="4647" spans="1:5" x14ac:dyDescent="0.2">
      <c r="A4647">
        <v>4640</v>
      </c>
      <c r="B4647">
        <v>4135</v>
      </c>
      <c r="C4647">
        <v>16</v>
      </c>
      <c r="D4647">
        <v>47.6</v>
      </c>
      <c r="E4647">
        <v>2.1</v>
      </c>
    </row>
    <row r="4648" spans="1:5" x14ac:dyDescent="0.2">
      <c r="A4648">
        <v>4641</v>
      </c>
      <c r="B4648">
        <v>4136</v>
      </c>
      <c r="C4648">
        <v>16</v>
      </c>
      <c r="D4648">
        <v>47.7</v>
      </c>
      <c r="E4648">
        <v>2.1</v>
      </c>
    </row>
    <row r="4649" spans="1:5" x14ac:dyDescent="0.2">
      <c r="A4649">
        <v>4642</v>
      </c>
      <c r="B4649">
        <v>4136</v>
      </c>
      <c r="C4649">
        <v>16</v>
      </c>
      <c r="D4649">
        <v>47.7</v>
      </c>
      <c r="E4649">
        <v>2.1</v>
      </c>
    </row>
    <row r="4650" spans="1:5" x14ac:dyDescent="0.2">
      <c r="A4650">
        <v>4643</v>
      </c>
      <c r="B4650">
        <v>4137</v>
      </c>
      <c r="C4650">
        <v>17</v>
      </c>
      <c r="D4650">
        <v>47.7</v>
      </c>
      <c r="E4650">
        <v>2.2000000000000002</v>
      </c>
    </row>
    <row r="4651" spans="1:5" x14ac:dyDescent="0.2">
      <c r="A4651">
        <v>4644</v>
      </c>
      <c r="B4651">
        <v>4139</v>
      </c>
      <c r="C4651">
        <v>17</v>
      </c>
      <c r="D4651">
        <v>47.6</v>
      </c>
      <c r="E4651">
        <v>2.2000000000000002</v>
      </c>
    </row>
    <row r="4652" spans="1:5" x14ac:dyDescent="0.2">
      <c r="A4652">
        <v>4645</v>
      </c>
      <c r="B4652">
        <v>4141</v>
      </c>
      <c r="C4652">
        <v>17</v>
      </c>
      <c r="D4652">
        <v>47.5</v>
      </c>
      <c r="E4652">
        <v>2.2000000000000002</v>
      </c>
    </row>
    <row r="4653" spans="1:5" x14ac:dyDescent="0.2">
      <c r="A4653">
        <v>4646</v>
      </c>
      <c r="B4653">
        <v>4143</v>
      </c>
      <c r="C4653">
        <v>16</v>
      </c>
      <c r="D4653">
        <v>47.3</v>
      </c>
      <c r="E4653">
        <v>2.1</v>
      </c>
    </row>
    <row r="4654" spans="1:5" x14ac:dyDescent="0.2">
      <c r="A4654">
        <v>4647</v>
      </c>
      <c r="B4654">
        <v>4146</v>
      </c>
      <c r="C4654">
        <v>16</v>
      </c>
      <c r="D4654">
        <v>47.1</v>
      </c>
      <c r="E4654">
        <v>2.1</v>
      </c>
    </row>
    <row r="4655" spans="1:5" x14ac:dyDescent="0.2">
      <c r="A4655">
        <v>4648</v>
      </c>
      <c r="B4655">
        <v>4149</v>
      </c>
      <c r="C4655">
        <v>16</v>
      </c>
      <c r="D4655">
        <v>46.8</v>
      </c>
      <c r="E4655">
        <v>2</v>
      </c>
    </row>
    <row r="4656" spans="1:5" x14ac:dyDescent="0.2">
      <c r="A4656">
        <v>4649</v>
      </c>
      <c r="B4656">
        <v>4152</v>
      </c>
      <c r="C4656">
        <v>15</v>
      </c>
      <c r="D4656">
        <v>46.5</v>
      </c>
      <c r="E4656">
        <v>2</v>
      </c>
    </row>
    <row r="4657" spans="1:5" x14ac:dyDescent="0.2">
      <c r="A4657">
        <v>4650</v>
      </c>
      <c r="B4657">
        <v>4155</v>
      </c>
      <c r="C4657">
        <v>15</v>
      </c>
      <c r="D4657">
        <v>46.3</v>
      </c>
      <c r="E4657">
        <v>2</v>
      </c>
    </row>
    <row r="4658" spans="1:5" x14ac:dyDescent="0.2">
      <c r="A4658">
        <v>4651</v>
      </c>
      <c r="B4658">
        <v>4158</v>
      </c>
      <c r="C4658">
        <v>15</v>
      </c>
      <c r="D4658">
        <v>46</v>
      </c>
      <c r="E4658">
        <v>2</v>
      </c>
    </row>
    <row r="4659" spans="1:5" x14ac:dyDescent="0.2">
      <c r="A4659">
        <v>4652</v>
      </c>
      <c r="B4659">
        <v>4161</v>
      </c>
      <c r="C4659">
        <v>15</v>
      </c>
      <c r="D4659">
        <v>45.7</v>
      </c>
      <c r="E4659">
        <v>2</v>
      </c>
    </row>
    <row r="4660" spans="1:5" x14ac:dyDescent="0.2">
      <c r="A4660">
        <v>4653</v>
      </c>
      <c r="B4660">
        <v>4164</v>
      </c>
      <c r="C4660">
        <v>15</v>
      </c>
      <c r="D4660">
        <v>45.5</v>
      </c>
      <c r="E4660">
        <v>2</v>
      </c>
    </row>
    <row r="4661" spans="1:5" x14ac:dyDescent="0.2">
      <c r="A4661">
        <v>4654</v>
      </c>
      <c r="B4661">
        <v>4167</v>
      </c>
      <c r="C4661">
        <v>15</v>
      </c>
      <c r="D4661">
        <v>45.2</v>
      </c>
      <c r="E4661">
        <v>2</v>
      </c>
    </row>
    <row r="4662" spans="1:5" x14ac:dyDescent="0.2">
      <c r="A4662">
        <v>4655</v>
      </c>
      <c r="B4662">
        <v>4169</v>
      </c>
      <c r="C4662">
        <v>15</v>
      </c>
      <c r="D4662">
        <v>45.1</v>
      </c>
      <c r="E4662">
        <v>2</v>
      </c>
    </row>
    <row r="4663" spans="1:5" x14ac:dyDescent="0.2">
      <c r="A4663">
        <v>4656</v>
      </c>
      <c r="B4663">
        <v>4171</v>
      </c>
      <c r="C4663">
        <v>16</v>
      </c>
      <c r="D4663">
        <v>44.9</v>
      </c>
      <c r="E4663">
        <v>2</v>
      </c>
    </row>
    <row r="4664" spans="1:5" x14ac:dyDescent="0.2">
      <c r="A4664">
        <v>4657</v>
      </c>
      <c r="B4664">
        <v>4173</v>
      </c>
      <c r="C4664">
        <v>16</v>
      </c>
      <c r="D4664">
        <v>44.8</v>
      </c>
      <c r="E4664">
        <v>2</v>
      </c>
    </row>
    <row r="4665" spans="1:5" x14ac:dyDescent="0.2">
      <c r="A4665">
        <v>4658</v>
      </c>
      <c r="B4665">
        <v>4174</v>
      </c>
      <c r="C4665">
        <v>15</v>
      </c>
      <c r="D4665">
        <v>44.8</v>
      </c>
      <c r="E4665">
        <v>2</v>
      </c>
    </row>
    <row r="4666" spans="1:5" x14ac:dyDescent="0.2">
      <c r="A4666">
        <v>4659</v>
      </c>
      <c r="B4666">
        <v>4174</v>
      </c>
      <c r="C4666">
        <v>15</v>
      </c>
      <c r="D4666">
        <v>44.9</v>
      </c>
      <c r="E4666">
        <v>2</v>
      </c>
    </row>
    <row r="4667" spans="1:5" x14ac:dyDescent="0.2">
      <c r="A4667">
        <v>4660</v>
      </c>
      <c r="B4667">
        <v>4175</v>
      </c>
      <c r="C4667">
        <v>15</v>
      </c>
      <c r="D4667">
        <v>45</v>
      </c>
      <c r="E4667">
        <v>2</v>
      </c>
    </row>
    <row r="4668" spans="1:5" x14ac:dyDescent="0.2">
      <c r="A4668">
        <v>4661</v>
      </c>
      <c r="B4668">
        <v>4174</v>
      </c>
      <c r="C4668">
        <v>15</v>
      </c>
      <c r="D4668">
        <v>45.2</v>
      </c>
      <c r="E4668">
        <v>1.9</v>
      </c>
    </row>
    <row r="4669" spans="1:5" x14ac:dyDescent="0.2">
      <c r="A4669">
        <v>4662</v>
      </c>
      <c r="B4669">
        <v>4174</v>
      </c>
      <c r="C4669">
        <v>15</v>
      </c>
      <c r="D4669">
        <v>45.4</v>
      </c>
      <c r="E4669">
        <v>1.9</v>
      </c>
    </row>
    <row r="4670" spans="1:5" x14ac:dyDescent="0.2">
      <c r="A4670">
        <v>4663</v>
      </c>
      <c r="B4670">
        <v>4173</v>
      </c>
      <c r="C4670">
        <v>15</v>
      </c>
      <c r="D4670">
        <v>45.6</v>
      </c>
      <c r="E4670">
        <v>1.9</v>
      </c>
    </row>
    <row r="4671" spans="1:5" x14ac:dyDescent="0.2">
      <c r="A4671">
        <v>4664</v>
      </c>
      <c r="B4671">
        <v>4171</v>
      </c>
      <c r="C4671">
        <v>15</v>
      </c>
      <c r="D4671">
        <v>45.9</v>
      </c>
      <c r="E4671">
        <v>1.9</v>
      </c>
    </row>
    <row r="4672" spans="1:5" x14ac:dyDescent="0.2">
      <c r="A4672">
        <v>4665</v>
      </c>
      <c r="B4672">
        <v>4170</v>
      </c>
      <c r="C4672">
        <v>15</v>
      </c>
      <c r="D4672">
        <v>46.3</v>
      </c>
      <c r="E4672">
        <v>1.9</v>
      </c>
    </row>
    <row r="4673" spans="1:5" x14ac:dyDescent="0.2">
      <c r="A4673">
        <v>4666</v>
      </c>
      <c r="B4673">
        <v>4168</v>
      </c>
      <c r="C4673">
        <v>15</v>
      </c>
      <c r="D4673">
        <v>46.6</v>
      </c>
      <c r="E4673">
        <v>2</v>
      </c>
    </row>
    <row r="4674" spans="1:5" x14ac:dyDescent="0.2">
      <c r="A4674">
        <v>4667</v>
      </c>
      <c r="B4674">
        <v>4166</v>
      </c>
      <c r="C4674">
        <v>16</v>
      </c>
      <c r="D4674">
        <v>47</v>
      </c>
      <c r="E4674">
        <v>2</v>
      </c>
    </row>
    <row r="4675" spans="1:5" x14ac:dyDescent="0.2">
      <c r="A4675">
        <v>4668</v>
      </c>
      <c r="B4675">
        <v>4164</v>
      </c>
      <c r="C4675">
        <v>16</v>
      </c>
      <c r="D4675">
        <v>47.4</v>
      </c>
      <c r="E4675">
        <v>2.1</v>
      </c>
    </row>
    <row r="4676" spans="1:5" x14ac:dyDescent="0.2">
      <c r="A4676">
        <v>4669</v>
      </c>
      <c r="B4676">
        <v>4161</v>
      </c>
      <c r="C4676">
        <v>16</v>
      </c>
      <c r="D4676">
        <v>47.9</v>
      </c>
      <c r="E4676">
        <v>2.1</v>
      </c>
    </row>
    <row r="4677" spans="1:5" x14ac:dyDescent="0.2">
      <c r="A4677">
        <v>4670</v>
      </c>
      <c r="B4677">
        <v>4159</v>
      </c>
      <c r="C4677">
        <v>17</v>
      </c>
      <c r="D4677">
        <v>48.3</v>
      </c>
      <c r="E4677">
        <v>2.2000000000000002</v>
      </c>
    </row>
    <row r="4678" spans="1:5" x14ac:dyDescent="0.2">
      <c r="A4678">
        <v>4671</v>
      </c>
      <c r="B4678">
        <v>4156</v>
      </c>
      <c r="C4678">
        <v>17</v>
      </c>
      <c r="D4678">
        <v>48.8</v>
      </c>
      <c r="E4678">
        <v>2.2000000000000002</v>
      </c>
    </row>
    <row r="4679" spans="1:5" x14ac:dyDescent="0.2">
      <c r="A4679">
        <v>4672</v>
      </c>
      <c r="B4679">
        <v>4154</v>
      </c>
      <c r="C4679">
        <v>17</v>
      </c>
      <c r="D4679">
        <v>49.2</v>
      </c>
      <c r="E4679">
        <v>2.2000000000000002</v>
      </c>
    </row>
    <row r="4680" spans="1:5" x14ac:dyDescent="0.2">
      <c r="A4680">
        <v>4673</v>
      </c>
      <c r="B4680">
        <v>4151</v>
      </c>
      <c r="C4680">
        <v>17</v>
      </c>
      <c r="D4680">
        <v>49.7</v>
      </c>
      <c r="E4680">
        <v>2.2000000000000002</v>
      </c>
    </row>
    <row r="4681" spans="1:5" x14ac:dyDescent="0.2">
      <c r="A4681">
        <v>4674</v>
      </c>
      <c r="B4681">
        <v>4149</v>
      </c>
      <c r="C4681">
        <v>16</v>
      </c>
      <c r="D4681">
        <v>50.2</v>
      </c>
      <c r="E4681">
        <v>2.1</v>
      </c>
    </row>
    <row r="4682" spans="1:5" x14ac:dyDescent="0.2">
      <c r="A4682">
        <v>4675</v>
      </c>
      <c r="B4682">
        <v>4146</v>
      </c>
      <c r="C4682">
        <v>16</v>
      </c>
      <c r="D4682">
        <v>50.6</v>
      </c>
      <c r="E4682">
        <v>2.1</v>
      </c>
    </row>
    <row r="4683" spans="1:5" x14ac:dyDescent="0.2">
      <c r="A4683">
        <v>4676</v>
      </c>
      <c r="B4683">
        <v>4144</v>
      </c>
      <c r="C4683">
        <v>16</v>
      </c>
      <c r="D4683">
        <v>51.1</v>
      </c>
      <c r="E4683">
        <v>2</v>
      </c>
    </row>
    <row r="4684" spans="1:5" x14ac:dyDescent="0.2">
      <c r="A4684">
        <v>4677</v>
      </c>
      <c r="B4684">
        <v>4141</v>
      </c>
      <c r="C4684">
        <v>15</v>
      </c>
      <c r="D4684">
        <v>51.5</v>
      </c>
      <c r="E4684">
        <v>2</v>
      </c>
    </row>
    <row r="4685" spans="1:5" x14ac:dyDescent="0.2">
      <c r="A4685">
        <v>4678</v>
      </c>
      <c r="B4685">
        <v>4139</v>
      </c>
      <c r="C4685">
        <v>15</v>
      </c>
      <c r="D4685">
        <v>51.9</v>
      </c>
      <c r="E4685">
        <v>1.9</v>
      </c>
    </row>
    <row r="4686" spans="1:5" x14ac:dyDescent="0.2">
      <c r="A4686">
        <v>4679</v>
      </c>
      <c r="B4686">
        <v>4137</v>
      </c>
      <c r="C4686">
        <v>15</v>
      </c>
      <c r="D4686">
        <v>52.3</v>
      </c>
      <c r="E4686">
        <v>1.9</v>
      </c>
    </row>
    <row r="4687" spans="1:5" x14ac:dyDescent="0.2">
      <c r="A4687">
        <v>4680</v>
      </c>
      <c r="B4687">
        <v>4135</v>
      </c>
      <c r="C4687">
        <v>14</v>
      </c>
      <c r="D4687">
        <v>52.7</v>
      </c>
      <c r="E4687">
        <v>1.9</v>
      </c>
    </row>
    <row r="4688" spans="1:5" x14ac:dyDescent="0.2">
      <c r="A4688">
        <v>4681</v>
      </c>
      <c r="B4688">
        <v>4134</v>
      </c>
      <c r="C4688">
        <v>14</v>
      </c>
      <c r="D4688">
        <v>53</v>
      </c>
      <c r="E4688">
        <v>1.9</v>
      </c>
    </row>
    <row r="4689" spans="1:5" x14ac:dyDescent="0.2">
      <c r="A4689">
        <v>4682</v>
      </c>
      <c r="B4689">
        <v>4132</v>
      </c>
      <c r="C4689">
        <v>15</v>
      </c>
      <c r="D4689">
        <v>53.3</v>
      </c>
      <c r="E4689">
        <v>1.9</v>
      </c>
    </row>
    <row r="4690" spans="1:5" x14ac:dyDescent="0.2">
      <c r="A4690">
        <v>4683</v>
      </c>
      <c r="B4690">
        <v>4131</v>
      </c>
      <c r="C4690">
        <v>15</v>
      </c>
      <c r="D4690">
        <v>53.6</v>
      </c>
      <c r="E4690">
        <v>2</v>
      </c>
    </row>
    <row r="4691" spans="1:5" x14ac:dyDescent="0.2">
      <c r="A4691">
        <v>4684</v>
      </c>
      <c r="B4691">
        <v>4131</v>
      </c>
      <c r="C4691">
        <v>15</v>
      </c>
      <c r="D4691">
        <v>53.8</v>
      </c>
      <c r="E4691">
        <v>2</v>
      </c>
    </row>
    <row r="4692" spans="1:5" x14ac:dyDescent="0.2">
      <c r="A4692">
        <v>4685</v>
      </c>
      <c r="B4692">
        <v>4130</v>
      </c>
      <c r="C4692">
        <v>16</v>
      </c>
      <c r="D4692">
        <v>54</v>
      </c>
      <c r="E4692">
        <v>2.1</v>
      </c>
    </row>
    <row r="4693" spans="1:5" x14ac:dyDescent="0.2">
      <c r="A4693">
        <v>4686</v>
      </c>
      <c r="B4693">
        <v>4130</v>
      </c>
      <c r="C4693">
        <v>16</v>
      </c>
      <c r="D4693">
        <v>54.1</v>
      </c>
      <c r="E4693">
        <v>2.1</v>
      </c>
    </row>
    <row r="4694" spans="1:5" x14ac:dyDescent="0.2">
      <c r="A4694">
        <v>4687</v>
      </c>
      <c r="B4694">
        <v>4130</v>
      </c>
      <c r="C4694">
        <v>16</v>
      </c>
      <c r="D4694">
        <v>54.2</v>
      </c>
      <c r="E4694">
        <v>2.1</v>
      </c>
    </row>
    <row r="4695" spans="1:5" x14ac:dyDescent="0.2">
      <c r="A4695">
        <v>4688</v>
      </c>
      <c r="B4695">
        <v>4131</v>
      </c>
      <c r="C4695">
        <v>16</v>
      </c>
      <c r="D4695">
        <v>54.2</v>
      </c>
      <c r="E4695">
        <v>2.1</v>
      </c>
    </row>
    <row r="4696" spans="1:5" x14ac:dyDescent="0.2">
      <c r="A4696">
        <v>4689</v>
      </c>
      <c r="B4696">
        <v>4132</v>
      </c>
      <c r="C4696">
        <v>16</v>
      </c>
      <c r="D4696">
        <v>54.2</v>
      </c>
      <c r="E4696">
        <v>2.1</v>
      </c>
    </row>
    <row r="4697" spans="1:5" x14ac:dyDescent="0.2">
      <c r="A4697">
        <v>4690</v>
      </c>
      <c r="B4697">
        <v>4134</v>
      </c>
      <c r="C4697">
        <v>16</v>
      </c>
      <c r="D4697">
        <v>54.2</v>
      </c>
      <c r="E4697">
        <v>2.1</v>
      </c>
    </row>
    <row r="4698" spans="1:5" x14ac:dyDescent="0.2">
      <c r="A4698">
        <v>4691</v>
      </c>
      <c r="B4698">
        <v>4135</v>
      </c>
      <c r="C4698">
        <v>16</v>
      </c>
      <c r="D4698">
        <v>54.1</v>
      </c>
      <c r="E4698">
        <v>2.1</v>
      </c>
    </row>
    <row r="4699" spans="1:5" x14ac:dyDescent="0.2">
      <c r="A4699">
        <v>4692</v>
      </c>
      <c r="B4699">
        <v>4137</v>
      </c>
      <c r="C4699">
        <v>15</v>
      </c>
      <c r="D4699">
        <v>53.9</v>
      </c>
      <c r="E4699">
        <v>2</v>
      </c>
    </row>
    <row r="4700" spans="1:5" x14ac:dyDescent="0.2">
      <c r="A4700">
        <v>4693</v>
      </c>
      <c r="B4700">
        <v>4139</v>
      </c>
      <c r="C4700">
        <v>15</v>
      </c>
      <c r="D4700">
        <v>53.8</v>
      </c>
      <c r="E4700">
        <v>2</v>
      </c>
    </row>
    <row r="4701" spans="1:5" x14ac:dyDescent="0.2">
      <c r="A4701">
        <v>4694</v>
      </c>
      <c r="B4701">
        <v>4141</v>
      </c>
      <c r="C4701">
        <v>15</v>
      </c>
      <c r="D4701">
        <v>53.6</v>
      </c>
      <c r="E4701">
        <v>2</v>
      </c>
    </row>
    <row r="4702" spans="1:5" x14ac:dyDescent="0.2">
      <c r="A4702">
        <v>4695</v>
      </c>
      <c r="B4702">
        <v>4144</v>
      </c>
      <c r="C4702">
        <v>15</v>
      </c>
      <c r="D4702">
        <v>53.5</v>
      </c>
      <c r="E4702">
        <v>2</v>
      </c>
    </row>
    <row r="4703" spans="1:5" x14ac:dyDescent="0.2">
      <c r="A4703">
        <v>4696</v>
      </c>
      <c r="B4703">
        <v>4146</v>
      </c>
      <c r="C4703">
        <v>15</v>
      </c>
      <c r="D4703">
        <v>53.3</v>
      </c>
      <c r="E4703">
        <v>1.9</v>
      </c>
    </row>
    <row r="4704" spans="1:5" x14ac:dyDescent="0.2">
      <c r="A4704">
        <v>4697</v>
      </c>
      <c r="B4704">
        <v>4149</v>
      </c>
      <c r="C4704">
        <v>15</v>
      </c>
      <c r="D4704">
        <v>53.1</v>
      </c>
      <c r="E4704">
        <v>1.9</v>
      </c>
    </row>
    <row r="4705" spans="1:5" x14ac:dyDescent="0.2">
      <c r="A4705">
        <v>4698</v>
      </c>
      <c r="B4705">
        <v>4151</v>
      </c>
      <c r="C4705">
        <v>15</v>
      </c>
      <c r="D4705">
        <v>52.9</v>
      </c>
      <c r="E4705">
        <v>1.9</v>
      </c>
    </row>
    <row r="4706" spans="1:5" x14ac:dyDescent="0.2">
      <c r="A4706">
        <v>4699</v>
      </c>
      <c r="B4706">
        <v>4153</v>
      </c>
      <c r="C4706">
        <v>15</v>
      </c>
      <c r="D4706">
        <v>52.7</v>
      </c>
      <c r="E4706">
        <v>1.9</v>
      </c>
    </row>
    <row r="4707" spans="1:5" x14ac:dyDescent="0.2">
      <c r="A4707">
        <v>4700</v>
      </c>
      <c r="B4707">
        <v>4155</v>
      </c>
      <c r="C4707">
        <v>15</v>
      </c>
      <c r="D4707">
        <v>52.6</v>
      </c>
      <c r="E4707">
        <v>2</v>
      </c>
    </row>
    <row r="4708" spans="1:5" x14ac:dyDescent="0.2">
      <c r="A4708">
        <v>4701</v>
      </c>
      <c r="B4708">
        <v>4158</v>
      </c>
      <c r="C4708">
        <v>15</v>
      </c>
      <c r="D4708">
        <v>52.4</v>
      </c>
      <c r="E4708">
        <v>2</v>
      </c>
    </row>
    <row r="4709" spans="1:5" x14ac:dyDescent="0.2">
      <c r="A4709">
        <v>4702</v>
      </c>
      <c r="B4709">
        <v>4159</v>
      </c>
      <c r="C4709">
        <v>15</v>
      </c>
      <c r="D4709">
        <v>52.3</v>
      </c>
      <c r="E4709">
        <v>2</v>
      </c>
    </row>
    <row r="4710" spans="1:5" x14ac:dyDescent="0.2">
      <c r="A4710">
        <v>4703</v>
      </c>
      <c r="B4710">
        <v>4161</v>
      </c>
      <c r="C4710">
        <v>15</v>
      </c>
      <c r="D4710">
        <v>52.2</v>
      </c>
      <c r="E4710">
        <v>2</v>
      </c>
    </row>
    <row r="4711" spans="1:5" x14ac:dyDescent="0.2">
      <c r="A4711">
        <v>4704</v>
      </c>
      <c r="B4711">
        <v>4162</v>
      </c>
      <c r="C4711">
        <v>15</v>
      </c>
      <c r="D4711">
        <v>52.2</v>
      </c>
      <c r="E4711">
        <v>2</v>
      </c>
    </row>
    <row r="4712" spans="1:5" x14ac:dyDescent="0.2">
      <c r="A4712">
        <v>4705</v>
      </c>
      <c r="B4712">
        <v>4164</v>
      </c>
      <c r="C4712">
        <v>15</v>
      </c>
      <c r="D4712">
        <v>52.1</v>
      </c>
      <c r="E4712">
        <v>2</v>
      </c>
    </row>
    <row r="4713" spans="1:5" x14ac:dyDescent="0.2">
      <c r="A4713">
        <v>4706</v>
      </c>
      <c r="B4713">
        <v>4165</v>
      </c>
      <c r="C4713">
        <v>15</v>
      </c>
      <c r="D4713">
        <v>52.1</v>
      </c>
      <c r="E4713">
        <v>2</v>
      </c>
    </row>
    <row r="4714" spans="1:5" x14ac:dyDescent="0.2">
      <c r="A4714">
        <v>4707</v>
      </c>
      <c r="B4714">
        <v>4166</v>
      </c>
      <c r="C4714">
        <v>15</v>
      </c>
      <c r="D4714">
        <v>52.1</v>
      </c>
      <c r="E4714">
        <v>2</v>
      </c>
    </row>
    <row r="4715" spans="1:5" x14ac:dyDescent="0.2">
      <c r="A4715">
        <v>4708</v>
      </c>
      <c r="B4715">
        <v>4166</v>
      </c>
      <c r="C4715">
        <v>15</v>
      </c>
      <c r="D4715">
        <v>52.2</v>
      </c>
      <c r="E4715">
        <v>2</v>
      </c>
    </row>
    <row r="4716" spans="1:5" x14ac:dyDescent="0.2">
      <c r="A4716">
        <v>4709</v>
      </c>
      <c r="B4716">
        <v>4167</v>
      </c>
      <c r="C4716">
        <v>15</v>
      </c>
      <c r="D4716">
        <v>52.2</v>
      </c>
      <c r="E4716">
        <v>2</v>
      </c>
    </row>
    <row r="4717" spans="1:5" x14ac:dyDescent="0.2">
      <c r="A4717">
        <v>4710</v>
      </c>
      <c r="B4717">
        <v>4167</v>
      </c>
      <c r="C4717">
        <v>15</v>
      </c>
      <c r="D4717">
        <v>52.3</v>
      </c>
      <c r="E4717">
        <v>1.9</v>
      </c>
    </row>
    <row r="4718" spans="1:5" x14ac:dyDescent="0.2">
      <c r="A4718">
        <v>4711</v>
      </c>
      <c r="B4718">
        <v>4168</v>
      </c>
      <c r="C4718">
        <v>15</v>
      </c>
      <c r="D4718">
        <v>52.3</v>
      </c>
      <c r="E4718">
        <v>1.9</v>
      </c>
    </row>
    <row r="4719" spans="1:5" x14ac:dyDescent="0.2">
      <c r="A4719">
        <v>4712</v>
      </c>
      <c r="B4719">
        <v>4168</v>
      </c>
      <c r="C4719">
        <v>15</v>
      </c>
      <c r="D4719">
        <v>52.4</v>
      </c>
      <c r="E4719">
        <v>1.9</v>
      </c>
    </row>
    <row r="4720" spans="1:5" x14ac:dyDescent="0.2">
      <c r="A4720">
        <v>4713</v>
      </c>
      <c r="B4720">
        <v>4168</v>
      </c>
      <c r="C4720">
        <v>15</v>
      </c>
      <c r="D4720">
        <v>52.5</v>
      </c>
      <c r="E4720">
        <v>1.9</v>
      </c>
    </row>
    <row r="4721" spans="1:5" x14ac:dyDescent="0.2">
      <c r="A4721">
        <v>4714</v>
      </c>
      <c r="B4721">
        <v>4169</v>
      </c>
      <c r="C4721">
        <v>15</v>
      </c>
      <c r="D4721">
        <v>52.6</v>
      </c>
      <c r="E4721">
        <v>1.9</v>
      </c>
    </row>
    <row r="4722" spans="1:5" x14ac:dyDescent="0.2">
      <c r="A4722">
        <v>4715</v>
      </c>
      <c r="B4722">
        <v>4169</v>
      </c>
      <c r="C4722">
        <v>15</v>
      </c>
      <c r="D4722">
        <v>52.7</v>
      </c>
      <c r="E4722">
        <v>2</v>
      </c>
    </row>
    <row r="4723" spans="1:5" x14ac:dyDescent="0.2">
      <c r="A4723">
        <v>4716</v>
      </c>
      <c r="B4723">
        <v>4169</v>
      </c>
      <c r="C4723">
        <v>15</v>
      </c>
      <c r="D4723">
        <v>52.8</v>
      </c>
      <c r="E4723">
        <v>2</v>
      </c>
    </row>
    <row r="4724" spans="1:5" x14ac:dyDescent="0.2">
      <c r="A4724">
        <v>4717</v>
      </c>
      <c r="B4724">
        <v>4170</v>
      </c>
      <c r="C4724">
        <v>15</v>
      </c>
      <c r="D4724">
        <v>52.9</v>
      </c>
      <c r="E4724">
        <v>2</v>
      </c>
    </row>
    <row r="4725" spans="1:5" x14ac:dyDescent="0.2">
      <c r="A4725">
        <v>4718</v>
      </c>
      <c r="B4725">
        <v>4170</v>
      </c>
      <c r="C4725">
        <v>15</v>
      </c>
      <c r="D4725">
        <v>53</v>
      </c>
      <c r="E4725">
        <v>2</v>
      </c>
    </row>
    <row r="4726" spans="1:5" x14ac:dyDescent="0.2">
      <c r="A4726">
        <v>4719</v>
      </c>
      <c r="B4726">
        <v>4170</v>
      </c>
      <c r="C4726">
        <v>16</v>
      </c>
      <c r="D4726">
        <v>53</v>
      </c>
      <c r="E4726">
        <v>2.1</v>
      </c>
    </row>
    <row r="4727" spans="1:5" x14ac:dyDescent="0.2">
      <c r="A4727">
        <v>4720</v>
      </c>
      <c r="B4727">
        <v>4171</v>
      </c>
      <c r="C4727">
        <v>16</v>
      </c>
      <c r="D4727">
        <v>53.1</v>
      </c>
      <c r="E4727">
        <v>2.1</v>
      </c>
    </row>
    <row r="4728" spans="1:5" x14ac:dyDescent="0.2">
      <c r="A4728">
        <v>4721</v>
      </c>
      <c r="B4728">
        <v>4171</v>
      </c>
      <c r="C4728">
        <v>16</v>
      </c>
      <c r="D4728">
        <v>53.2</v>
      </c>
      <c r="E4728">
        <v>2.1</v>
      </c>
    </row>
    <row r="4729" spans="1:5" x14ac:dyDescent="0.2">
      <c r="A4729">
        <v>4722</v>
      </c>
      <c r="B4729">
        <v>4172</v>
      </c>
      <c r="C4729">
        <v>16</v>
      </c>
      <c r="D4729">
        <v>53.2</v>
      </c>
      <c r="E4729">
        <v>2.1</v>
      </c>
    </row>
    <row r="4730" spans="1:5" x14ac:dyDescent="0.2">
      <c r="A4730">
        <v>4723</v>
      </c>
      <c r="B4730">
        <v>4173</v>
      </c>
      <c r="C4730">
        <v>16</v>
      </c>
      <c r="D4730">
        <v>53.2</v>
      </c>
      <c r="E4730">
        <v>2.1</v>
      </c>
    </row>
    <row r="4731" spans="1:5" x14ac:dyDescent="0.2">
      <c r="A4731">
        <v>4724</v>
      </c>
      <c r="B4731">
        <v>4174</v>
      </c>
      <c r="C4731">
        <v>16</v>
      </c>
      <c r="D4731">
        <v>53.2</v>
      </c>
      <c r="E4731">
        <v>2.2000000000000002</v>
      </c>
    </row>
    <row r="4732" spans="1:5" x14ac:dyDescent="0.2">
      <c r="A4732">
        <v>4725</v>
      </c>
      <c r="B4732">
        <v>4175</v>
      </c>
      <c r="C4732">
        <v>16</v>
      </c>
      <c r="D4732">
        <v>53.2</v>
      </c>
      <c r="E4732">
        <v>2.1</v>
      </c>
    </row>
    <row r="4733" spans="1:5" x14ac:dyDescent="0.2">
      <c r="A4733">
        <v>4726</v>
      </c>
      <c r="B4733">
        <v>4176</v>
      </c>
      <c r="C4733">
        <v>16</v>
      </c>
      <c r="D4733">
        <v>53.1</v>
      </c>
      <c r="E4733">
        <v>2.1</v>
      </c>
    </row>
    <row r="4734" spans="1:5" x14ac:dyDescent="0.2">
      <c r="A4734">
        <v>4727</v>
      </c>
      <c r="B4734">
        <v>4178</v>
      </c>
      <c r="C4734">
        <v>16</v>
      </c>
      <c r="D4734">
        <v>53.1</v>
      </c>
      <c r="E4734">
        <v>2.1</v>
      </c>
    </row>
    <row r="4735" spans="1:5" x14ac:dyDescent="0.2">
      <c r="A4735">
        <v>4728</v>
      </c>
      <c r="B4735">
        <v>4180</v>
      </c>
      <c r="C4735">
        <v>16</v>
      </c>
      <c r="D4735">
        <v>53</v>
      </c>
      <c r="E4735">
        <v>2.1</v>
      </c>
    </row>
    <row r="4736" spans="1:5" x14ac:dyDescent="0.2">
      <c r="A4736">
        <v>4729</v>
      </c>
      <c r="B4736">
        <v>4181</v>
      </c>
      <c r="C4736">
        <v>15</v>
      </c>
      <c r="D4736">
        <v>52.9</v>
      </c>
      <c r="E4736">
        <v>2</v>
      </c>
    </row>
    <row r="4737" spans="1:5" x14ac:dyDescent="0.2">
      <c r="A4737">
        <v>4730</v>
      </c>
      <c r="B4737">
        <v>4183</v>
      </c>
      <c r="C4737">
        <v>15</v>
      </c>
      <c r="D4737">
        <v>52.7</v>
      </c>
      <c r="E4737">
        <v>2</v>
      </c>
    </row>
    <row r="4738" spans="1:5" x14ac:dyDescent="0.2">
      <c r="A4738">
        <v>4731</v>
      </c>
      <c r="B4738">
        <v>4185</v>
      </c>
      <c r="C4738">
        <v>15</v>
      </c>
      <c r="D4738">
        <v>52.6</v>
      </c>
      <c r="E4738">
        <v>1.9</v>
      </c>
    </row>
    <row r="4739" spans="1:5" x14ac:dyDescent="0.2">
      <c r="A4739">
        <v>4732</v>
      </c>
      <c r="B4739">
        <v>4187</v>
      </c>
      <c r="C4739">
        <v>14</v>
      </c>
      <c r="D4739">
        <v>52.5</v>
      </c>
      <c r="E4739">
        <v>1.9</v>
      </c>
    </row>
    <row r="4740" spans="1:5" x14ac:dyDescent="0.2">
      <c r="A4740">
        <v>4733</v>
      </c>
      <c r="B4740">
        <v>4189</v>
      </c>
      <c r="C4740">
        <v>14</v>
      </c>
      <c r="D4740">
        <v>52.4</v>
      </c>
      <c r="E4740">
        <v>1.9</v>
      </c>
    </row>
    <row r="4741" spans="1:5" x14ac:dyDescent="0.2">
      <c r="A4741">
        <v>4734</v>
      </c>
      <c r="B4741">
        <v>4191</v>
      </c>
      <c r="C4741">
        <v>14</v>
      </c>
      <c r="D4741">
        <v>52.3</v>
      </c>
      <c r="E4741">
        <v>1.9</v>
      </c>
    </row>
    <row r="4742" spans="1:5" x14ac:dyDescent="0.2">
      <c r="A4742">
        <v>4735</v>
      </c>
      <c r="B4742">
        <v>4192</v>
      </c>
      <c r="C4742">
        <v>14</v>
      </c>
      <c r="D4742">
        <v>52.2</v>
      </c>
      <c r="E4742">
        <v>1.9</v>
      </c>
    </row>
    <row r="4743" spans="1:5" x14ac:dyDescent="0.2">
      <c r="A4743">
        <v>4736</v>
      </c>
      <c r="B4743">
        <v>4194</v>
      </c>
      <c r="C4743">
        <v>14</v>
      </c>
      <c r="D4743">
        <v>52.1</v>
      </c>
      <c r="E4743">
        <v>1.9</v>
      </c>
    </row>
    <row r="4744" spans="1:5" x14ac:dyDescent="0.2">
      <c r="A4744">
        <v>4737</v>
      </c>
      <c r="B4744">
        <v>4195</v>
      </c>
      <c r="C4744">
        <v>14</v>
      </c>
      <c r="D4744">
        <v>52.1</v>
      </c>
      <c r="E4744">
        <v>1.9</v>
      </c>
    </row>
    <row r="4745" spans="1:5" x14ac:dyDescent="0.2">
      <c r="A4745">
        <v>4738</v>
      </c>
      <c r="B4745">
        <v>4196</v>
      </c>
      <c r="C4745">
        <v>14</v>
      </c>
      <c r="D4745">
        <v>52.1</v>
      </c>
      <c r="E4745">
        <v>1.9</v>
      </c>
    </row>
    <row r="4746" spans="1:5" x14ac:dyDescent="0.2">
      <c r="A4746">
        <v>4739</v>
      </c>
      <c r="B4746">
        <v>4196</v>
      </c>
      <c r="C4746">
        <v>15</v>
      </c>
      <c r="D4746">
        <v>52.2</v>
      </c>
      <c r="E4746">
        <v>1.9</v>
      </c>
    </row>
    <row r="4747" spans="1:5" x14ac:dyDescent="0.2">
      <c r="A4747">
        <v>4740</v>
      </c>
      <c r="B4747">
        <v>4196</v>
      </c>
      <c r="C4747">
        <v>15</v>
      </c>
      <c r="D4747">
        <v>52.3</v>
      </c>
      <c r="E4747">
        <v>1.9</v>
      </c>
    </row>
    <row r="4748" spans="1:5" x14ac:dyDescent="0.2">
      <c r="A4748">
        <v>4741</v>
      </c>
      <c r="B4748">
        <v>4196</v>
      </c>
      <c r="C4748">
        <v>15</v>
      </c>
      <c r="D4748">
        <v>52.5</v>
      </c>
      <c r="E4748">
        <v>2</v>
      </c>
    </row>
    <row r="4749" spans="1:5" x14ac:dyDescent="0.2">
      <c r="A4749">
        <v>4742</v>
      </c>
      <c r="B4749">
        <v>4195</v>
      </c>
      <c r="C4749">
        <v>15</v>
      </c>
      <c r="D4749">
        <v>52.7</v>
      </c>
      <c r="E4749">
        <v>2</v>
      </c>
    </row>
    <row r="4750" spans="1:5" x14ac:dyDescent="0.2">
      <c r="A4750">
        <v>4743</v>
      </c>
      <c r="B4750">
        <v>4194</v>
      </c>
      <c r="C4750">
        <v>15</v>
      </c>
      <c r="D4750">
        <v>53</v>
      </c>
      <c r="E4750">
        <v>2</v>
      </c>
    </row>
    <row r="4751" spans="1:5" x14ac:dyDescent="0.2">
      <c r="A4751">
        <v>4744</v>
      </c>
      <c r="B4751">
        <v>4192</v>
      </c>
      <c r="C4751">
        <v>15</v>
      </c>
      <c r="D4751">
        <v>53.3</v>
      </c>
      <c r="E4751">
        <v>2</v>
      </c>
    </row>
    <row r="4752" spans="1:5" x14ac:dyDescent="0.2">
      <c r="A4752">
        <v>4745</v>
      </c>
      <c r="B4752">
        <v>4190</v>
      </c>
      <c r="C4752">
        <v>15</v>
      </c>
      <c r="D4752">
        <v>53.7</v>
      </c>
      <c r="E4752">
        <v>2</v>
      </c>
    </row>
    <row r="4753" spans="1:5" x14ac:dyDescent="0.2">
      <c r="A4753">
        <v>4746</v>
      </c>
      <c r="B4753">
        <v>4188</v>
      </c>
      <c r="C4753">
        <v>15</v>
      </c>
      <c r="D4753">
        <v>54.1</v>
      </c>
      <c r="E4753">
        <v>2</v>
      </c>
    </row>
    <row r="4754" spans="1:5" x14ac:dyDescent="0.2">
      <c r="A4754">
        <v>4747</v>
      </c>
      <c r="B4754">
        <v>4186</v>
      </c>
      <c r="C4754">
        <v>15</v>
      </c>
      <c r="D4754">
        <v>54.6</v>
      </c>
      <c r="E4754">
        <v>1.9</v>
      </c>
    </row>
    <row r="4755" spans="1:5" x14ac:dyDescent="0.2">
      <c r="A4755">
        <v>4748</v>
      </c>
      <c r="B4755">
        <v>4183</v>
      </c>
      <c r="C4755">
        <v>15</v>
      </c>
      <c r="D4755">
        <v>55.1</v>
      </c>
      <c r="E4755">
        <v>1.9</v>
      </c>
    </row>
    <row r="4756" spans="1:5" x14ac:dyDescent="0.2">
      <c r="A4756">
        <v>4749</v>
      </c>
      <c r="B4756">
        <v>4180</v>
      </c>
      <c r="C4756">
        <v>14</v>
      </c>
      <c r="D4756">
        <v>55.6</v>
      </c>
      <c r="E4756">
        <v>1.9</v>
      </c>
    </row>
    <row r="4757" spans="1:5" x14ac:dyDescent="0.2">
      <c r="A4757">
        <v>4750</v>
      </c>
      <c r="B4757">
        <v>4176</v>
      </c>
      <c r="C4757">
        <v>14</v>
      </c>
      <c r="D4757">
        <v>56.2</v>
      </c>
      <c r="E4757">
        <v>1.9</v>
      </c>
    </row>
    <row r="4758" spans="1:5" x14ac:dyDescent="0.2">
      <c r="A4758">
        <v>4751</v>
      </c>
      <c r="B4758">
        <v>4173</v>
      </c>
      <c r="C4758">
        <v>14</v>
      </c>
      <c r="D4758">
        <v>56.8</v>
      </c>
      <c r="E4758">
        <v>1.9</v>
      </c>
    </row>
    <row r="4759" spans="1:5" x14ac:dyDescent="0.2">
      <c r="A4759">
        <v>4752</v>
      </c>
      <c r="B4759">
        <v>4169</v>
      </c>
      <c r="C4759">
        <v>14</v>
      </c>
      <c r="D4759">
        <v>57.4</v>
      </c>
      <c r="E4759">
        <v>1.9</v>
      </c>
    </row>
    <row r="4760" spans="1:5" x14ac:dyDescent="0.2">
      <c r="A4760">
        <v>4753</v>
      </c>
      <c r="B4760">
        <v>4165</v>
      </c>
      <c r="C4760">
        <v>14</v>
      </c>
      <c r="D4760">
        <v>58</v>
      </c>
      <c r="E4760">
        <v>1.8</v>
      </c>
    </row>
    <row r="4761" spans="1:5" x14ac:dyDescent="0.2">
      <c r="A4761">
        <v>4754</v>
      </c>
      <c r="B4761">
        <v>4161</v>
      </c>
      <c r="C4761">
        <v>14</v>
      </c>
      <c r="D4761">
        <v>58.7</v>
      </c>
      <c r="E4761">
        <v>1.8</v>
      </c>
    </row>
    <row r="4762" spans="1:5" x14ac:dyDescent="0.2">
      <c r="A4762">
        <v>4755</v>
      </c>
      <c r="B4762">
        <v>4158</v>
      </c>
      <c r="C4762">
        <v>14</v>
      </c>
      <c r="D4762">
        <v>59.3</v>
      </c>
      <c r="E4762">
        <v>1.8</v>
      </c>
    </row>
    <row r="4763" spans="1:5" x14ac:dyDescent="0.2">
      <c r="A4763">
        <v>4756</v>
      </c>
      <c r="B4763">
        <v>4154</v>
      </c>
      <c r="C4763">
        <v>14</v>
      </c>
      <c r="D4763">
        <v>60</v>
      </c>
      <c r="E4763">
        <v>1.9</v>
      </c>
    </row>
    <row r="4764" spans="1:5" x14ac:dyDescent="0.2">
      <c r="A4764">
        <v>4757</v>
      </c>
      <c r="B4764">
        <v>4150</v>
      </c>
      <c r="C4764">
        <v>14</v>
      </c>
      <c r="D4764">
        <v>60.6</v>
      </c>
      <c r="E4764">
        <v>1.9</v>
      </c>
    </row>
    <row r="4765" spans="1:5" x14ac:dyDescent="0.2">
      <c r="A4765">
        <v>4758</v>
      </c>
      <c r="B4765">
        <v>4146</v>
      </c>
      <c r="C4765">
        <v>14</v>
      </c>
      <c r="D4765">
        <v>61.2</v>
      </c>
      <c r="E4765">
        <v>1.9</v>
      </c>
    </row>
    <row r="4766" spans="1:5" x14ac:dyDescent="0.2">
      <c r="A4766">
        <v>4759</v>
      </c>
      <c r="B4766">
        <v>4142</v>
      </c>
      <c r="C4766">
        <v>14</v>
      </c>
      <c r="D4766">
        <v>61.9</v>
      </c>
      <c r="E4766">
        <v>1.9</v>
      </c>
    </row>
    <row r="4767" spans="1:5" x14ac:dyDescent="0.2">
      <c r="A4767">
        <v>4760</v>
      </c>
      <c r="B4767">
        <v>4139</v>
      </c>
      <c r="C4767">
        <v>15</v>
      </c>
      <c r="D4767">
        <v>62.5</v>
      </c>
      <c r="E4767">
        <v>1.9</v>
      </c>
    </row>
    <row r="4768" spans="1:5" x14ac:dyDescent="0.2">
      <c r="A4768">
        <v>4761</v>
      </c>
      <c r="B4768">
        <v>4135</v>
      </c>
      <c r="C4768">
        <v>15</v>
      </c>
      <c r="D4768">
        <v>63.1</v>
      </c>
      <c r="E4768">
        <v>2</v>
      </c>
    </row>
    <row r="4769" spans="1:5" x14ac:dyDescent="0.2">
      <c r="A4769">
        <v>4762</v>
      </c>
      <c r="B4769">
        <v>4132</v>
      </c>
      <c r="C4769">
        <v>15</v>
      </c>
      <c r="D4769">
        <v>63.6</v>
      </c>
      <c r="E4769">
        <v>2</v>
      </c>
    </row>
    <row r="4770" spans="1:5" x14ac:dyDescent="0.2">
      <c r="A4770">
        <v>4763</v>
      </c>
      <c r="B4770">
        <v>4128</v>
      </c>
      <c r="C4770">
        <v>15</v>
      </c>
      <c r="D4770">
        <v>64.2</v>
      </c>
      <c r="E4770">
        <v>2</v>
      </c>
    </row>
    <row r="4771" spans="1:5" x14ac:dyDescent="0.2">
      <c r="A4771">
        <v>4764</v>
      </c>
      <c r="B4771">
        <v>4126</v>
      </c>
      <c r="C4771">
        <v>15</v>
      </c>
      <c r="D4771">
        <v>64.7</v>
      </c>
      <c r="E4771">
        <v>2</v>
      </c>
    </row>
    <row r="4772" spans="1:5" x14ac:dyDescent="0.2">
      <c r="A4772">
        <v>4765</v>
      </c>
      <c r="B4772">
        <v>4123</v>
      </c>
      <c r="C4772">
        <v>15</v>
      </c>
      <c r="D4772">
        <v>65.2</v>
      </c>
      <c r="E4772">
        <v>2</v>
      </c>
    </row>
    <row r="4773" spans="1:5" x14ac:dyDescent="0.2">
      <c r="A4773">
        <v>4766</v>
      </c>
      <c r="B4773">
        <v>4120</v>
      </c>
      <c r="C4773">
        <v>15</v>
      </c>
      <c r="D4773">
        <v>65.599999999999994</v>
      </c>
      <c r="E4773">
        <v>2</v>
      </c>
    </row>
    <row r="4774" spans="1:5" x14ac:dyDescent="0.2">
      <c r="A4774">
        <v>4767</v>
      </c>
      <c r="B4774">
        <v>4118</v>
      </c>
      <c r="C4774">
        <v>15</v>
      </c>
      <c r="D4774">
        <v>66.099999999999994</v>
      </c>
      <c r="E4774">
        <v>2</v>
      </c>
    </row>
    <row r="4775" spans="1:5" x14ac:dyDescent="0.2">
      <c r="A4775">
        <v>4768</v>
      </c>
      <c r="B4775">
        <v>4116</v>
      </c>
      <c r="C4775">
        <v>15</v>
      </c>
      <c r="D4775">
        <v>66.400000000000006</v>
      </c>
      <c r="E4775">
        <v>2</v>
      </c>
    </row>
    <row r="4776" spans="1:5" x14ac:dyDescent="0.2">
      <c r="A4776">
        <v>4769</v>
      </c>
      <c r="B4776">
        <v>4115</v>
      </c>
      <c r="C4776">
        <v>15</v>
      </c>
      <c r="D4776">
        <v>66.7</v>
      </c>
      <c r="E4776">
        <v>2</v>
      </c>
    </row>
    <row r="4777" spans="1:5" x14ac:dyDescent="0.2">
      <c r="A4777">
        <v>4770</v>
      </c>
      <c r="B4777">
        <v>4114</v>
      </c>
      <c r="C4777">
        <v>15</v>
      </c>
      <c r="D4777">
        <v>67</v>
      </c>
      <c r="E4777">
        <v>1.9</v>
      </c>
    </row>
    <row r="4778" spans="1:5" x14ac:dyDescent="0.2">
      <c r="A4778">
        <v>4771</v>
      </c>
      <c r="B4778">
        <v>4113</v>
      </c>
      <c r="C4778">
        <v>14</v>
      </c>
      <c r="D4778">
        <v>67.3</v>
      </c>
      <c r="E4778">
        <v>1.9</v>
      </c>
    </row>
    <row r="4779" spans="1:5" x14ac:dyDescent="0.2">
      <c r="A4779">
        <v>4772</v>
      </c>
      <c r="B4779">
        <v>4112</v>
      </c>
      <c r="C4779">
        <v>14</v>
      </c>
      <c r="D4779">
        <v>67.5</v>
      </c>
      <c r="E4779">
        <v>1.9</v>
      </c>
    </row>
    <row r="4780" spans="1:5" x14ac:dyDescent="0.2">
      <c r="A4780">
        <v>4773</v>
      </c>
      <c r="B4780">
        <v>4111</v>
      </c>
      <c r="C4780">
        <v>14</v>
      </c>
      <c r="D4780">
        <v>67.7</v>
      </c>
      <c r="E4780">
        <v>1.9</v>
      </c>
    </row>
    <row r="4781" spans="1:5" x14ac:dyDescent="0.2">
      <c r="A4781">
        <v>4774</v>
      </c>
      <c r="B4781">
        <v>4111</v>
      </c>
      <c r="C4781">
        <v>14</v>
      </c>
      <c r="D4781">
        <v>67.900000000000006</v>
      </c>
      <c r="E4781">
        <v>1.9</v>
      </c>
    </row>
    <row r="4782" spans="1:5" x14ac:dyDescent="0.2">
      <c r="A4782">
        <v>4775</v>
      </c>
      <c r="B4782">
        <v>4111</v>
      </c>
      <c r="C4782">
        <v>14</v>
      </c>
      <c r="D4782">
        <v>68</v>
      </c>
      <c r="E4782">
        <v>1.8</v>
      </c>
    </row>
    <row r="4783" spans="1:5" x14ac:dyDescent="0.2">
      <c r="A4783">
        <v>4776</v>
      </c>
      <c r="B4783">
        <v>4111</v>
      </c>
      <c r="C4783">
        <v>14</v>
      </c>
      <c r="D4783">
        <v>68.2</v>
      </c>
      <c r="E4783">
        <v>1.8</v>
      </c>
    </row>
    <row r="4784" spans="1:5" x14ac:dyDescent="0.2">
      <c r="A4784">
        <v>4777</v>
      </c>
      <c r="B4784">
        <v>4111</v>
      </c>
      <c r="C4784">
        <v>14</v>
      </c>
      <c r="D4784">
        <v>68.2</v>
      </c>
      <c r="E4784">
        <v>1.8</v>
      </c>
    </row>
    <row r="4785" spans="1:5" x14ac:dyDescent="0.2">
      <c r="A4785">
        <v>4778</v>
      </c>
      <c r="B4785">
        <v>4112</v>
      </c>
      <c r="C4785">
        <v>14</v>
      </c>
      <c r="D4785">
        <v>68.3</v>
      </c>
      <c r="E4785">
        <v>1.9</v>
      </c>
    </row>
    <row r="4786" spans="1:5" x14ac:dyDescent="0.2">
      <c r="A4786">
        <v>4779</v>
      </c>
      <c r="B4786">
        <v>4113</v>
      </c>
      <c r="C4786">
        <v>14</v>
      </c>
      <c r="D4786">
        <v>68.3</v>
      </c>
      <c r="E4786">
        <v>1.9</v>
      </c>
    </row>
    <row r="4787" spans="1:5" x14ac:dyDescent="0.2">
      <c r="A4787">
        <v>4780</v>
      </c>
      <c r="B4787">
        <v>4113</v>
      </c>
      <c r="C4787">
        <v>14</v>
      </c>
      <c r="D4787">
        <v>68.400000000000006</v>
      </c>
      <c r="E4787">
        <v>1.9</v>
      </c>
    </row>
    <row r="4788" spans="1:5" x14ac:dyDescent="0.2">
      <c r="A4788">
        <v>4781</v>
      </c>
      <c r="B4788">
        <v>4114</v>
      </c>
      <c r="C4788">
        <v>14</v>
      </c>
      <c r="D4788">
        <v>68.400000000000006</v>
      </c>
      <c r="E4788">
        <v>1.9</v>
      </c>
    </row>
    <row r="4789" spans="1:5" x14ac:dyDescent="0.2">
      <c r="A4789">
        <v>4782</v>
      </c>
      <c r="B4789">
        <v>4115</v>
      </c>
      <c r="C4789">
        <v>14</v>
      </c>
      <c r="D4789">
        <v>68.400000000000006</v>
      </c>
      <c r="E4789">
        <v>1.9</v>
      </c>
    </row>
    <row r="4790" spans="1:5" x14ac:dyDescent="0.2">
      <c r="A4790">
        <v>4783</v>
      </c>
      <c r="B4790">
        <v>4117</v>
      </c>
      <c r="C4790">
        <v>15</v>
      </c>
      <c r="D4790">
        <v>68.3</v>
      </c>
      <c r="E4790">
        <v>1.9</v>
      </c>
    </row>
    <row r="4791" spans="1:5" x14ac:dyDescent="0.2">
      <c r="A4791">
        <v>4784</v>
      </c>
      <c r="B4791">
        <v>4118</v>
      </c>
      <c r="C4791">
        <v>15</v>
      </c>
      <c r="D4791">
        <v>68.3</v>
      </c>
      <c r="E4791">
        <v>1.9</v>
      </c>
    </row>
    <row r="4792" spans="1:5" x14ac:dyDescent="0.2">
      <c r="A4792">
        <v>4785</v>
      </c>
      <c r="B4792">
        <v>4119</v>
      </c>
      <c r="C4792">
        <v>15</v>
      </c>
      <c r="D4792">
        <v>68.3</v>
      </c>
      <c r="E4792">
        <v>1.9</v>
      </c>
    </row>
    <row r="4793" spans="1:5" x14ac:dyDescent="0.2">
      <c r="A4793">
        <v>4786</v>
      </c>
      <c r="B4793">
        <v>4121</v>
      </c>
      <c r="C4793">
        <v>15</v>
      </c>
      <c r="D4793">
        <v>68.2</v>
      </c>
      <c r="E4793">
        <v>1.9</v>
      </c>
    </row>
    <row r="4794" spans="1:5" x14ac:dyDescent="0.2">
      <c r="A4794">
        <v>4787</v>
      </c>
      <c r="B4794">
        <v>4122</v>
      </c>
      <c r="C4794">
        <v>14</v>
      </c>
      <c r="D4794">
        <v>68.099999999999994</v>
      </c>
      <c r="E4794">
        <v>1.9</v>
      </c>
    </row>
    <row r="4795" spans="1:5" x14ac:dyDescent="0.2">
      <c r="A4795">
        <v>4788</v>
      </c>
      <c r="B4795">
        <v>4124</v>
      </c>
      <c r="C4795">
        <v>14</v>
      </c>
      <c r="D4795">
        <v>68</v>
      </c>
      <c r="E4795">
        <v>1.9</v>
      </c>
    </row>
    <row r="4796" spans="1:5" x14ac:dyDescent="0.2">
      <c r="A4796">
        <v>4789</v>
      </c>
      <c r="B4796">
        <v>4126</v>
      </c>
      <c r="C4796">
        <v>14</v>
      </c>
      <c r="D4796">
        <v>67.900000000000006</v>
      </c>
      <c r="E4796">
        <v>1.9</v>
      </c>
    </row>
    <row r="4797" spans="1:5" x14ac:dyDescent="0.2">
      <c r="A4797">
        <v>4790</v>
      </c>
      <c r="B4797">
        <v>4127</v>
      </c>
      <c r="C4797">
        <v>14</v>
      </c>
      <c r="D4797">
        <v>67.8</v>
      </c>
      <c r="E4797">
        <v>1.9</v>
      </c>
    </row>
    <row r="4798" spans="1:5" x14ac:dyDescent="0.2">
      <c r="A4798">
        <v>4791</v>
      </c>
      <c r="B4798">
        <v>4129</v>
      </c>
      <c r="C4798">
        <v>14</v>
      </c>
      <c r="D4798">
        <v>67.7</v>
      </c>
      <c r="E4798">
        <v>1.9</v>
      </c>
    </row>
    <row r="4799" spans="1:5" x14ac:dyDescent="0.2">
      <c r="A4799">
        <v>4792</v>
      </c>
      <c r="B4799">
        <v>4131</v>
      </c>
      <c r="C4799">
        <v>14</v>
      </c>
      <c r="D4799">
        <v>67.599999999999994</v>
      </c>
      <c r="E4799">
        <v>1.8</v>
      </c>
    </row>
    <row r="4800" spans="1:5" x14ac:dyDescent="0.2">
      <c r="A4800">
        <v>4793</v>
      </c>
      <c r="B4800">
        <v>4133</v>
      </c>
      <c r="C4800">
        <v>14</v>
      </c>
      <c r="D4800">
        <v>67.5</v>
      </c>
      <c r="E4800">
        <v>1.8</v>
      </c>
    </row>
    <row r="4801" spans="1:5" x14ac:dyDescent="0.2">
      <c r="A4801">
        <v>4794</v>
      </c>
      <c r="B4801">
        <v>4135</v>
      </c>
      <c r="C4801">
        <v>14</v>
      </c>
      <c r="D4801">
        <v>67.400000000000006</v>
      </c>
      <c r="E4801">
        <v>1.9</v>
      </c>
    </row>
    <row r="4802" spans="1:5" x14ac:dyDescent="0.2">
      <c r="A4802">
        <v>4795</v>
      </c>
      <c r="B4802">
        <v>4136</v>
      </c>
      <c r="C4802">
        <v>14</v>
      </c>
      <c r="D4802">
        <v>67.3</v>
      </c>
      <c r="E4802">
        <v>1.9</v>
      </c>
    </row>
    <row r="4803" spans="1:5" x14ac:dyDescent="0.2">
      <c r="A4803">
        <v>4796</v>
      </c>
      <c r="B4803">
        <v>4138</v>
      </c>
      <c r="C4803">
        <v>14</v>
      </c>
      <c r="D4803">
        <v>67.099999999999994</v>
      </c>
      <c r="E4803">
        <v>1.9</v>
      </c>
    </row>
    <row r="4804" spans="1:5" x14ac:dyDescent="0.2">
      <c r="A4804">
        <v>4797</v>
      </c>
      <c r="B4804">
        <v>4140</v>
      </c>
      <c r="C4804">
        <v>14</v>
      </c>
      <c r="D4804">
        <v>67</v>
      </c>
      <c r="E4804">
        <v>1.9</v>
      </c>
    </row>
    <row r="4805" spans="1:5" x14ac:dyDescent="0.2">
      <c r="A4805">
        <v>4798</v>
      </c>
      <c r="B4805">
        <v>4142</v>
      </c>
      <c r="C4805">
        <v>15</v>
      </c>
      <c r="D4805">
        <v>66.900000000000006</v>
      </c>
      <c r="E4805">
        <v>2</v>
      </c>
    </row>
    <row r="4806" spans="1:5" x14ac:dyDescent="0.2">
      <c r="A4806">
        <v>4799</v>
      </c>
      <c r="B4806">
        <v>4144</v>
      </c>
      <c r="C4806">
        <v>15</v>
      </c>
      <c r="D4806">
        <v>66.8</v>
      </c>
      <c r="E4806">
        <v>2</v>
      </c>
    </row>
    <row r="4807" spans="1:5" x14ac:dyDescent="0.2">
      <c r="A4807">
        <v>4800</v>
      </c>
      <c r="B4807">
        <v>4146</v>
      </c>
      <c r="C4807">
        <v>15</v>
      </c>
      <c r="D4807">
        <v>66.7</v>
      </c>
      <c r="E4807">
        <v>2</v>
      </c>
    </row>
    <row r="4808" spans="1:5" x14ac:dyDescent="0.2">
      <c r="A4808">
        <v>4801</v>
      </c>
      <c r="B4808">
        <v>4148</v>
      </c>
      <c r="C4808">
        <v>15</v>
      </c>
      <c r="D4808">
        <v>66.5</v>
      </c>
      <c r="E4808">
        <v>2</v>
      </c>
    </row>
    <row r="4809" spans="1:5" x14ac:dyDescent="0.2">
      <c r="A4809">
        <v>4802</v>
      </c>
      <c r="B4809">
        <v>4149</v>
      </c>
      <c r="C4809">
        <v>16</v>
      </c>
      <c r="D4809">
        <v>66.400000000000006</v>
      </c>
      <c r="E4809">
        <v>2.1</v>
      </c>
    </row>
    <row r="4810" spans="1:5" x14ac:dyDescent="0.2">
      <c r="A4810">
        <v>4803</v>
      </c>
      <c r="B4810">
        <v>4151</v>
      </c>
      <c r="C4810">
        <v>16</v>
      </c>
      <c r="D4810">
        <v>66.3</v>
      </c>
      <c r="E4810">
        <v>2.1</v>
      </c>
    </row>
    <row r="4811" spans="1:5" x14ac:dyDescent="0.2">
      <c r="A4811">
        <v>4804</v>
      </c>
      <c r="B4811">
        <v>4153</v>
      </c>
      <c r="C4811">
        <v>16</v>
      </c>
      <c r="D4811">
        <v>66.2</v>
      </c>
      <c r="E4811">
        <v>2.1</v>
      </c>
    </row>
    <row r="4812" spans="1:5" x14ac:dyDescent="0.2">
      <c r="A4812">
        <v>4805</v>
      </c>
      <c r="B4812">
        <v>4154</v>
      </c>
      <c r="C4812">
        <v>16</v>
      </c>
      <c r="D4812">
        <v>66.2</v>
      </c>
      <c r="E4812">
        <v>2.1</v>
      </c>
    </row>
    <row r="4813" spans="1:5" x14ac:dyDescent="0.2">
      <c r="A4813">
        <v>4806</v>
      </c>
      <c r="B4813">
        <v>4156</v>
      </c>
      <c r="C4813">
        <v>15</v>
      </c>
      <c r="D4813">
        <v>66.099999999999994</v>
      </c>
      <c r="E4813">
        <v>2.1</v>
      </c>
    </row>
    <row r="4814" spans="1:5" x14ac:dyDescent="0.2">
      <c r="A4814">
        <v>4807</v>
      </c>
      <c r="B4814">
        <v>4157</v>
      </c>
      <c r="C4814">
        <v>15</v>
      </c>
      <c r="D4814">
        <v>66</v>
      </c>
      <c r="E4814">
        <v>2</v>
      </c>
    </row>
    <row r="4815" spans="1:5" x14ac:dyDescent="0.2">
      <c r="A4815">
        <v>4808</v>
      </c>
      <c r="B4815">
        <v>4159</v>
      </c>
      <c r="C4815">
        <v>15</v>
      </c>
      <c r="D4815">
        <v>66</v>
      </c>
      <c r="E4815">
        <v>2</v>
      </c>
    </row>
    <row r="4816" spans="1:5" x14ac:dyDescent="0.2">
      <c r="A4816">
        <v>4809</v>
      </c>
      <c r="B4816">
        <v>4160</v>
      </c>
      <c r="C4816">
        <v>15</v>
      </c>
      <c r="D4816">
        <v>65.900000000000006</v>
      </c>
      <c r="E4816">
        <v>2</v>
      </c>
    </row>
    <row r="4817" spans="1:5" x14ac:dyDescent="0.2">
      <c r="A4817">
        <v>4810</v>
      </c>
      <c r="B4817">
        <v>4162</v>
      </c>
      <c r="C4817">
        <v>15</v>
      </c>
      <c r="D4817">
        <v>65.8</v>
      </c>
      <c r="E4817">
        <v>1.9</v>
      </c>
    </row>
    <row r="4818" spans="1:5" x14ac:dyDescent="0.2">
      <c r="A4818">
        <v>4811</v>
      </c>
      <c r="B4818">
        <v>4163</v>
      </c>
      <c r="C4818">
        <v>14</v>
      </c>
      <c r="D4818">
        <v>65.8</v>
      </c>
      <c r="E4818">
        <v>1.9</v>
      </c>
    </row>
    <row r="4819" spans="1:5" x14ac:dyDescent="0.2">
      <c r="A4819">
        <v>4812</v>
      </c>
      <c r="B4819">
        <v>4165</v>
      </c>
      <c r="C4819">
        <v>14</v>
      </c>
      <c r="D4819">
        <v>65.7</v>
      </c>
      <c r="E4819">
        <v>1.9</v>
      </c>
    </row>
    <row r="4820" spans="1:5" x14ac:dyDescent="0.2">
      <c r="A4820">
        <v>4813</v>
      </c>
      <c r="B4820">
        <v>4166</v>
      </c>
      <c r="C4820">
        <v>14</v>
      </c>
      <c r="D4820">
        <v>65.599999999999994</v>
      </c>
      <c r="E4820">
        <v>1.9</v>
      </c>
    </row>
    <row r="4821" spans="1:5" x14ac:dyDescent="0.2">
      <c r="A4821">
        <v>4814</v>
      </c>
      <c r="B4821">
        <v>4168</v>
      </c>
      <c r="C4821">
        <v>14</v>
      </c>
      <c r="D4821">
        <v>65.5</v>
      </c>
      <c r="E4821">
        <v>1.9</v>
      </c>
    </row>
    <row r="4822" spans="1:5" x14ac:dyDescent="0.2">
      <c r="A4822">
        <v>4815</v>
      </c>
      <c r="B4822">
        <v>4170</v>
      </c>
      <c r="C4822">
        <v>15</v>
      </c>
      <c r="D4822">
        <v>65.400000000000006</v>
      </c>
      <c r="E4822">
        <v>1.9</v>
      </c>
    </row>
    <row r="4823" spans="1:5" x14ac:dyDescent="0.2">
      <c r="A4823">
        <v>4816</v>
      </c>
      <c r="B4823">
        <v>4172</v>
      </c>
      <c r="C4823">
        <v>15</v>
      </c>
      <c r="D4823">
        <v>65.2</v>
      </c>
      <c r="E4823">
        <v>2</v>
      </c>
    </row>
    <row r="4824" spans="1:5" x14ac:dyDescent="0.2">
      <c r="A4824">
        <v>4817</v>
      </c>
      <c r="B4824">
        <v>4174</v>
      </c>
      <c r="C4824">
        <v>15</v>
      </c>
      <c r="D4824">
        <v>65.099999999999994</v>
      </c>
      <c r="E4824">
        <v>2</v>
      </c>
    </row>
    <row r="4825" spans="1:5" x14ac:dyDescent="0.2">
      <c r="A4825">
        <v>4818</v>
      </c>
      <c r="B4825">
        <v>4177</v>
      </c>
      <c r="C4825">
        <v>15</v>
      </c>
      <c r="D4825">
        <v>64.900000000000006</v>
      </c>
      <c r="E4825">
        <v>2</v>
      </c>
    </row>
    <row r="4826" spans="1:5" x14ac:dyDescent="0.2">
      <c r="A4826">
        <v>4819</v>
      </c>
      <c r="B4826">
        <v>4179</v>
      </c>
      <c r="C4826">
        <v>15</v>
      </c>
      <c r="D4826">
        <v>64.7</v>
      </c>
      <c r="E4826">
        <v>2</v>
      </c>
    </row>
    <row r="4827" spans="1:5" x14ac:dyDescent="0.2">
      <c r="A4827">
        <v>4820</v>
      </c>
      <c r="B4827">
        <v>4182</v>
      </c>
      <c r="C4827">
        <v>15</v>
      </c>
      <c r="D4827">
        <v>64.400000000000006</v>
      </c>
      <c r="E4827">
        <v>2</v>
      </c>
    </row>
    <row r="4828" spans="1:5" x14ac:dyDescent="0.2">
      <c r="A4828">
        <v>4821</v>
      </c>
      <c r="B4828">
        <v>4185</v>
      </c>
      <c r="C4828">
        <v>15</v>
      </c>
      <c r="D4828">
        <v>64.099999999999994</v>
      </c>
      <c r="E4828">
        <v>2</v>
      </c>
    </row>
    <row r="4829" spans="1:5" x14ac:dyDescent="0.2">
      <c r="A4829">
        <v>4822</v>
      </c>
      <c r="B4829">
        <v>4188</v>
      </c>
      <c r="C4829">
        <v>15</v>
      </c>
      <c r="D4829">
        <v>63.8</v>
      </c>
      <c r="E4829">
        <v>2</v>
      </c>
    </row>
    <row r="4830" spans="1:5" x14ac:dyDescent="0.2">
      <c r="A4830">
        <v>4823</v>
      </c>
      <c r="B4830">
        <v>4192</v>
      </c>
      <c r="C4830">
        <v>15</v>
      </c>
      <c r="D4830">
        <v>63.5</v>
      </c>
      <c r="E4830">
        <v>2</v>
      </c>
    </row>
    <row r="4831" spans="1:5" x14ac:dyDescent="0.2">
      <c r="A4831">
        <v>4824</v>
      </c>
      <c r="B4831">
        <v>4196</v>
      </c>
      <c r="C4831">
        <v>15</v>
      </c>
      <c r="D4831">
        <v>63.1</v>
      </c>
      <c r="E4831">
        <v>1.9</v>
      </c>
    </row>
    <row r="4832" spans="1:5" x14ac:dyDescent="0.2">
      <c r="A4832">
        <v>4825</v>
      </c>
      <c r="B4832">
        <v>4200</v>
      </c>
      <c r="C4832">
        <v>14</v>
      </c>
      <c r="D4832">
        <v>62.7</v>
      </c>
      <c r="E4832">
        <v>1.9</v>
      </c>
    </row>
    <row r="4833" spans="1:5" x14ac:dyDescent="0.2">
      <c r="A4833">
        <v>4826</v>
      </c>
      <c r="B4833">
        <v>4204</v>
      </c>
      <c r="C4833">
        <v>14</v>
      </c>
      <c r="D4833">
        <v>62.3</v>
      </c>
      <c r="E4833">
        <v>1.9</v>
      </c>
    </row>
    <row r="4834" spans="1:5" x14ac:dyDescent="0.2">
      <c r="A4834">
        <v>4827</v>
      </c>
      <c r="B4834">
        <v>4208</v>
      </c>
      <c r="C4834">
        <v>14</v>
      </c>
      <c r="D4834">
        <v>61.9</v>
      </c>
      <c r="E4834">
        <v>1.9</v>
      </c>
    </row>
    <row r="4835" spans="1:5" x14ac:dyDescent="0.2">
      <c r="A4835">
        <v>4828</v>
      </c>
      <c r="B4835">
        <v>4212</v>
      </c>
      <c r="C4835">
        <v>14</v>
      </c>
      <c r="D4835">
        <v>61.5</v>
      </c>
      <c r="E4835">
        <v>1.9</v>
      </c>
    </row>
    <row r="4836" spans="1:5" x14ac:dyDescent="0.2">
      <c r="A4836">
        <v>4829</v>
      </c>
      <c r="B4836">
        <v>4216</v>
      </c>
      <c r="C4836">
        <v>14</v>
      </c>
      <c r="D4836">
        <v>61.1</v>
      </c>
      <c r="E4836">
        <v>1.9</v>
      </c>
    </row>
    <row r="4837" spans="1:5" x14ac:dyDescent="0.2">
      <c r="A4837">
        <v>4830</v>
      </c>
      <c r="B4837">
        <v>4220</v>
      </c>
      <c r="C4837">
        <v>14</v>
      </c>
      <c r="D4837">
        <v>60.6</v>
      </c>
      <c r="E4837">
        <v>1.9</v>
      </c>
    </row>
    <row r="4838" spans="1:5" x14ac:dyDescent="0.2">
      <c r="A4838">
        <v>4831</v>
      </c>
      <c r="B4838">
        <v>4225</v>
      </c>
      <c r="C4838">
        <v>15</v>
      </c>
      <c r="D4838">
        <v>60.2</v>
      </c>
      <c r="E4838">
        <v>1.9</v>
      </c>
    </row>
    <row r="4839" spans="1:5" x14ac:dyDescent="0.2">
      <c r="A4839">
        <v>4832</v>
      </c>
      <c r="B4839">
        <v>4229</v>
      </c>
      <c r="C4839">
        <v>15</v>
      </c>
      <c r="D4839">
        <v>59.8</v>
      </c>
      <c r="E4839">
        <v>1.9</v>
      </c>
    </row>
    <row r="4840" spans="1:5" x14ac:dyDescent="0.2">
      <c r="A4840">
        <v>4833</v>
      </c>
      <c r="B4840">
        <v>4233</v>
      </c>
      <c r="C4840">
        <v>15</v>
      </c>
      <c r="D4840">
        <v>59.3</v>
      </c>
      <c r="E4840">
        <v>2</v>
      </c>
    </row>
    <row r="4841" spans="1:5" x14ac:dyDescent="0.2">
      <c r="A4841">
        <v>4834</v>
      </c>
      <c r="B4841">
        <v>4237</v>
      </c>
      <c r="C4841">
        <v>15</v>
      </c>
      <c r="D4841">
        <v>58.9</v>
      </c>
      <c r="E4841">
        <v>2</v>
      </c>
    </row>
    <row r="4842" spans="1:5" x14ac:dyDescent="0.2">
      <c r="A4842">
        <v>4835</v>
      </c>
      <c r="B4842">
        <v>4241</v>
      </c>
      <c r="C4842">
        <v>15</v>
      </c>
      <c r="D4842">
        <v>58.5</v>
      </c>
      <c r="E4842">
        <v>2</v>
      </c>
    </row>
    <row r="4843" spans="1:5" x14ac:dyDescent="0.2">
      <c r="A4843">
        <v>4836</v>
      </c>
      <c r="B4843">
        <v>4245</v>
      </c>
      <c r="C4843">
        <v>15</v>
      </c>
      <c r="D4843">
        <v>58.2</v>
      </c>
      <c r="E4843">
        <v>2</v>
      </c>
    </row>
    <row r="4844" spans="1:5" x14ac:dyDescent="0.2">
      <c r="A4844">
        <v>4837</v>
      </c>
      <c r="B4844">
        <v>4249</v>
      </c>
      <c r="C4844">
        <v>15</v>
      </c>
      <c r="D4844">
        <v>57.8</v>
      </c>
      <c r="E4844">
        <v>2</v>
      </c>
    </row>
    <row r="4845" spans="1:5" x14ac:dyDescent="0.2">
      <c r="A4845">
        <v>4838</v>
      </c>
      <c r="B4845">
        <v>4252</v>
      </c>
      <c r="C4845">
        <v>15</v>
      </c>
      <c r="D4845">
        <v>57.5</v>
      </c>
      <c r="E4845">
        <v>2</v>
      </c>
    </row>
    <row r="4846" spans="1:5" x14ac:dyDescent="0.2">
      <c r="A4846">
        <v>4839</v>
      </c>
      <c r="B4846">
        <v>4256</v>
      </c>
      <c r="C4846">
        <v>15</v>
      </c>
      <c r="D4846">
        <v>57.1</v>
      </c>
      <c r="E4846">
        <v>2</v>
      </c>
    </row>
    <row r="4847" spans="1:5" x14ac:dyDescent="0.2">
      <c r="A4847">
        <v>4840</v>
      </c>
      <c r="B4847">
        <v>4259</v>
      </c>
      <c r="C4847">
        <v>15</v>
      </c>
      <c r="D4847">
        <v>56.8</v>
      </c>
      <c r="E4847">
        <v>2</v>
      </c>
    </row>
    <row r="4848" spans="1:5" x14ac:dyDescent="0.2">
      <c r="A4848">
        <v>4841</v>
      </c>
      <c r="B4848">
        <v>4262</v>
      </c>
      <c r="C4848">
        <v>15</v>
      </c>
      <c r="D4848">
        <v>56.5</v>
      </c>
      <c r="E4848">
        <v>2</v>
      </c>
    </row>
    <row r="4849" spans="1:5" x14ac:dyDescent="0.2">
      <c r="A4849">
        <v>4842</v>
      </c>
      <c r="B4849">
        <v>4266</v>
      </c>
      <c r="C4849">
        <v>15</v>
      </c>
      <c r="D4849">
        <v>56.2</v>
      </c>
      <c r="E4849">
        <v>1.9</v>
      </c>
    </row>
    <row r="4850" spans="1:5" x14ac:dyDescent="0.2">
      <c r="A4850">
        <v>4843</v>
      </c>
      <c r="B4850">
        <v>4269</v>
      </c>
      <c r="C4850">
        <v>15</v>
      </c>
      <c r="D4850">
        <v>55.9</v>
      </c>
      <c r="E4850">
        <v>1.9</v>
      </c>
    </row>
    <row r="4851" spans="1:5" x14ac:dyDescent="0.2">
      <c r="A4851">
        <v>4844</v>
      </c>
      <c r="B4851">
        <v>4272</v>
      </c>
      <c r="C4851">
        <v>15</v>
      </c>
      <c r="D4851">
        <v>55.7</v>
      </c>
      <c r="E4851">
        <v>1.9</v>
      </c>
    </row>
    <row r="4852" spans="1:5" x14ac:dyDescent="0.2">
      <c r="A4852">
        <v>4845</v>
      </c>
      <c r="B4852">
        <v>4275</v>
      </c>
      <c r="C4852">
        <v>15</v>
      </c>
      <c r="D4852">
        <v>55.4</v>
      </c>
      <c r="E4852">
        <v>1.9</v>
      </c>
    </row>
    <row r="4853" spans="1:5" x14ac:dyDescent="0.2">
      <c r="A4853">
        <v>4846</v>
      </c>
      <c r="B4853">
        <v>4278</v>
      </c>
      <c r="C4853">
        <v>15</v>
      </c>
      <c r="D4853">
        <v>55.1</v>
      </c>
      <c r="E4853">
        <v>2</v>
      </c>
    </row>
    <row r="4854" spans="1:5" x14ac:dyDescent="0.2">
      <c r="A4854">
        <v>4847</v>
      </c>
      <c r="B4854">
        <v>4281</v>
      </c>
      <c r="C4854">
        <v>15</v>
      </c>
      <c r="D4854">
        <v>54.9</v>
      </c>
      <c r="E4854">
        <v>2</v>
      </c>
    </row>
    <row r="4855" spans="1:5" x14ac:dyDescent="0.2">
      <c r="A4855">
        <v>4848</v>
      </c>
      <c r="B4855">
        <v>4284</v>
      </c>
      <c r="C4855">
        <v>15</v>
      </c>
      <c r="D4855">
        <v>54.6</v>
      </c>
      <c r="E4855">
        <v>2</v>
      </c>
    </row>
    <row r="4856" spans="1:5" x14ac:dyDescent="0.2">
      <c r="A4856">
        <v>4849</v>
      </c>
      <c r="B4856">
        <v>4287</v>
      </c>
      <c r="C4856">
        <v>15</v>
      </c>
      <c r="D4856">
        <v>54.3</v>
      </c>
      <c r="E4856">
        <v>2</v>
      </c>
    </row>
    <row r="4857" spans="1:5" x14ac:dyDescent="0.2">
      <c r="A4857">
        <v>4850</v>
      </c>
      <c r="B4857">
        <v>4290</v>
      </c>
      <c r="C4857">
        <v>16</v>
      </c>
      <c r="D4857">
        <v>54.1</v>
      </c>
      <c r="E4857">
        <v>2</v>
      </c>
    </row>
    <row r="4858" spans="1:5" x14ac:dyDescent="0.2">
      <c r="A4858">
        <v>4851</v>
      </c>
      <c r="B4858">
        <v>4293</v>
      </c>
      <c r="C4858">
        <v>16</v>
      </c>
      <c r="D4858">
        <v>53.8</v>
      </c>
      <c r="E4858">
        <v>2.1</v>
      </c>
    </row>
    <row r="4859" spans="1:5" x14ac:dyDescent="0.2">
      <c r="A4859">
        <v>4852</v>
      </c>
      <c r="B4859">
        <v>4296</v>
      </c>
      <c r="C4859">
        <v>16</v>
      </c>
      <c r="D4859">
        <v>53.5</v>
      </c>
      <c r="E4859">
        <v>2.1</v>
      </c>
    </row>
    <row r="4860" spans="1:5" x14ac:dyDescent="0.2">
      <c r="A4860">
        <v>4853</v>
      </c>
      <c r="B4860">
        <v>4299</v>
      </c>
      <c r="C4860">
        <v>16</v>
      </c>
      <c r="D4860">
        <v>53.2</v>
      </c>
      <c r="E4860">
        <v>2.1</v>
      </c>
    </row>
    <row r="4861" spans="1:5" x14ac:dyDescent="0.2">
      <c r="A4861">
        <v>4854</v>
      </c>
      <c r="B4861">
        <v>4302</v>
      </c>
      <c r="C4861">
        <v>16</v>
      </c>
      <c r="D4861">
        <v>53</v>
      </c>
      <c r="E4861">
        <v>2.1</v>
      </c>
    </row>
    <row r="4862" spans="1:5" x14ac:dyDescent="0.2">
      <c r="A4862">
        <v>4855</v>
      </c>
      <c r="B4862">
        <v>4305</v>
      </c>
      <c r="C4862">
        <v>16</v>
      </c>
      <c r="D4862">
        <v>52.7</v>
      </c>
      <c r="E4862">
        <v>2.1</v>
      </c>
    </row>
    <row r="4863" spans="1:5" x14ac:dyDescent="0.2">
      <c r="A4863">
        <v>4856</v>
      </c>
      <c r="B4863">
        <v>4308</v>
      </c>
      <c r="C4863">
        <v>15</v>
      </c>
      <c r="D4863">
        <v>52.4</v>
      </c>
      <c r="E4863">
        <v>2</v>
      </c>
    </row>
    <row r="4864" spans="1:5" x14ac:dyDescent="0.2">
      <c r="A4864">
        <v>4857</v>
      </c>
      <c r="B4864">
        <v>4312</v>
      </c>
      <c r="C4864">
        <v>15</v>
      </c>
      <c r="D4864">
        <v>52.1</v>
      </c>
      <c r="E4864">
        <v>2</v>
      </c>
    </row>
    <row r="4865" spans="1:5" x14ac:dyDescent="0.2">
      <c r="A4865">
        <v>4858</v>
      </c>
      <c r="B4865">
        <v>4315</v>
      </c>
      <c r="C4865">
        <v>15</v>
      </c>
      <c r="D4865">
        <v>51.8</v>
      </c>
      <c r="E4865">
        <v>1.9</v>
      </c>
    </row>
    <row r="4866" spans="1:5" x14ac:dyDescent="0.2">
      <c r="A4866">
        <v>4859</v>
      </c>
      <c r="B4866">
        <v>4318</v>
      </c>
      <c r="C4866">
        <v>15</v>
      </c>
      <c r="D4866">
        <v>51.5</v>
      </c>
      <c r="E4866">
        <v>1.9</v>
      </c>
    </row>
    <row r="4867" spans="1:5" x14ac:dyDescent="0.2">
      <c r="A4867">
        <v>4860</v>
      </c>
      <c r="B4867">
        <v>4322</v>
      </c>
      <c r="C4867">
        <v>14</v>
      </c>
      <c r="D4867">
        <v>51.1</v>
      </c>
      <c r="E4867">
        <v>1.9</v>
      </c>
    </row>
    <row r="4868" spans="1:5" x14ac:dyDescent="0.2">
      <c r="A4868">
        <v>4861</v>
      </c>
      <c r="B4868">
        <v>4325</v>
      </c>
      <c r="C4868">
        <v>14</v>
      </c>
      <c r="D4868">
        <v>50.8</v>
      </c>
      <c r="E4868">
        <v>1.9</v>
      </c>
    </row>
    <row r="4869" spans="1:5" x14ac:dyDescent="0.2">
      <c r="A4869">
        <v>4862</v>
      </c>
      <c r="B4869">
        <v>4329</v>
      </c>
      <c r="C4869">
        <v>14</v>
      </c>
      <c r="D4869">
        <v>50.5</v>
      </c>
      <c r="E4869">
        <v>1.9</v>
      </c>
    </row>
    <row r="4870" spans="1:5" x14ac:dyDescent="0.2">
      <c r="A4870">
        <v>4863</v>
      </c>
      <c r="B4870">
        <v>4332</v>
      </c>
      <c r="C4870">
        <v>15</v>
      </c>
      <c r="D4870">
        <v>50.2</v>
      </c>
      <c r="E4870">
        <v>1.9</v>
      </c>
    </row>
    <row r="4871" spans="1:5" x14ac:dyDescent="0.2">
      <c r="A4871">
        <v>4864</v>
      </c>
      <c r="B4871">
        <v>4335</v>
      </c>
      <c r="C4871">
        <v>15</v>
      </c>
      <c r="D4871">
        <v>49.9</v>
      </c>
      <c r="E4871">
        <v>1.9</v>
      </c>
    </row>
    <row r="4872" spans="1:5" x14ac:dyDescent="0.2">
      <c r="A4872">
        <v>4865</v>
      </c>
      <c r="B4872">
        <v>4338</v>
      </c>
      <c r="C4872">
        <v>15</v>
      </c>
      <c r="D4872">
        <v>49.6</v>
      </c>
      <c r="E4872">
        <v>2</v>
      </c>
    </row>
    <row r="4873" spans="1:5" x14ac:dyDescent="0.2">
      <c r="A4873">
        <v>4866</v>
      </c>
      <c r="B4873">
        <v>4342</v>
      </c>
      <c r="C4873">
        <v>15</v>
      </c>
      <c r="D4873">
        <v>49.3</v>
      </c>
      <c r="E4873">
        <v>2</v>
      </c>
    </row>
    <row r="4874" spans="1:5" x14ac:dyDescent="0.2">
      <c r="A4874">
        <v>4867</v>
      </c>
      <c r="B4874">
        <v>4345</v>
      </c>
      <c r="C4874">
        <v>16</v>
      </c>
      <c r="D4874">
        <v>49</v>
      </c>
      <c r="E4874">
        <v>2</v>
      </c>
    </row>
    <row r="4875" spans="1:5" x14ac:dyDescent="0.2">
      <c r="A4875">
        <v>4868</v>
      </c>
      <c r="B4875">
        <v>4348</v>
      </c>
      <c r="C4875">
        <v>16</v>
      </c>
      <c r="D4875">
        <v>48.8</v>
      </c>
      <c r="E4875">
        <v>2.1</v>
      </c>
    </row>
    <row r="4876" spans="1:5" x14ac:dyDescent="0.2">
      <c r="A4876">
        <v>4869</v>
      </c>
      <c r="B4876">
        <v>4351</v>
      </c>
      <c r="C4876">
        <v>16</v>
      </c>
      <c r="D4876">
        <v>48.5</v>
      </c>
      <c r="E4876">
        <v>2.1</v>
      </c>
    </row>
    <row r="4877" spans="1:5" x14ac:dyDescent="0.2">
      <c r="A4877">
        <v>4870</v>
      </c>
      <c r="B4877">
        <v>4354</v>
      </c>
      <c r="C4877">
        <v>16</v>
      </c>
      <c r="D4877">
        <v>48.3</v>
      </c>
      <c r="E4877">
        <v>2.1</v>
      </c>
    </row>
    <row r="4878" spans="1:5" x14ac:dyDescent="0.2">
      <c r="A4878">
        <v>4871</v>
      </c>
      <c r="B4878">
        <v>4356</v>
      </c>
      <c r="C4878">
        <v>16</v>
      </c>
      <c r="D4878">
        <v>48</v>
      </c>
      <c r="E4878">
        <v>2.1</v>
      </c>
    </row>
    <row r="4879" spans="1:5" x14ac:dyDescent="0.2">
      <c r="A4879">
        <v>4872</v>
      </c>
      <c r="B4879">
        <v>4359</v>
      </c>
      <c r="C4879">
        <v>16</v>
      </c>
      <c r="D4879">
        <v>47.8</v>
      </c>
      <c r="E4879">
        <v>2</v>
      </c>
    </row>
    <row r="4880" spans="1:5" x14ac:dyDescent="0.2">
      <c r="A4880">
        <v>4873</v>
      </c>
      <c r="B4880">
        <v>4361</v>
      </c>
      <c r="C4880">
        <v>15</v>
      </c>
      <c r="D4880">
        <v>47.6</v>
      </c>
      <c r="E4880">
        <v>2</v>
      </c>
    </row>
    <row r="4881" spans="1:5" x14ac:dyDescent="0.2">
      <c r="A4881">
        <v>4874</v>
      </c>
      <c r="B4881">
        <v>4364</v>
      </c>
      <c r="C4881">
        <v>15</v>
      </c>
      <c r="D4881">
        <v>47.4</v>
      </c>
      <c r="E4881">
        <v>2</v>
      </c>
    </row>
    <row r="4882" spans="1:5" x14ac:dyDescent="0.2">
      <c r="A4882">
        <v>4875</v>
      </c>
      <c r="B4882">
        <v>4366</v>
      </c>
      <c r="C4882">
        <v>15</v>
      </c>
      <c r="D4882">
        <v>47.2</v>
      </c>
      <c r="E4882">
        <v>2</v>
      </c>
    </row>
    <row r="4883" spans="1:5" x14ac:dyDescent="0.2">
      <c r="A4883">
        <v>4876</v>
      </c>
      <c r="B4883">
        <v>4368</v>
      </c>
      <c r="C4883">
        <v>15</v>
      </c>
      <c r="D4883">
        <v>47.1</v>
      </c>
      <c r="E4883">
        <v>2</v>
      </c>
    </row>
    <row r="4884" spans="1:5" x14ac:dyDescent="0.2">
      <c r="A4884">
        <v>4877</v>
      </c>
      <c r="B4884">
        <v>4370</v>
      </c>
      <c r="C4884">
        <v>15</v>
      </c>
      <c r="D4884">
        <v>47</v>
      </c>
      <c r="E4884">
        <v>2</v>
      </c>
    </row>
    <row r="4885" spans="1:5" x14ac:dyDescent="0.2">
      <c r="A4885">
        <v>4878</v>
      </c>
      <c r="B4885">
        <v>4372</v>
      </c>
      <c r="C4885">
        <v>15</v>
      </c>
      <c r="D4885">
        <v>46.8</v>
      </c>
      <c r="E4885">
        <v>2</v>
      </c>
    </row>
    <row r="4886" spans="1:5" x14ac:dyDescent="0.2">
      <c r="A4886">
        <v>4879</v>
      </c>
      <c r="B4886">
        <v>4374</v>
      </c>
      <c r="C4886">
        <v>15</v>
      </c>
      <c r="D4886">
        <v>46.7</v>
      </c>
      <c r="E4886">
        <v>2</v>
      </c>
    </row>
    <row r="4887" spans="1:5" x14ac:dyDescent="0.2">
      <c r="A4887">
        <v>4880</v>
      </c>
      <c r="B4887">
        <v>4376</v>
      </c>
      <c r="C4887">
        <v>15</v>
      </c>
      <c r="D4887">
        <v>46.6</v>
      </c>
      <c r="E4887">
        <v>2</v>
      </c>
    </row>
    <row r="4888" spans="1:5" x14ac:dyDescent="0.2">
      <c r="A4888">
        <v>4881</v>
      </c>
      <c r="B4888">
        <v>4377</v>
      </c>
      <c r="C4888">
        <v>16</v>
      </c>
      <c r="D4888">
        <v>46.6</v>
      </c>
      <c r="E4888">
        <v>2</v>
      </c>
    </row>
    <row r="4889" spans="1:5" x14ac:dyDescent="0.2">
      <c r="A4889">
        <v>4882</v>
      </c>
      <c r="B4889">
        <v>4379</v>
      </c>
      <c r="C4889">
        <v>16</v>
      </c>
      <c r="D4889">
        <v>46.5</v>
      </c>
      <c r="E4889">
        <v>2.1</v>
      </c>
    </row>
    <row r="4890" spans="1:5" x14ac:dyDescent="0.2">
      <c r="A4890">
        <v>4883</v>
      </c>
      <c r="B4890">
        <v>4380</v>
      </c>
      <c r="C4890">
        <v>16</v>
      </c>
      <c r="D4890">
        <v>46.5</v>
      </c>
      <c r="E4890">
        <v>2.1</v>
      </c>
    </row>
    <row r="4891" spans="1:5" x14ac:dyDescent="0.2">
      <c r="A4891">
        <v>4884</v>
      </c>
      <c r="B4891">
        <v>4381</v>
      </c>
      <c r="C4891">
        <v>16</v>
      </c>
      <c r="D4891">
        <v>46.5</v>
      </c>
      <c r="E4891">
        <v>2.1</v>
      </c>
    </row>
    <row r="4892" spans="1:5" x14ac:dyDescent="0.2">
      <c r="A4892">
        <v>4885</v>
      </c>
      <c r="B4892">
        <v>4382</v>
      </c>
      <c r="C4892">
        <v>16</v>
      </c>
      <c r="D4892">
        <v>46.5</v>
      </c>
      <c r="E4892">
        <v>2.1</v>
      </c>
    </row>
    <row r="4893" spans="1:5" x14ac:dyDescent="0.2">
      <c r="A4893">
        <v>4886</v>
      </c>
      <c r="B4893">
        <v>4383</v>
      </c>
      <c r="C4893">
        <v>17</v>
      </c>
      <c r="D4893">
        <v>46.5</v>
      </c>
      <c r="E4893">
        <v>2.2000000000000002</v>
      </c>
    </row>
    <row r="4894" spans="1:5" x14ac:dyDescent="0.2">
      <c r="A4894">
        <v>4887</v>
      </c>
      <c r="B4894">
        <v>4383</v>
      </c>
      <c r="C4894">
        <v>17</v>
      </c>
      <c r="D4894">
        <v>46.5</v>
      </c>
      <c r="E4894">
        <v>2.2000000000000002</v>
      </c>
    </row>
    <row r="4895" spans="1:5" x14ac:dyDescent="0.2">
      <c r="A4895">
        <v>4888</v>
      </c>
      <c r="B4895">
        <v>4384</v>
      </c>
      <c r="C4895">
        <v>17</v>
      </c>
      <c r="D4895">
        <v>46.6</v>
      </c>
      <c r="E4895">
        <v>2.2000000000000002</v>
      </c>
    </row>
    <row r="4896" spans="1:5" x14ac:dyDescent="0.2">
      <c r="A4896">
        <v>4889</v>
      </c>
      <c r="B4896">
        <v>4384</v>
      </c>
      <c r="C4896">
        <v>16</v>
      </c>
      <c r="D4896">
        <v>46.7</v>
      </c>
      <c r="E4896">
        <v>2.1</v>
      </c>
    </row>
    <row r="4897" spans="1:5" x14ac:dyDescent="0.2">
      <c r="A4897">
        <v>4890</v>
      </c>
      <c r="B4897">
        <v>4384</v>
      </c>
      <c r="C4897">
        <v>16</v>
      </c>
      <c r="D4897">
        <v>46.8</v>
      </c>
      <c r="E4897">
        <v>2.1</v>
      </c>
    </row>
    <row r="4898" spans="1:5" x14ac:dyDescent="0.2">
      <c r="A4898">
        <v>4891</v>
      </c>
      <c r="B4898">
        <v>4384</v>
      </c>
      <c r="C4898">
        <v>16</v>
      </c>
      <c r="D4898">
        <v>46.9</v>
      </c>
      <c r="E4898">
        <v>2.1</v>
      </c>
    </row>
    <row r="4899" spans="1:5" x14ac:dyDescent="0.2">
      <c r="A4899">
        <v>4892</v>
      </c>
      <c r="B4899">
        <v>4384</v>
      </c>
      <c r="C4899">
        <v>16</v>
      </c>
      <c r="D4899">
        <v>47.1</v>
      </c>
      <c r="E4899">
        <v>2</v>
      </c>
    </row>
    <row r="4900" spans="1:5" x14ac:dyDescent="0.2">
      <c r="A4900">
        <v>4893</v>
      </c>
      <c r="B4900">
        <v>4384</v>
      </c>
      <c r="C4900">
        <v>15</v>
      </c>
      <c r="D4900">
        <v>47.2</v>
      </c>
      <c r="E4900">
        <v>2</v>
      </c>
    </row>
    <row r="4901" spans="1:5" x14ac:dyDescent="0.2">
      <c r="A4901">
        <v>4894</v>
      </c>
      <c r="B4901">
        <v>4383</v>
      </c>
      <c r="C4901">
        <v>15</v>
      </c>
      <c r="D4901">
        <v>47.4</v>
      </c>
      <c r="E4901">
        <v>2</v>
      </c>
    </row>
    <row r="4902" spans="1:5" x14ac:dyDescent="0.2">
      <c r="A4902">
        <v>4895</v>
      </c>
      <c r="B4902">
        <v>4383</v>
      </c>
      <c r="C4902">
        <v>15</v>
      </c>
      <c r="D4902">
        <v>47.6</v>
      </c>
      <c r="E4902">
        <v>1.9</v>
      </c>
    </row>
    <row r="4903" spans="1:5" x14ac:dyDescent="0.2">
      <c r="A4903">
        <v>4896</v>
      </c>
      <c r="B4903">
        <v>4383</v>
      </c>
      <c r="C4903">
        <v>15</v>
      </c>
      <c r="D4903">
        <v>47.8</v>
      </c>
      <c r="E4903">
        <v>1.9</v>
      </c>
    </row>
    <row r="4904" spans="1:5" x14ac:dyDescent="0.2">
      <c r="A4904">
        <v>4897</v>
      </c>
      <c r="B4904">
        <v>4382</v>
      </c>
      <c r="C4904">
        <v>15</v>
      </c>
      <c r="D4904">
        <v>48</v>
      </c>
      <c r="E4904">
        <v>1.9</v>
      </c>
    </row>
    <row r="4905" spans="1:5" x14ac:dyDescent="0.2">
      <c r="A4905">
        <v>4898</v>
      </c>
      <c r="B4905">
        <v>4382</v>
      </c>
      <c r="C4905">
        <v>15</v>
      </c>
      <c r="D4905">
        <v>48.2</v>
      </c>
      <c r="E4905">
        <v>2</v>
      </c>
    </row>
    <row r="4906" spans="1:5" x14ac:dyDescent="0.2">
      <c r="A4906">
        <v>4899</v>
      </c>
      <c r="B4906">
        <v>4381</v>
      </c>
      <c r="C4906">
        <v>15</v>
      </c>
      <c r="D4906">
        <v>48.3</v>
      </c>
      <c r="E4906">
        <v>2</v>
      </c>
    </row>
    <row r="4907" spans="1:5" x14ac:dyDescent="0.2">
      <c r="A4907">
        <v>4900</v>
      </c>
      <c r="B4907">
        <v>4381</v>
      </c>
      <c r="C4907">
        <v>15</v>
      </c>
      <c r="D4907">
        <v>48.5</v>
      </c>
      <c r="E4907">
        <v>2</v>
      </c>
    </row>
    <row r="4908" spans="1:5" x14ac:dyDescent="0.2">
      <c r="A4908">
        <v>4901</v>
      </c>
      <c r="B4908">
        <v>4380</v>
      </c>
      <c r="C4908">
        <v>16</v>
      </c>
      <c r="D4908">
        <v>48.7</v>
      </c>
      <c r="E4908">
        <v>2</v>
      </c>
    </row>
    <row r="4909" spans="1:5" x14ac:dyDescent="0.2">
      <c r="A4909">
        <v>4902</v>
      </c>
      <c r="B4909">
        <v>4380</v>
      </c>
      <c r="C4909">
        <v>16</v>
      </c>
      <c r="D4909">
        <v>48.9</v>
      </c>
      <c r="E4909">
        <v>2.1</v>
      </c>
    </row>
    <row r="4910" spans="1:5" x14ac:dyDescent="0.2">
      <c r="A4910">
        <v>4903</v>
      </c>
      <c r="B4910">
        <v>4380</v>
      </c>
      <c r="C4910">
        <v>16</v>
      </c>
      <c r="D4910">
        <v>49</v>
      </c>
      <c r="E4910">
        <v>2.1</v>
      </c>
    </row>
    <row r="4911" spans="1:5" x14ac:dyDescent="0.2">
      <c r="A4911">
        <v>4904</v>
      </c>
      <c r="B4911">
        <v>4380</v>
      </c>
      <c r="C4911">
        <v>16</v>
      </c>
      <c r="D4911">
        <v>49.1</v>
      </c>
      <c r="E4911">
        <v>2.1</v>
      </c>
    </row>
    <row r="4912" spans="1:5" x14ac:dyDescent="0.2">
      <c r="A4912">
        <v>4905</v>
      </c>
      <c r="B4912">
        <v>4380</v>
      </c>
      <c r="C4912">
        <v>16</v>
      </c>
      <c r="D4912">
        <v>49.3</v>
      </c>
      <c r="E4912">
        <v>2.1</v>
      </c>
    </row>
    <row r="4913" spans="1:5" x14ac:dyDescent="0.2">
      <c r="A4913">
        <v>4906</v>
      </c>
      <c r="B4913">
        <v>4380</v>
      </c>
      <c r="C4913">
        <v>16</v>
      </c>
      <c r="D4913">
        <v>49.4</v>
      </c>
      <c r="E4913">
        <v>2</v>
      </c>
    </row>
    <row r="4914" spans="1:5" x14ac:dyDescent="0.2">
      <c r="A4914">
        <v>4907</v>
      </c>
      <c r="B4914">
        <v>4380</v>
      </c>
      <c r="C4914">
        <v>15</v>
      </c>
      <c r="D4914">
        <v>49.5</v>
      </c>
      <c r="E4914">
        <v>2</v>
      </c>
    </row>
    <row r="4915" spans="1:5" x14ac:dyDescent="0.2">
      <c r="A4915">
        <v>4908</v>
      </c>
      <c r="B4915">
        <v>4380</v>
      </c>
      <c r="C4915">
        <v>15</v>
      </c>
      <c r="D4915">
        <v>49.6</v>
      </c>
      <c r="E4915">
        <v>2</v>
      </c>
    </row>
    <row r="4916" spans="1:5" x14ac:dyDescent="0.2">
      <c r="A4916">
        <v>4909</v>
      </c>
      <c r="B4916">
        <v>4381</v>
      </c>
      <c r="C4916">
        <v>15</v>
      </c>
      <c r="D4916">
        <v>49.7</v>
      </c>
      <c r="E4916">
        <v>2</v>
      </c>
    </row>
    <row r="4917" spans="1:5" x14ac:dyDescent="0.2">
      <c r="A4917">
        <v>4910</v>
      </c>
      <c r="B4917">
        <v>4381</v>
      </c>
      <c r="C4917">
        <v>15</v>
      </c>
      <c r="D4917">
        <v>49.8</v>
      </c>
      <c r="E4917">
        <v>2</v>
      </c>
    </row>
    <row r="4918" spans="1:5" x14ac:dyDescent="0.2">
      <c r="A4918">
        <v>4911</v>
      </c>
      <c r="B4918">
        <v>4381</v>
      </c>
      <c r="C4918">
        <v>15</v>
      </c>
      <c r="D4918">
        <v>49.9</v>
      </c>
      <c r="E4918">
        <v>2</v>
      </c>
    </row>
    <row r="4919" spans="1:5" x14ac:dyDescent="0.2">
      <c r="A4919">
        <v>4912</v>
      </c>
      <c r="B4919">
        <v>4381</v>
      </c>
      <c r="C4919">
        <v>15</v>
      </c>
      <c r="D4919">
        <v>49.9</v>
      </c>
      <c r="E4919">
        <v>2</v>
      </c>
    </row>
    <row r="4920" spans="1:5" x14ac:dyDescent="0.2">
      <c r="A4920">
        <v>4913</v>
      </c>
      <c r="B4920">
        <v>4382</v>
      </c>
      <c r="C4920">
        <v>15</v>
      </c>
      <c r="D4920">
        <v>50</v>
      </c>
      <c r="E4920">
        <v>2</v>
      </c>
    </row>
    <row r="4921" spans="1:5" x14ac:dyDescent="0.2">
      <c r="A4921">
        <v>4914</v>
      </c>
      <c r="B4921">
        <v>4382</v>
      </c>
      <c r="C4921">
        <v>16</v>
      </c>
      <c r="D4921">
        <v>50.1</v>
      </c>
      <c r="E4921">
        <v>2</v>
      </c>
    </row>
    <row r="4922" spans="1:5" x14ac:dyDescent="0.2">
      <c r="A4922">
        <v>4915</v>
      </c>
      <c r="B4922">
        <v>4383</v>
      </c>
      <c r="C4922">
        <v>16</v>
      </c>
      <c r="D4922">
        <v>50.2</v>
      </c>
      <c r="E4922">
        <v>2.1</v>
      </c>
    </row>
    <row r="4923" spans="1:5" x14ac:dyDescent="0.2">
      <c r="A4923">
        <v>4916</v>
      </c>
      <c r="B4923">
        <v>4383</v>
      </c>
      <c r="C4923">
        <v>16</v>
      </c>
      <c r="D4923">
        <v>50.3</v>
      </c>
      <c r="E4923">
        <v>2.1</v>
      </c>
    </row>
    <row r="4924" spans="1:5" x14ac:dyDescent="0.2">
      <c r="A4924">
        <v>4917</v>
      </c>
      <c r="B4924">
        <v>4383</v>
      </c>
      <c r="C4924">
        <v>16</v>
      </c>
      <c r="D4924">
        <v>50.4</v>
      </c>
      <c r="E4924">
        <v>2.2000000000000002</v>
      </c>
    </row>
    <row r="4925" spans="1:5" x14ac:dyDescent="0.2">
      <c r="A4925">
        <v>4918</v>
      </c>
      <c r="B4925">
        <v>4383</v>
      </c>
      <c r="C4925">
        <v>17</v>
      </c>
      <c r="D4925">
        <v>50.5</v>
      </c>
      <c r="E4925">
        <v>2.2000000000000002</v>
      </c>
    </row>
    <row r="4926" spans="1:5" x14ac:dyDescent="0.2">
      <c r="A4926">
        <v>4919</v>
      </c>
      <c r="B4926">
        <v>4384</v>
      </c>
      <c r="C4926">
        <v>17</v>
      </c>
      <c r="D4926">
        <v>50.6</v>
      </c>
      <c r="E4926">
        <v>2.2000000000000002</v>
      </c>
    </row>
    <row r="4927" spans="1:5" x14ac:dyDescent="0.2">
      <c r="A4927">
        <v>4920</v>
      </c>
      <c r="B4927">
        <v>4384</v>
      </c>
      <c r="C4927">
        <v>17</v>
      </c>
      <c r="D4927">
        <v>50.7</v>
      </c>
      <c r="E4927">
        <v>2.2000000000000002</v>
      </c>
    </row>
    <row r="4928" spans="1:5" x14ac:dyDescent="0.2">
      <c r="A4928">
        <v>4921</v>
      </c>
      <c r="B4928">
        <v>4384</v>
      </c>
      <c r="C4928">
        <v>17</v>
      </c>
      <c r="D4928">
        <v>50.8</v>
      </c>
      <c r="E4928">
        <v>2.2000000000000002</v>
      </c>
    </row>
    <row r="4929" spans="1:5" x14ac:dyDescent="0.2">
      <c r="A4929">
        <v>4922</v>
      </c>
      <c r="B4929">
        <v>4384</v>
      </c>
      <c r="C4929">
        <v>17</v>
      </c>
      <c r="D4929">
        <v>50.9</v>
      </c>
      <c r="E4929">
        <v>2.2000000000000002</v>
      </c>
    </row>
    <row r="4930" spans="1:5" x14ac:dyDescent="0.2">
      <c r="A4930">
        <v>4923</v>
      </c>
      <c r="B4930">
        <v>4384</v>
      </c>
      <c r="C4930">
        <v>16</v>
      </c>
      <c r="D4930">
        <v>51.1</v>
      </c>
      <c r="E4930">
        <v>2.1</v>
      </c>
    </row>
    <row r="4931" spans="1:5" x14ac:dyDescent="0.2">
      <c r="A4931">
        <v>4924</v>
      </c>
      <c r="B4931">
        <v>4384</v>
      </c>
      <c r="C4931">
        <v>16</v>
      </c>
      <c r="D4931">
        <v>51.2</v>
      </c>
      <c r="E4931">
        <v>2.1</v>
      </c>
    </row>
    <row r="4932" spans="1:5" x14ac:dyDescent="0.2">
      <c r="A4932">
        <v>4925</v>
      </c>
      <c r="B4932">
        <v>4383</v>
      </c>
      <c r="C4932">
        <v>16</v>
      </c>
      <c r="D4932">
        <v>51.4</v>
      </c>
      <c r="E4932">
        <v>2.1</v>
      </c>
    </row>
    <row r="4933" spans="1:5" x14ac:dyDescent="0.2">
      <c r="A4933">
        <v>4926</v>
      </c>
      <c r="B4933">
        <v>4383</v>
      </c>
      <c r="C4933">
        <v>16</v>
      </c>
      <c r="D4933">
        <v>51.5</v>
      </c>
      <c r="E4933">
        <v>2</v>
      </c>
    </row>
    <row r="4934" spans="1:5" x14ac:dyDescent="0.2">
      <c r="A4934">
        <v>4927</v>
      </c>
      <c r="B4934">
        <v>4383</v>
      </c>
      <c r="C4934">
        <v>15</v>
      </c>
      <c r="D4934">
        <v>51.7</v>
      </c>
      <c r="E4934">
        <v>2</v>
      </c>
    </row>
    <row r="4935" spans="1:5" x14ac:dyDescent="0.2">
      <c r="A4935">
        <v>4928</v>
      </c>
      <c r="B4935">
        <v>4382</v>
      </c>
      <c r="C4935">
        <v>15</v>
      </c>
      <c r="D4935">
        <v>51.9</v>
      </c>
      <c r="E4935">
        <v>2</v>
      </c>
    </row>
    <row r="4936" spans="1:5" x14ac:dyDescent="0.2">
      <c r="A4936">
        <v>4929</v>
      </c>
      <c r="B4936">
        <v>4382</v>
      </c>
      <c r="C4936">
        <v>15</v>
      </c>
      <c r="D4936">
        <v>52.1</v>
      </c>
      <c r="E4936">
        <v>2</v>
      </c>
    </row>
    <row r="4937" spans="1:5" x14ac:dyDescent="0.2">
      <c r="A4937">
        <v>4930</v>
      </c>
      <c r="B4937">
        <v>4381</v>
      </c>
      <c r="C4937">
        <v>15</v>
      </c>
      <c r="D4937">
        <v>52.3</v>
      </c>
      <c r="E4937">
        <v>2</v>
      </c>
    </row>
    <row r="4938" spans="1:5" x14ac:dyDescent="0.2">
      <c r="A4938">
        <v>4931</v>
      </c>
      <c r="B4938">
        <v>4380</v>
      </c>
      <c r="C4938">
        <v>15</v>
      </c>
      <c r="D4938">
        <v>52.5</v>
      </c>
      <c r="E4938">
        <v>2</v>
      </c>
    </row>
    <row r="4939" spans="1:5" x14ac:dyDescent="0.2">
      <c r="A4939">
        <v>4932</v>
      </c>
      <c r="B4939">
        <v>4379</v>
      </c>
      <c r="C4939">
        <v>16</v>
      </c>
      <c r="D4939">
        <v>52.8</v>
      </c>
      <c r="E4939">
        <v>2</v>
      </c>
    </row>
    <row r="4940" spans="1:5" x14ac:dyDescent="0.2">
      <c r="A4940">
        <v>4933</v>
      </c>
      <c r="B4940">
        <v>4379</v>
      </c>
      <c r="C4940">
        <v>16</v>
      </c>
      <c r="D4940">
        <v>53</v>
      </c>
      <c r="E4940">
        <v>2.1</v>
      </c>
    </row>
    <row r="4941" spans="1:5" x14ac:dyDescent="0.2">
      <c r="A4941">
        <v>4934</v>
      </c>
      <c r="B4941">
        <v>4378</v>
      </c>
      <c r="C4941">
        <v>16</v>
      </c>
      <c r="D4941">
        <v>53.3</v>
      </c>
      <c r="E4941">
        <v>2.1</v>
      </c>
    </row>
    <row r="4942" spans="1:5" x14ac:dyDescent="0.2">
      <c r="A4942">
        <v>4935</v>
      </c>
      <c r="B4942">
        <v>4377</v>
      </c>
      <c r="C4942">
        <v>16</v>
      </c>
      <c r="D4942">
        <v>53.5</v>
      </c>
      <c r="E4942">
        <v>2.1</v>
      </c>
    </row>
    <row r="4943" spans="1:5" x14ac:dyDescent="0.2">
      <c r="A4943">
        <v>4936</v>
      </c>
      <c r="B4943">
        <v>4375</v>
      </c>
      <c r="C4943">
        <v>16</v>
      </c>
      <c r="D4943">
        <v>53.8</v>
      </c>
      <c r="E4943">
        <v>2.1</v>
      </c>
    </row>
    <row r="4944" spans="1:5" x14ac:dyDescent="0.2">
      <c r="A4944">
        <v>4937</v>
      </c>
      <c r="B4944">
        <v>4374</v>
      </c>
      <c r="C4944">
        <v>16</v>
      </c>
      <c r="D4944">
        <v>54.1</v>
      </c>
      <c r="E4944">
        <v>2.1</v>
      </c>
    </row>
    <row r="4945" spans="1:5" x14ac:dyDescent="0.2">
      <c r="A4945">
        <v>4938</v>
      </c>
      <c r="B4945">
        <v>4373</v>
      </c>
      <c r="C4945">
        <v>16</v>
      </c>
      <c r="D4945">
        <v>54.4</v>
      </c>
      <c r="E4945">
        <v>2</v>
      </c>
    </row>
    <row r="4946" spans="1:5" x14ac:dyDescent="0.2">
      <c r="A4946">
        <v>4939</v>
      </c>
      <c r="B4946">
        <v>4371</v>
      </c>
      <c r="C4946">
        <v>15</v>
      </c>
      <c r="D4946">
        <v>54.7</v>
      </c>
      <c r="E4946">
        <v>2</v>
      </c>
    </row>
    <row r="4947" spans="1:5" x14ac:dyDescent="0.2">
      <c r="A4947">
        <v>4940</v>
      </c>
      <c r="B4947">
        <v>4370</v>
      </c>
      <c r="C4947">
        <v>15</v>
      </c>
      <c r="D4947">
        <v>55</v>
      </c>
      <c r="E4947">
        <v>2</v>
      </c>
    </row>
    <row r="4948" spans="1:5" x14ac:dyDescent="0.2">
      <c r="A4948">
        <v>4941</v>
      </c>
      <c r="B4948">
        <v>4369</v>
      </c>
      <c r="C4948">
        <v>15</v>
      </c>
      <c r="D4948">
        <v>55.3</v>
      </c>
      <c r="E4948">
        <v>2</v>
      </c>
    </row>
    <row r="4949" spans="1:5" x14ac:dyDescent="0.2">
      <c r="A4949">
        <v>4942</v>
      </c>
      <c r="B4949">
        <v>4367</v>
      </c>
      <c r="C4949">
        <v>15</v>
      </c>
      <c r="D4949">
        <v>55.6</v>
      </c>
      <c r="E4949">
        <v>2</v>
      </c>
    </row>
    <row r="4950" spans="1:5" x14ac:dyDescent="0.2">
      <c r="A4950">
        <v>4943</v>
      </c>
      <c r="B4950">
        <v>4366</v>
      </c>
      <c r="C4950">
        <v>15</v>
      </c>
      <c r="D4950">
        <v>55.9</v>
      </c>
      <c r="E4950">
        <v>2</v>
      </c>
    </row>
    <row r="4951" spans="1:5" x14ac:dyDescent="0.2">
      <c r="A4951">
        <v>4944</v>
      </c>
      <c r="B4951">
        <v>4365</v>
      </c>
      <c r="C4951">
        <v>15</v>
      </c>
      <c r="D4951">
        <v>56.2</v>
      </c>
      <c r="E4951">
        <v>2</v>
      </c>
    </row>
    <row r="4952" spans="1:5" x14ac:dyDescent="0.2">
      <c r="A4952">
        <v>4945</v>
      </c>
      <c r="B4952">
        <v>4364</v>
      </c>
      <c r="C4952">
        <v>15</v>
      </c>
      <c r="D4952">
        <v>56.4</v>
      </c>
      <c r="E4952">
        <v>2</v>
      </c>
    </row>
    <row r="4953" spans="1:5" x14ac:dyDescent="0.2">
      <c r="A4953">
        <v>4946</v>
      </c>
      <c r="B4953">
        <v>4364</v>
      </c>
      <c r="C4953">
        <v>16</v>
      </c>
      <c r="D4953">
        <v>56.6</v>
      </c>
      <c r="E4953">
        <v>2.1</v>
      </c>
    </row>
    <row r="4954" spans="1:5" x14ac:dyDescent="0.2">
      <c r="A4954">
        <v>4947</v>
      </c>
      <c r="B4954">
        <v>4363</v>
      </c>
      <c r="C4954">
        <v>16</v>
      </c>
      <c r="D4954">
        <v>56.8</v>
      </c>
      <c r="E4954">
        <v>2.1</v>
      </c>
    </row>
    <row r="4955" spans="1:5" x14ac:dyDescent="0.2">
      <c r="A4955">
        <v>4948</v>
      </c>
      <c r="B4955">
        <v>4363</v>
      </c>
      <c r="C4955">
        <v>16</v>
      </c>
      <c r="D4955">
        <v>57</v>
      </c>
      <c r="E4955">
        <v>2.1</v>
      </c>
    </row>
    <row r="4956" spans="1:5" x14ac:dyDescent="0.2">
      <c r="A4956">
        <v>4949</v>
      </c>
      <c r="B4956">
        <v>4363</v>
      </c>
      <c r="C4956">
        <v>16</v>
      </c>
      <c r="D4956">
        <v>57.1</v>
      </c>
      <c r="E4956">
        <v>2.1</v>
      </c>
    </row>
    <row r="4957" spans="1:5" x14ac:dyDescent="0.2">
      <c r="A4957">
        <v>4950</v>
      </c>
      <c r="B4957">
        <v>4364</v>
      </c>
      <c r="C4957">
        <v>16</v>
      </c>
      <c r="D4957">
        <v>57.1</v>
      </c>
      <c r="E4957">
        <v>2.1</v>
      </c>
    </row>
    <row r="4958" spans="1:5" x14ac:dyDescent="0.2">
      <c r="A4958">
        <v>4951</v>
      </c>
      <c r="B4958">
        <v>4365</v>
      </c>
      <c r="C4958">
        <v>16</v>
      </c>
      <c r="D4958">
        <v>57.1</v>
      </c>
      <c r="E4958">
        <v>2.1</v>
      </c>
    </row>
    <row r="4959" spans="1:5" x14ac:dyDescent="0.2">
      <c r="A4959">
        <v>4952</v>
      </c>
      <c r="B4959">
        <v>4366</v>
      </c>
      <c r="C4959">
        <v>16</v>
      </c>
      <c r="D4959">
        <v>57.1</v>
      </c>
      <c r="E4959">
        <v>2.1</v>
      </c>
    </row>
    <row r="4960" spans="1:5" x14ac:dyDescent="0.2">
      <c r="A4960">
        <v>4953</v>
      </c>
      <c r="B4960">
        <v>4368</v>
      </c>
      <c r="C4960">
        <v>15</v>
      </c>
      <c r="D4960">
        <v>57</v>
      </c>
      <c r="E4960">
        <v>2</v>
      </c>
    </row>
    <row r="4961" spans="1:5" x14ac:dyDescent="0.2">
      <c r="A4961">
        <v>4954</v>
      </c>
      <c r="B4961">
        <v>4370</v>
      </c>
      <c r="C4961">
        <v>15</v>
      </c>
      <c r="D4961">
        <v>56.9</v>
      </c>
      <c r="E4961">
        <v>2</v>
      </c>
    </row>
    <row r="4962" spans="1:5" x14ac:dyDescent="0.2">
      <c r="A4962">
        <v>4955</v>
      </c>
      <c r="B4962">
        <v>4372</v>
      </c>
      <c r="C4962">
        <v>15</v>
      </c>
      <c r="D4962">
        <v>56.7</v>
      </c>
      <c r="E4962">
        <v>2</v>
      </c>
    </row>
    <row r="4963" spans="1:5" x14ac:dyDescent="0.2">
      <c r="A4963">
        <v>4956</v>
      </c>
      <c r="B4963">
        <v>4374</v>
      </c>
      <c r="C4963">
        <v>15</v>
      </c>
      <c r="D4963">
        <v>56.5</v>
      </c>
      <c r="E4963">
        <v>1.9</v>
      </c>
    </row>
    <row r="4964" spans="1:5" x14ac:dyDescent="0.2">
      <c r="A4964">
        <v>4957</v>
      </c>
      <c r="B4964">
        <v>4376</v>
      </c>
      <c r="C4964">
        <v>15</v>
      </c>
      <c r="D4964">
        <v>56.4</v>
      </c>
      <c r="E4964">
        <v>1.9</v>
      </c>
    </row>
    <row r="4965" spans="1:5" x14ac:dyDescent="0.2">
      <c r="A4965">
        <v>4958</v>
      </c>
      <c r="B4965">
        <v>4379</v>
      </c>
      <c r="C4965">
        <v>15</v>
      </c>
      <c r="D4965">
        <v>56.2</v>
      </c>
      <c r="E4965">
        <v>1.9</v>
      </c>
    </row>
    <row r="4966" spans="1:5" x14ac:dyDescent="0.2">
      <c r="A4966">
        <v>4959</v>
      </c>
      <c r="B4966">
        <v>4381</v>
      </c>
      <c r="C4966">
        <v>15</v>
      </c>
      <c r="D4966">
        <v>56</v>
      </c>
      <c r="E4966">
        <v>2</v>
      </c>
    </row>
    <row r="4967" spans="1:5" x14ac:dyDescent="0.2">
      <c r="A4967">
        <v>4960</v>
      </c>
      <c r="B4967">
        <v>4384</v>
      </c>
      <c r="C4967">
        <v>15</v>
      </c>
      <c r="D4967">
        <v>55.8</v>
      </c>
      <c r="E4967">
        <v>2</v>
      </c>
    </row>
    <row r="4968" spans="1:5" x14ac:dyDescent="0.2">
      <c r="A4968">
        <v>4961</v>
      </c>
      <c r="B4968">
        <v>4386</v>
      </c>
      <c r="C4968">
        <v>15</v>
      </c>
      <c r="D4968">
        <v>55.6</v>
      </c>
      <c r="E4968">
        <v>2</v>
      </c>
    </row>
    <row r="4969" spans="1:5" x14ac:dyDescent="0.2">
      <c r="A4969">
        <v>4962</v>
      </c>
      <c r="B4969">
        <v>4388</v>
      </c>
      <c r="C4969">
        <v>15</v>
      </c>
      <c r="D4969">
        <v>55.4</v>
      </c>
      <c r="E4969">
        <v>2</v>
      </c>
    </row>
    <row r="4970" spans="1:5" x14ac:dyDescent="0.2">
      <c r="A4970">
        <v>4963</v>
      </c>
      <c r="B4970">
        <v>4390</v>
      </c>
      <c r="C4970">
        <v>15</v>
      </c>
      <c r="D4970">
        <v>55.3</v>
      </c>
      <c r="E4970">
        <v>2</v>
      </c>
    </row>
    <row r="4971" spans="1:5" x14ac:dyDescent="0.2">
      <c r="A4971">
        <v>4964</v>
      </c>
      <c r="B4971">
        <v>4392</v>
      </c>
      <c r="C4971">
        <v>15</v>
      </c>
      <c r="D4971">
        <v>55.2</v>
      </c>
      <c r="E4971">
        <v>2</v>
      </c>
    </row>
    <row r="4972" spans="1:5" x14ac:dyDescent="0.2">
      <c r="A4972">
        <v>4965</v>
      </c>
      <c r="B4972">
        <v>4394</v>
      </c>
      <c r="C4972">
        <v>15</v>
      </c>
      <c r="D4972">
        <v>55.1</v>
      </c>
      <c r="E4972">
        <v>2</v>
      </c>
    </row>
    <row r="4973" spans="1:5" x14ac:dyDescent="0.2">
      <c r="A4973">
        <v>4966</v>
      </c>
      <c r="B4973">
        <v>4396</v>
      </c>
      <c r="C4973">
        <v>15</v>
      </c>
      <c r="D4973">
        <v>55</v>
      </c>
      <c r="E4973">
        <v>2</v>
      </c>
    </row>
    <row r="4974" spans="1:5" x14ac:dyDescent="0.2">
      <c r="A4974">
        <v>4967</v>
      </c>
      <c r="B4974">
        <v>4397</v>
      </c>
      <c r="C4974">
        <v>15</v>
      </c>
      <c r="D4974">
        <v>54.9</v>
      </c>
      <c r="E4974">
        <v>1.9</v>
      </c>
    </row>
    <row r="4975" spans="1:5" x14ac:dyDescent="0.2">
      <c r="A4975">
        <v>4968</v>
      </c>
      <c r="B4975">
        <v>4398</v>
      </c>
      <c r="C4975">
        <v>15</v>
      </c>
      <c r="D4975">
        <v>54.8</v>
      </c>
      <c r="E4975">
        <v>1.9</v>
      </c>
    </row>
    <row r="4976" spans="1:5" x14ac:dyDescent="0.2">
      <c r="A4976">
        <v>4969</v>
      </c>
      <c r="B4976">
        <v>4400</v>
      </c>
      <c r="C4976">
        <v>15</v>
      </c>
      <c r="D4976">
        <v>54.8</v>
      </c>
      <c r="E4976">
        <v>1.9</v>
      </c>
    </row>
    <row r="4977" spans="1:5" x14ac:dyDescent="0.2">
      <c r="A4977">
        <v>4970</v>
      </c>
      <c r="B4977">
        <v>4402</v>
      </c>
      <c r="C4977">
        <v>15</v>
      </c>
      <c r="D4977">
        <v>54.7</v>
      </c>
      <c r="E4977">
        <v>1.9</v>
      </c>
    </row>
    <row r="4978" spans="1:5" x14ac:dyDescent="0.2">
      <c r="A4978">
        <v>4971</v>
      </c>
      <c r="B4978">
        <v>4403</v>
      </c>
      <c r="C4978">
        <v>15</v>
      </c>
      <c r="D4978">
        <v>54.6</v>
      </c>
      <c r="E4978">
        <v>2</v>
      </c>
    </row>
    <row r="4979" spans="1:5" x14ac:dyDescent="0.2">
      <c r="A4979">
        <v>4972</v>
      </c>
      <c r="B4979">
        <v>4405</v>
      </c>
      <c r="C4979">
        <v>15</v>
      </c>
      <c r="D4979">
        <v>54.4</v>
      </c>
      <c r="E4979">
        <v>2</v>
      </c>
    </row>
    <row r="4980" spans="1:5" x14ac:dyDescent="0.2">
      <c r="A4980">
        <v>4973</v>
      </c>
      <c r="B4980">
        <v>4408</v>
      </c>
      <c r="C4980">
        <v>15</v>
      </c>
      <c r="D4980">
        <v>54.3</v>
      </c>
      <c r="E4980">
        <v>2</v>
      </c>
    </row>
    <row r="4981" spans="1:5" x14ac:dyDescent="0.2">
      <c r="A4981">
        <v>4974</v>
      </c>
      <c r="B4981">
        <v>4410</v>
      </c>
      <c r="C4981">
        <v>15</v>
      </c>
      <c r="D4981">
        <v>54.1</v>
      </c>
      <c r="E4981">
        <v>2</v>
      </c>
    </row>
    <row r="4982" spans="1:5" x14ac:dyDescent="0.2">
      <c r="A4982">
        <v>4975</v>
      </c>
      <c r="B4982">
        <v>4413</v>
      </c>
      <c r="C4982">
        <v>15</v>
      </c>
      <c r="D4982">
        <v>53.8</v>
      </c>
      <c r="E4982">
        <v>1.9</v>
      </c>
    </row>
    <row r="4983" spans="1:5" x14ac:dyDescent="0.2">
      <c r="A4983">
        <v>4976</v>
      </c>
      <c r="B4983">
        <v>4416</v>
      </c>
      <c r="C4983">
        <v>15</v>
      </c>
      <c r="D4983">
        <v>53.5</v>
      </c>
      <c r="E4983">
        <v>1.9</v>
      </c>
    </row>
    <row r="4984" spans="1:5" x14ac:dyDescent="0.2">
      <c r="A4984">
        <v>4977</v>
      </c>
      <c r="B4984">
        <v>4420</v>
      </c>
      <c r="C4984">
        <v>14</v>
      </c>
      <c r="D4984">
        <v>53.2</v>
      </c>
      <c r="E4984">
        <v>1.9</v>
      </c>
    </row>
    <row r="4985" spans="1:5" x14ac:dyDescent="0.2">
      <c r="A4985">
        <v>4978</v>
      </c>
      <c r="B4985">
        <v>4423</v>
      </c>
      <c r="C4985">
        <v>15</v>
      </c>
      <c r="D4985">
        <v>52.9</v>
      </c>
      <c r="E4985">
        <v>1.9</v>
      </c>
    </row>
    <row r="4986" spans="1:5" x14ac:dyDescent="0.2">
      <c r="A4986">
        <v>4979</v>
      </c>
      <c r="B4986">
        <v>4426</v>
      </c>
      <c r="C4986">
        <v>15</v>
      </c>
      <c r="D4986">
        <v>52.6</v>
      </c>
      <c r="E4986">
        <v>1.9</v>
      </c>
    </row>
    <row r="4987" spans="1:5" x14ac:dyDescent="0.2">
      <c r="A4987">
        <v>4980</v>
      </c>
      <c r="B4987">
        <v>4429</v>
      </c>
      <c r="C4987">
        <v>15</v>
      </c>
      <c r="D4987">
        <v>52.4</v>
      </c>
      <c r="E4987">
        <v>2</v>
      </c>
    </row>
    <row r="4988" spans="1:5" x14ac:dyDescent="0.2">
      <c r="A4988">
        <v>4981</v>
      </c>
      <c r="B4988">
        <v>4432</v>
      </c>
      <c r="C4988">
        <v>15</v>
      </c>
      <c r="D4988">
        <v>52.2</v>
      </c>
      <c r="E4988">
        <v>2</v>
      </c>
    </row>
    <row r="4989" spans="1:5" x14ac:dyDescent="0.2">
      <c r="A4989">
        <v>4982</v>
      </c>
      <c r="B4989">
        <v>4434</v>
      </c>
      <c r="C4989">
        <v>15</v>
      </c>
      <c r="D4989">
        <v>52</v>
      </c>
      <c r="E4989">
        <v>2</v>
      </c>
    </row>
    <row r="4990" spans="1:5" x14ac:dyDescent="0.2">
      <c r="A4990">
        <v>4983</v>
      </c>
      <c r="B4990">
        <v>4435</v>
      </c>
      <c r="C4990">
        <v>15</v>
      </c>
      <c r="D4990">
        <v>51.9</v>
      </c>
      <c r="E4990">
        <v>2</v>
      </c>
    </row>
    <row r="4991" spans="1:5" x14ac:dyDescent="0.2">
      <c r="A4991">
        <v>4984</v>
      </c>
      <c r="B4991">
        <v>4436</v>
      </c>
      <c r="C4991">
        <v>15</v>
      </c>
      <c r="D4991">
        <v>51.9</v>
      </c>
      <c r="E4991">
        <v>2</v>
      </c>
    </row>
    <row r="4992" spans="1:5" x14ac:dyDescent="0.2">
      <c r="A4992">
        <v>4985</v>
      </c>
      <c r="B4992">
        <v>4437</v>
      </c>
      <c r="C4992">
        <v>15</v>
      </c>
      <c r="D4992">
        <v>51.9</v>
      </c>
      <c r="E4992">
        <v>1.9</v>
      </c>
    </row>
    <row r="4993" spans="1:5" x14ac:dyDescent="0.2">
      <c r="A4993">
        <v>4986</v>
      </c>
      <c r="B4993">
        <v>4438</v>
      </c>
      <c r="C4993">
        <v>15</v>
      </c>
      <c r="D4993">
        <v>52</v>
      </c>
      <c r="E4993">
        <v>1.9</v>
      </c>
    </row>
    <row r="4994" spans="1:5" x14ac:dyDescent="0.2">
      <c r="A4994">
        <v>4987</v>
      </c>
      <c r="B4994">
        <v>4438</v>
      </c>
      <c r="C4994">
        <v>15</v>
      </c>
      <c r="D4994">
        <v>52.1</v>
      </c>
      <c r="E4994">
        <v>1.9</v>
      </c>
    </row>
    <row r="4995" spans="1:5" x14ac:dyDescent="0.2">
      <c r="A4995">
        <v>4988</v>
      </c>
      <c r="B4995">
        <v>4438</v>
      </c>
      <c r="C4995">
        <v>15</v>
      </c>
      <c r="D4995">
        <v>52.2</v>
      </c>
      <c r="E4995">
        <v>1.9</v>
      </c>
    </row>
    <row r="4996" spans="1:5" x14ac:dyDescent="0.2">
      <c r="A4996">
        <v>4989</v>
      </c>
      <c r="B4996">
        <v>4438</v>
      </c>
      <c r="C4996">
        <v>15</v>
      </c>
      <c r="D4996">
        <v>52.3</v>
      </c>
      <c r="E4996">
        <v>2</v>
      </c>
    </row>
    <row r="4997" spans="1:5" x14ac:dyDescent="0.2">
      <c r="A4997">
        <v>4990</v>
      </c>
      <c r="B4997">
        <v>4439</v>
      </c>
      <c r="C4997">
        <v>15</v>
      </c>
      <c r="D4997">
        <v>52.4</v>
      </c>
      <c r="E4997">
        <v>2</v>
      </c>
    </row>
    <row r="4998" spans="1:5" x14ac:dyDescent="0.2">
      <c r="A4998">
        <v>4991</v>
      </c>
      <c r="B4998">
        <v>4439</v>
      </c>
      <c r="C4998">
        <v>15</v>
      </c>
      <c r="D4998">
        <v>52.5</v>
      </c>
      <c r="E4998">
        <v>2</v>
      </c>
    </row>
    <row r="4999" spans="1:5" x14ac:dyDescent="0.2">
      <c r="A4999">
        <v>4992</v>
      </c>
      <c r="B4999">
        <v>4439</v>
      </c>
      <c r="C4999">
        <v>15</v>
      </c>
      <c r="D4999">
        <v>52.6</v>
      </c>
      <c r="E4999">
        <v>2</v>
      </c>
    </row>
    <row r="5000" spans="1:5" x14ac:dyDescent="0.2">
      <c r="A5000">
        <v>4993</v>
      </c>
      <c r="B5000">
        <v>4439</v>
      </c>
      <c r="C5000">
        <v>15</v>
      </c>
      <c r="D5000">
        <v>52.7</v>
      </c>
      <c r="E5000">
        <v>2</v>
      </c>
    </row>
    <row r="5001" spans="1:5" x14ac:dyDescent="0.2">
      <c r="A5001">
        <v>4994</v>
      </c>
      <c r="B5001">
        <v>4439</v>
      </c>
      <c r="C5001">
        <v>15</v>
      </c>
      <c r="D5001">
        <v>52.8</v>
      </c>
      <c r="E5001">
        <v>1.9</v>
      </c>
    </row>
    <row r="5002" spans="1:5" x14ac:dyDescent="0.2">
      <c r="A5002">
        <v>4995</v>
      </c>
      <c r="B5002">
        <v>4440</v>
      </c>
      <c r="C5002">
        <v>15</v>
      </c>
      <c r="D5002">
        <v>52.9</v>
      </c>
      <c r="E5002">
        <v>1.9</v>
      </c>
    </row>
    <row r="5003" spans="1:5" x14ac:dyDescent="0.2">
      <c r="A5003">
        <v>4996</v>
      </c>
      <c r="B5003">
        <v>4440</v>
      </c>
      <c r="C5003">
        <v>15</v>
      </c>
      <c r="D5003">
        <v>53</v>
      </c>
      <c r="E5003">
        <v>1.9</v>
      </c>
    </row>
    <row r="5004" spans="1:5" x14ac:dyDescent="0.2">
      <c r="A5004">
        <v>4997</v>
      </c>
      <c r="B5004">
        <v>4440</v>
      </c>
      <c r="C5004">
        <v>15</v>
      </c>
      <c r="D5004">
        <v>53.1</v>
      </c>
      <c r="E5004">
        <v>1.9</v>
      </c>
    </row>
    <row r="5005" spans="1:5" x14ac:dyDescent="0.2">
      <c r="A5005">
        <v>4998</v>
      </c>
      <c r="B5005">
        <v>4440</v>
      </c>
      <c r="C5005">
        <v>15</v>
      </c>
      <c r="D5005">
        <v>53.3</v>
      </c>
      <c r="E5005">
        <v>1.9</v>
      </c>
    </row>
    <row r="5006" spans="1:5" x14ac:dyDescent="0.2">
      <c r="A5006">
        <v>4999</v>
      </c>
      <c r="B5006">
        <v>4439</v>
      </c>
      <c r="C5006">
        <v>15</v>
      </c>
      <c r="D5006">
        <v>53.5</v>
      </c>
      <c r="E5006">
        <v>2</v>
      </c>
    </row>
    <row r="5007" spans="1:5" x14ac:dyDescent="0.2">
      <c r="A5007">
        <v>5000</v>
      </c>
      <c r="B5007">
        <v>4439</v>
      </c>
      <c r="C5007">
        <v>15</v>
      </c>
      <c r="D5007">
        <v>53.7</v>
      </c>
      <c r="E5007">
        <v>2</v>
      </c>
    </row>
    <row r="5008" spans="1:5" x14ac:dyDescent="0.2">
      <c r="A5008">
        <v>5005</v>
      </c>
      <c r="B5008">
        <v>4432</v>
      </c>
      <c r="C5008">
        <v>16</v>
      </c>
      <c r="D5008">
        <v>55.2</v>
      </c>
      <c r="E5008">
        <v>2.1</v>
      </c>
    </row>
    <row r="5009" spans="1:5" x14ac:dyDescent="0.2">
      <c r="A5009">
        <v>5010</v>
      </c>
      <c r="B5009">
        <v>4421</v>
      </c>
      <c r="C5009">
        <v>15</v>
      </c>
      <c r="D5009">
        <v>57.3</v>
      </c>
      <c r="E5009">
        <v>2</v>
      </c>
    </row>
    <row r="5010" spans="1:5" x14ac:dyDescent="0.2">
      <c r="A5010">
        <v>5015</v>
      </c>
      <c r="B5010">
        <v>4411</v>
      </c>
      <c r="C5010">
        <v>16</v>
      </c>
      <c r="D5010">
        <v>59.2</v>
      </c>
      <c r="E5010">
        <v>2.1</v>
      </c>
    </row>
    <row r="5011" spans="1:5" x14ac:dyDescent="0.2">
      <c r="A5011">
        <v>5020</v>
      </c>
      <c r="B5011">
        <v>4409</v>
      </c>
      <c r="C5011">
        <v>15</v>
      </c>
      <c r="D5011">
        <v>60.1</v>
      </c>
      <c r="E5011">
        <v>2</v>
      </c>
    </row>
    <row r="5012" spans="1:5" x14ac:dyDescent="0.2">
      <c r="A5012">
        <v>5025</v>
      </c>
      <c r="B5012">
        <v>4414</v>
      </c>
      <c r="C5012">
        <v>15</v>
      </c>
      <c r="D5012">
        <v>60.1</v>
      </c>
      <c r="E5012">
        <v>2</v>
      </c>
    </row>
    <row r="5013" spans="1:5" x14ac:dyDescent="0.2">
      <c r="A5013">
        <v>5030</v>
      </c>
      <c r="B5013">
        <v>4421</v>
      </c>
      <c r="C5013">
        <v>16</v>
      </c>
      <c r="D5013">
        <v>59.9</v>
      </c>
      <c r="E5013">
        <v>2.1</v>
      </c>
    </row>
    <row r="5014" spans="1:5" x14ac:dyDescent="0.2">
      <c r="A5014">
        <v>5035</v>
      </c>
      <c r="B5014">
        <v>4427</v>
      </c>
      <c r="C5014">
        <v>16</v>
      </c>
      <c r="D5014">
        <v>59.6</v>
      </c>
      <c r="E5014">
        <v>2.1</v>
      </c>
    </row>
    <row r="5015" spans="1:5" x14ac:dyDescent="0.2">
      <c r="A5015">
        <v>5040</v>
      </c>
      <c r="B5015">
        <v>4436</v>
      </c>
      <c r="C5015">
        <v>16</v>
      </c>
      <c r="D5015">
        <v>59.1</v>
      </c>
      <c r="E5015">
        <v>2.1</v>
      </c>
    </row>
    <row r="5016" spans="1:5" x14ac:dyDescent="0.2">
      <c r="A5016">
        <v>5045</v>
      </c>
      <c r="B5016">
        <v>4451</v>
      </c>
      <c r="C5016">
        <v>15</v>
      </c>
      <c r="D5016">
        <v>57.8</v>
      </c>
      <c r="E5016">
        <v>2</v>
      </c>
    </row>
    <row r="5017" spans="1:5" x14ac:dyDescent="0.2">
      <c r="A5017">
        <v>5050</v>
      </c>
      <c r="B5017">
        <v>4470</v>
      </c>
      <c r="C5017">
        <v>16</v>
      </c>
      <c r="D5017">
        <v>55.9</v>
      </c>
      <c r="E5017">
        <v>2.1</v>
      </c>
    </row>
    <row r="5018" spans="1:5" x14ac:dyDescent="0.2">
      <c r="A5018">
        <v>5055</v>
      </c>
      <c r="B5018">
        <v>4489</v>
      </c>
      <c r="C5018">
        <v>16</v>
      </c>
      <c r="D5018">
        <v>54.1</v>
      </c>
      <c r="E5018">
        <v>2</v>
      </c>
    </row>
    <row r="5019" spans="1:5" x14ac:dyDescent="0.2">
      <c r="A5019">
        <v>5060</v>
      </c>
      <c r="B5019">
        <v>4499</v>
      </c>
      <c r="C5019">
        <v>16</v>
      </c>
      <c r="D5019">
        <v>53.4</v>
      </c>
      <c r="E5019">
        <v>2.1</v>
      </c>
    </row>
    <row r="5020" spans="1:5" x14ac:dyDescent="0.2">
      <c r="A5020">
        <v>5065</v>
      </c>
      <c r="B5020">
        <v>4500</v>
      </c>
      <c r="C5020">
        <v>16</v>
      </c>
      <c r="D5020">
        <v>53.9</v>
      </c>
      <c r="E5020">
        <v>2.1</v>
      </c>
    </row>
    <row r="5021" spans="1:5" x14ac:dyDescent="0.2">
      <c r="A5021">
        <v>5070</v>
      </c>
      <c r="B5021">
        <v>4503</v>
      </c>
      <c r="C5021">
        <v>16</v>
      </c>
      <c r="D5021">
        <v>54.1</v>
      </c>
      <c r="E5021">
        <v>2.1</v>
      </c>
    </row>
    <row r="5022" spans="1:5" x14ac:dyDescent="0.2">
      <c r="A5022">
        <v>5075</v>
      </c>
      <c r="B5022">
        <v>4506</v>
      </c>
      <c r="C5022">
        <v>16</v>
      </c>
      <c r="D5022">
        <v>54.4</v>
      </c>
      <c r="E5022">
        <v>2.1</v>
      </c>
    </row>
    <row r="5023" spans="1:5" x14ac:dyDescent="0.2">
      <c r="A5023">
        <v>5080</v>
      </c>
      <c r="B5023">
        <v>4506</v>
      </c>
      <c r="C5023">
        <v>16</v>
      </c>
      <c r="D5023">
        <v>55</v>
      </c>
      <c r="E5023">
        <v>2.2000000000000002</v>
      </c>
    </row>
    <row r="5024" spans="1:5" x14ac:dyDescent="0.2">
      <c r="A5024">
        <v>5085</v>
      </c>
      <c r="B5024">
        <v>4510</v>
      </c>
      <c r="C5024">
        <v>16</v>
      </c>
      <c r="D5024">
        <v>55.2</v>
      </c>
      <c r="E5024">
        <v>2.1</v>
      </c>
    </row>
    <row r="5025" spans="1:5" x14ac:dyDescent="0.2">
      <c r="A5025">
        <v>5090</v>
      </c>
      <c r="B5025">
        <v>4514</v>
      </c>
      <c r="C5025">
        <v>16</v>
      </c>
      <c r="D5025">
        <v>55.3</v>
      </c>
      <c r="E5025">
        <v>2.1</v>
      </c>
    </row>
    <row r="5026" spans="1:5" x14ac:dyDescent="0.2">
      <c r="A5026">
        <v>5095</v>
      </c>
      <c r="B5026">
        <v>4514</v>
      </c>
      <c r="C5026">
        <v>15</v>
      </c>
      <c r="D5026">
        <v>55.9</v>
      </c>
      <c r="E5026">
        <v>2</v>
      </c>
    </row>
    <row r="5027" spans="1:5" x14ac:dyDescent="0.2">
      <c r="A5027">
        <v>5100</v>
      </c>
      <c r="B5027">
        <v>4507</v>
      </c>
      <c r="C5027">
        <v>16</v>
      </c>
      <c r="D5027">
        <v>57.4</v>
      </c>
      <c r="E5027">
        <v>2.1</v>
      </c>
    </row>
    <row r="5028" spans="1:5" x14ac:dyDescent="0.2">
      <c r="A5028">
        <v>5105</v>
      </c>
      <c r="B5028">
        <v>4496</v>
      </c>
      <c r="C5028">
        <v>15</v>
      </c>
      <c r="D5028">
        <v>59.5</v>
      </c>
      <c r="E5028">
        <v>2</v>
      </c>
    </row>
    <row r="5029" spans="1:5" x14ac:dyDescent="0.2">
      <c r="A5029">
        <v>5110</v>
      </c>
      <c r="B5029">
        <v>4486</v>
      </c>
      <c r="C5029">
        <v>16</v>
      </c>
      <c r="D5029">
        <v>61.5</v>
      </c>
      <c r="E5029">
        <v>2.1</v>
      </c>
    </row>
    <row r="5030" spans="1:5" x14ac:dyDescent="0.2">
      <c r="A5030">
        <v>5115</v>
      </c>
      <c r="B5030">
        <v>4482</v>
      </c>
      <c r="C5030">
        <v>16</v>
      </c>
      <c r="D5030">
        <v>62.7</v>
      </c>
      <c r="E5030">
        <v>2.1</v>
      </c>
    </row>
    <row r="5031" spans="1:5" x14ac:dyDescent="0.2">
      <c r="A5031">
        <v>5120</v>
      </c>
      <c r="B5031">
        <v>4482</v>
      </c>
      <c r="C5031">
        <v>15</v>
      </c>
      <c r="D5031">
        <v>63.3</v>
      </c>
      <c r="E5031">
        <v>2</v>
      </c>
    </row>
    <row r="5032" spans="1:5" x14ac:dyDescent="0.2">
      <c r="A5032">
        <v>5125</v>
      </c>
      <c r="B5032">
        <v>4487</v>
      </c>
      <c r="C5032">
        <v>15</v>
      </c>
      <c r="D5032">
        <v>63.3</v>
      </c>
      <c r="E5032">
        <v>2</v>
      </c>
    </row>
    <row r="5033" spans="1:5" x14ac:dyDescent="0.2">
      <c r="A5033">
        <v>5130</v>
      </c>
      <c r="B5033">
        <v>4495</v>
      </c>
      <c r="C5033">
        <v>16</v>
      </c>
      <c r="D5033">
        <v>62.9</v>
      </c>
      <c r="E5033">
        <v>2.1</v>
      </c>
    </row>
    <row r="5034" spans="1:5" x14ac:dyDescent="0.2">
      <c r="A5034">
        <v>5135</v>
      </c>
      <c r="B5034">
        <v>4503</v>
      </c>
      <c r="C5034">
        <v>15</v>
      </c>
      <c r="D5034">
        <v>62.4</v>
      </c>
      <c r="E5034">
        <v>2</v>
      </c>
    </row>
    <row r="5035" spans="1:5" x14ac:dyDescent="0.2">
      <c r="A5035">
        <v>5140</v>
      </c>
      <c r="B5035">
        <v>4514</v>
      </c>
      <c r="C5035">
        <v>16</v>
      </c>
      <c r="D5035">
        <v>61.7</v>
      </c>
      <c r="E5035">
        <v>2.1</v>
      </c>
    </row>
    <row r="5036" spans="1:5" x14ac:dyDescent="0.2">
      <c r="A5036">
        <v>5145</v>
      </c>
      <c r="B5036">
        <v>4524</v>
      </c>
      <c r="C5036">
        <v>15</v>
      </c>
      <c r="D5036">
        <v>60.9</v>
      </c>
      <c r="E5036">
        <v>2</v>
      </c>
    </row>
    <row r="5037" spans="1:5" x14ac:dyDescent="0.2">
      <c r="A5037">
        <v>5150</v>
      </c>
      <c r="B5037">
        <v>4529</v>
      </c>
      <c r="C5037">
        <v>14</v>
      </c>
      <c r="D5037">
        <v>60.9</v>
      </c>
      <c r="E5037">
        <v>1.9</v>
      </c>
    </row>
    <row r="5038" spans="1:5" x14ac:dyDescent="0.2">
      <c r="A5038">
        <v>5155</v>
      </c>
      <c r="B5038">
        <v>4526</v>
      </c>
      <c r="C5038">
        <v>14</v>
      </c>
      <c r="D5038">
        <v>62</v>
      </c>
      <c r="E5038">
        <v>1.9</v>
      </c>
    </row>
    <row r="5039" spans="1:5" x14ac:dyDescent="0.2">
      <c r="A5039">
        <v>5160</v>
      </c>
      <c r="B5039">
        <v>4518</v>
      </c>
      <c r="C5039">
        <v>15</v>
      </c>
      <c r="D5039">
        <v>63.7</v>
      </c>
      <c r="E5039">
        <v>1.9</v>
      </c>
    </row>
    <row r="5040" spans="1:5" x14ac:dyDescent="0.2">
      <c r="A5040">
        <v>5165</v>
      </c>
      <c r="B5040">
        <v>4506</v>
      </c>
      <c r="C5040">
        <v>14</v>
      </c>
      <c r="D5040">
        <v>65.900000000000006</v>
      </c>
      <c r="E5040">
        <v>1.9</v>
      </c>
    </row>
    <row r="5041" spans="1:5" x14ac:dyDescent="0.2">
      <c r="A5041">
        <v>5170</v>
      </c>
      <c r="B5041">
        <v>4499</v>
      </c>
      <c r="C5041">
        <v>14</v>
      </c>
      <c r="D5041">
        <v>67.5</v>
      </c>
      <c r="E5041">
        <v>1.9</v>
      </c>
    </row>
    <row r="5042" spans="1:5" x14ac:dyDescent="0.2">
      <c r="A5042">
        <v>5175</v>
      </c>
      <c r="B5042">
        <v>4498</v>
      </c>
      <c r="C5042">
        <v>14</v>
      </c>
      <c r="D5042">
        <v>68.3</v>
      </c>
      <c r="E5042">
        <v>1.9</v>
      </c>
    </row>
    <row r="5043" spans="1:5" x14ac:dyDescent="0.2">
      <c r="A5043">
        <v>5180</v>
      </c>
      <c r="B5043">
        <v>4495</v>
      </c>
      <c r="C5043">
        <v>15</v>
      </c>
      <c r="D5043">
        <v>69.3</v>
      </c>
      <c r="E5043">
        <v>1.9</v>
      </c>
    </row>
    <row r="5044" spans="1:5" x14ac:dyDescent="0.2">
      <c r="A5044">
        <v>5185</v>
      </c>
      <c r="B5044">
        <v>4488</v>
      </c>
      <c r="C5044">
        <v>14</v>
      </c>
      <c r="D5044">
        <v>70.900000000000006</v>
      </c>
      <c r="E5044">
        <v>1.9</v>
      </c>
    </row>
    <row r="5045" spans="1:5" x14ac:dyDescent="0.2">
      <c r="A5045">
        <v>5190</v>
      </c>
      <c r="B5045">
        <v>4478</v>
      </c>
      <c r="C5045">
        <v>14</v>
      </c>
      <c r="D5045">
        <v>72.900000000000006</v>
      </c>
      <c r="E5045">
        <v>1.9</v>
      </c>
    </row>
    <row r="5046" spans="1:5" x14ac:dyDescent="0.2">
      <c r="A5046">
        <v>5195</v>
      </c>
      <c r="B5046">
        <v>4470</v>
      </c>
      <c r="C5046">
        <v>15</v>
      </c>
      <c r="D5046">
        <v>74.599999999999994</v>
      </c>
      <c r="E5046">
        <v>2</v>
      </c>
    </row>
    <row r="5047" spans="1:5" x14ac:dyDescent="0.2">
      <c r="A5047">
        <v>5200</v>
      </c>
      <c r="B5047">
        <v>4464</v>
      </c>
      <c r="C5047">
        <v>14</v>
      </c>
      <c r="D5047">
        <v>76.099999999999994</v>
      </c>
      <c r="E5047">
        <v>1.9</v>
      </c>
    </row>
    <row r="5048" spans="1:5" x14ac:dyDescent="0.2">
      <c r="A5048">
        <v>5205</v>
      </c>
      <c r="B5048">
        <v>4458</v>
      </c>
      <c r="C5048">
        <v>15</v>
      </c>
      <c r="D5048">
        <v>77.5</v>
      </c>
      <c r="E5048">
        <v>2</v>
      </c>
    </row>
    <row r="5049" spans="1:5" x14ac:dyDescent="0.2">
      <c r="A5049">
        <v>5210</v>
      </c>
      <c r="B5049">
        <v>4464</v>
      </c>
      <c r="C5049">
        <v>14</v>
      </c>
      <c r="D5049">
        <v>77.3</v>
      </c>
      <c r="E5049">
        <v>1.9</v>
      </c>
    </row>
    <row r="5050" spans="1:5" x14ac:dyDescent="0.2">
      <c r="A5050">
        <v>5215</v>
      </c>
      <c r="B5050">
        <v>4476</v>
      </c>
      <c r="C5050">
        <v>14</v>
      </c>
      <c r="D5050">
        <v>76.400000000000006</v>
      </c>
      <c r="E5050">
        <v>1.9</v>
      </c>
    </row>
    <row r="5051" spans="1:5" x14ac:dyDescent="0.2">
      <c r="A5051">
        <v>5220</v>
      </c>
      <c r="B5051">
        <v>4480</v>
      </c>
      <c r="C5051">
        <v>15</v>
      </c>
      <c r="D5051">
        <v>76.5</v>
      </c>
      <c r="E5051">
        <v>2</v>
      </c>
    </row>
    <row r="5052" spans="1:5" x14ac:dyDescent="0.2">
      <c r="A5052">
        <v>5225</v>
      </c>
      <c r="B5052">
        <v>4475</v>
      </c>
      <c r="C5052">
        <v>14</v>
      </c>
      <c r="D5052">
        <v>77.8</v>
      </c>
      <c r="E5052">
        <v>1.9</v>
      </c>
    </row>
    <row r="5053" spans="1:5" x14ac:dyDescent="0.2">
      <c r="A5053">
        <v>5230</v>
      </c>
      <c r="B5053">
        <v>4473</v>
      </c>
      <c r="C5053">
        <v>15</v>
      </c>
      <c r="D5053">
        <v>78.8</v>
      </c>
      <c r="E5053">
        <v>2</v>
      </c>
    </row>
    <row r="5054" spans="1:5" x14ac:dyDescent="0.2">
      <c r="A5054">
        <v>5235</v>
      </c>
      <c r="B5054">
        <v>4480</v>
      </c>
      <c r="C5054">
        <v>14</v>
      </c>
      <c r="D5054">
        <v>78.5</v>
      </c>
      <c r="E5054">
        <v>1.9</v>
      </c>
    </row>
    <row r="5055" spans="1:5" x14ac:dyDescent="0.2">
      <c r="A5055">
        <v>5240</v>
      </c>
      <c r="B5055">
        <v>4484</v>
      </c>
      <c r="C5055">
        <v>14</v>
      </c>
      <c r="D5055">
        <v>78.599999999999994</v>
      </c>
      <c r="E5055">
        <v>1.9</v>
      </c>
    </row>
    <row r="5056" spans="1:5" x14ac:dyDescent="0.2">
      <c r="A5056">
        <v>5245</v>
      </c>
      <c r="B5056">
        <v>4480</v>
      </c>
      <c r="C5056">
        <v>14</v>
      </c>
      <c r="D5056">
        <v>79.7</v>
      </c>
      <c r="E5056">
        <v>1.9</v>
      </c>
    </row>
    <row r="5057" spans="1:5" x14ac:dyDescent="0.2">
      <c r="A5057">
        <v>5250</v>
      </c>
      <c r="B5057">
        <v>4475</v>
      </c>
      <c r="C5057">
        <v>14</v>
      </c>
      <c r="D5057">
        <v>81.099999999999994</v>
      </c>
      <c r="E5057">
        <v>1.9</v>
      </c>
    </row>
    <row r="5058" spans="1:5" x14ac:dyDescent="0.2">
      <c r="A5058">
        <v>5255</v>
      </c>
      <c r="B5058">
        <v>4475</v>
      </c>
      <c r="C5058">
        <v>15</v>
      </c>
      <c r="D5058">
        <v>81.8</v>
      </c>
      <c r="E5058">
        <v>2</v>
      </c>
    </row>
    <row r="5059" spans="1:5" x14ac:dyDescent="0.2">
      <c r="A5059">
        <v>5260</v>
      </c>
      <c r="B5059">
        <v>4478</v>
      </c>
      <c r="C5059">
        <v>15</v>
      </c>
      <c r="D5059">
        <v>81.900000000000006</v>
      </c>
      <c r="E5059">
        <v>2</v>
      </c>
    </row>
    <row r="5060" spans="1:5" x14ac:dyDescent="0.2">
      <c r="A5060">
        <v>5265</v>
      </c>
      <c r="B5060">
        <v>4482</v>
      </c>
      <c r="C5060">
        <v>15</v>
      </c>
      <c r="D5060">
        <v>82.1</v>
      </c>
      <c r="E5060">
        <v>2</v>
      </c>
    </row>
    <row r="5061" spans="1:5" x14ac:dyDescent="0.2">
      <c r="A5061">
        <v>5270</v>
      </c>
      <c r="B5061">
        <v>4487</v>
      </c>
      <c r="C5061">
        <v>15</v>
      </c>
      <c r="D5061">
        <v>82.2</v>
      </c>
      <c r="E5061">
        <v>2.1</v>
      </c>
    </row>
    <row r="5062" spans="1:5" x14ac:dyDescent="0.2">
      <c r="A5062">
        <v>5275</v>
      </c>
      <c r="B5062">
        <v>4495</v>
      </c>
      <c r="C5062">
        <v>15</v>
      </c>
      <c r="D5062">
        <v>81.7</v>
      </c>
      <c r="E5062">
        <v>2</v>
      </c>
    </row>
    <row r="5063" spans="1:5" x14ac:dyDescent="0.2">
      <c r="A5063">
        <v>5280</v>
      </c>
      <c r="B5063">
        <v>4506</v>
      </c>
      <c r="C5063">
        <v>15</v>
      </c>
      <c r="D5063">
        <v>80.900000000000006</v>
      </c>
      <c r="E5063">
        <v>2</v>
      </c>
    </row>
    <row r="5064" spans="1:5" x14ac:dyDescent="0.2">
      <c r="A5064">
        <v>5285</v>
      </c>
      <c r="B5064">
        <v>4518</v>
      </c>
      <c r="C5064">
        <v>14</v>
      </c>
      <c r="D5064">
        <v>79.900000000000006</v>
      </c>
      <c r="E5064">
        <v>1.9</v>
      </c>
    </row>
    <row r="5065" spans="1:5" x14ac:dyDescent="0.2">
      <c r="A5065">
        <v>5290</v>
      </c>
      <c r="B5065">
        <v>4531</v>
      </c>
      <c r="C5065">
        <v>14</v>
      </c>
      <c r="D5065">
        <v>78.900000000000006</v>
      </c>
      <c r="E5065">
        <v>1.9</v>
      </c>
    </row>
    <row r="5066" spans="1:5" x14ac:dyDescent="0.2">
      <c r="A5066">
        <v>5295</v>
      </c>
      <c r="B5066">
        <v>4540</v>
      </c>
      <c r="C5066">
        <v>14</v>
      </c>
      <c r="D5066">
        <v>78.2</v>
      </c>
      <c r="E5066">
        <v>1.9</v>
      </c>
    </row>
    <row r="5067" spans="1:5" x14ac:dyDescent="0.2">
      <c r="A5067">
        <v>5300</v>
      </c>
      <c r="B5067">
        <v>4549</v>
      </c>
      <c r="C5067">
        <v>16</v>
      </c>
      <c r="D5067">
        <v>77.7</v>
      </c>
      <c r="E5067">
        <v>2.1</v>
      </c>
    </row>
    <row r="5068" spans="1:5" x14ac:dyDescent="0.2">
      <c r="A5068">
        <v>5305</v>
      </c>
      <c r="B5068">
        <v>4560</v>
      </c>
      <c r="C5068">
        <v>15</v>
      </c>
      <c r="D5068">
        <v>76.8</v>
      </c>
      <c r="E5068">
        <v>2</v>
      </c>
    </row>
    <row r="5069" spans="1:5" x14ac:dyDescent="0.2">
      <c r="A5069">
        <v>5310</v>
      </c>
      <c r="B5069">
        <v>4577</v>
      </c>
      <c r="C5069">
        <v>15</v>
      </c>
      <c r="D5069">
        <v>75.2</v>
      </c>
      <c r="E5069">
        <v>2</v>
      </c>
    </row>
    <row r="5070" spans="1:5" x14ac:dyDescent="0.2">
      <c r="A5070">
        <v>5315</v>
      </c>
      <c r="B5070">
        <v>4600</v>
      </c>
      <c r="C5070">
        <v>15</v>
      </c>
      <c r="D5070">
        <v>72.7</v>
      </c>
      <c r="E5070">
        <v>2</v>
      </c>
    </row>
    <row r="5071" spans="1:5" x14ac:dyDescent="0.2">
      <c r="A5071">
        <v>5320</v>
      </c>
      <c r="B5071">
        <v>4629</v>
      </c>
      <c r="C5071">
        <v>15</v>
      </c>
      <c r="D5071">
        <v>69.5</v>
      </c>
      <c r="E5071">
        <v>2.1</v>
      </c>
    </row>
    <row r="5072" spans="1:5" x14ac:dyDescent="0.2">
      <c r="A5072">
        <v>5325</v>
      </c>
      <c r="B5072">
        <v>4662</v>
      </c>
      <c r="C5072">
        <v>15</v>
      </c>
      <c r="D5072">
        <v>65.900000000000006</v>
      </c>
      <c r="E5072">
        <v>2</v>
      </c>
    </row>
    <row r="5073" spans="1:5" x14ac:dyDescent="0.2">
      <c r="A5073">
        <v>5330</v>
      </c>
      <c r="B5073">
        <v>4690</v>
      </c>
      <c r="C5073">
        <v>15</v>
      </c>
      <c r="D5073">
        <v>62.8</v>
      </c>
      <c r="E5073">
        <v>2</v>
      </c>
    </row>
    <row r="5074" spans="1:5" x14ac:dyDescent="0.2">
      <c r="A5074">
        <v>5335</v>
      </c>
      <c r="B5074">
        <v>4706</v>
      </c>
      <c r="C5074">
        <v>15</v>
      </c>
      <c r="D5074">
        <v>61.3</v>
      </c>
      <c r="E5074">
        <v>2</v>
      </c>
    </row>
    <row r="5075" spans="1:5" x14ac:dyDescent="0.2">
      <c r="A5075">
        <v>5340</v>
      </c>
      <c r="B5075">
        <v>4706</v>
      </c>
      <c r="C5075">
        <v>15</v>
      </c>
      <c r="D5075">
        <v>61.9</v>
      </c>
      <c r="E5075">
        <v>2</v>
      </c>
    </row>
    <row r="5076" spans="1:5" x14ac:dyDescent="0.2">
      <c r="A5076">
        <v>5345</v>
      </c>
      <c r="B5076">
        <v>4698</v>
      </c>
      <c r="C5076">
        <v>15</v>
      </c>
      <c r="D5076">
        <v>63.6</v>
      </c>
      <c r="E5076">
        <v>2</v>
      </c>
    </row>
    <row r="5077" spans="1:5" x14ac:dyDescent="0.2">
      <c r="A5077">
        <v>5350</v>
      </c>
      <c r="B5077">
        <v>4691</v>
      </c>
      <c r="C5077">
        <v>16</v>
      </c>
      <c r="D5077">
        <v>65.2</v>
      </c>
      <c r="E5077">
        <v>2.1</v>
      </c>
    </row>
    <row r="5078" spans="1:5" x14ac:dyDescent="0.2">
      <c r="A5078">
        <v>5355</v>
      </c>
      <c r="B5078">
        <v>4694</v>
      </c>
      <c r="C5078">
        <v>15</v>
      </c>
      <c r="D5078">
        <v>65.5</v>
      </c>
      <c r="E5078">
        <v>2</v>
      </c>
    </row>
    <row r="5079" spans="1:5" x14ac:dyDescent="0.2">
      <c r="A5079">
        <v>5360</v>
      </c>
      <c r="B5079">
        <v>4701</v>
      </c>
      <c r="C5079">
        <v>16</v>
      </c>
      <c r="D5079">
        <v>65.099999999999994</v>
      </c>
      <c r="E5079">
        <v>2.1</v>
      </c>
    </row>
    <row r="5080" spans="1:5" x14ac:dyDescent="0.2">
      <c r="A5080">
        <v>5365</v>
      </c>
      <c r="B5080">
        <v>4706</v>
      </c>
      <c r="C5080">
        <v>15</v>
      </c>
      <c r="D5080">
        <v>65.2</v>
      </c>
      <c r="E5080">
        <v>2</v>
      </c>
    </row>
    <row r="5081" spans="1:5" x14ac:dyDescent="0.2">
      <c r="A5081">
        <v>5370</v>
      </c>
      <c r="B5081">
        <v>4705</v>
      </c>
      <c r="C5081">
        <v>15</v>
      </c>
      <c r="D5081">
        <v>66</v>
      </c>
      <c r="E5081">
        <v>2</v>
      </c>
    </row>
    <row r="5082" spans="1:5" x14ac:dyDescent="0.2">
      <c r="A5082">
        <v>5375</v>
      </c>
      <c r="B5082">
        <v>4697</v>
      </c>
      <c r="C5082">
        <v>15</v>
      </c>
      <c r="D5082">
        <v>67.599999999999994</v>
      </c>
      <c r="E5082">
        <v>2</v>
      </c>
    </row>
    <row r="5083" spans="1:5" x14ac:dyDescent="0.2">
      <c r="A5083">
        <v>5380</v>
      </c>
      <c r="B5083">
        <v>4685</v>
      </c>
      <c r="C5083">
        <v>15</v>
      </c>
      <c r="D5083">
        <v>69.8</v>
      </c>
      <c r="E5083">
        <v>2</v>
      </c>
    </row>
    <row r="5084" spans="1:5" x14ac:dyDescent="0.2">
      <c r="A5084">
        <v>5385</v>
      </c>
      <c r="B5084">
        <v>4675</v>
      </c>
      <c r="C5084">
        <v>15</v>
      </c>
      <c r="D5084">
        <v>71.900000000000006</v>
      </c>
      <c r="E5084">
        <v>2</v>
      </c>
    </row>
    <row r="5085" spans="1:5" x14ac:dyDescent="0.2">
      <c r="A5085">
        <v>5390</v>
      </c>
      <c r="B5085">
        <v>4670</v>
      </c>
      <c r="C5085">
        <v>15</v>
      </c>
      <c r="D5085">
        <v>73.099999999999994</v>
      </c>
      <c r="E5085">
        <v>2</v>
      </c>
    </row>
    <row r="5086" spans="1:5" x14ac:dyDescent="0.2">
      <c r="A5086">
        <v>5395</v>
      </c>
      <c r="B5086">
        <v>4672</v>
      </c>
      <c r="C5086">
        <v>15</v>
      </c>
      <c r="D5086">
        <v>73.599999999999994</v>
      </c>
      <c r="E5086">
        <v>2</v>
      </c>
    </row>
    <row r="5087" spans="1:5" x14ac:dyDescent="0.2">
      <c r="A5087">
        <v>5400</v>
      </c>
      <c r="B5087">
        <v>4672</v>
      </c>
      <c r="C5087">
        <v>15</v>
      </c>
      <c r="D5087">
        <v>74.2</v>
      </c>
      <c r="E5087">
        <v>2</v>
      </c>
    </row>
    <row r="5088" spans="1:5" x14ac:dyDescent="0.2">
      <c r="A5088">
        <v>5405</v>
      </c>
      <c r="B5088">
        <v>4668</v>
      </c>
      <c r="C5088">
        <v>15</v>
      </c>
      <c r="D5088">
        <v>75.5</v>
      </c>
      <c r="E5088">
        <v>2</v>
      </c>
    </row>
    <row r="5089" spans="1:5" x14ac:dyDescent="0.2">
      <c r="A5089">
        <v>5410</v>
      </c>
      <c r="B5089">
        <v>4660</v>
      </c>
      <c r="C5089">
        <v>15</v>
      </c>
      <c r="D5089">
        <v>77.2</v>
      </c>
      <c r="E5089">
        <v>2</v>
      </c>
    </row>
    <row r="5090" spans="1:5" x14ac:dyDescent="0.2">
      <c r="A5090">
        <v>5415</v>
      </c>
      <c r="B5090">
        <v>4651</v>
      </c>
      <c r="C5090">
        <v>14</v>
      </c>
      <c r="D5090">
        <v>79</v>
      </c>
      <c r="E5090">
        <v>1.9</v>
      </c>
    </row>
    <row r="5091" spans="1:5" x14ac:dyDescent="0.2">
      <c r="A5091">
        <v>5420</v>
      </c>
      <c r="B5091">
        <v>4639</v>
      </c>
      <c r="C5091">
        <v>15</v>
      </c>
      <c r="D5091">
        <v>81.3</v>
      </c>
      <c r="E5091">
        <v>2</v>
      </c>
    </row>
    <row r="5092" spans="1:5" x14ac:dyDescent="0.2">
      <c r="A5092">
        <v>5425</v>
      </c>
      <c r="B5092">
        <v>4630</v>
      </c>
      <c r="C5092">
        <v>15</v>
      </c>
      <c r="D5092">
        <v>83.1</v>
      </c>
      <c r="E5092">
        <v>2</v>
      </c>
    </row>
    <row r="5093" spans="1:5" x14ac:dyDescent="0.2">
      <c r="A5093">
        <v>5430</v>
      </c>
      <c r="B5093">
        <v>4628</v>
      </c>
      <c r="C5093">
        <v>15</v>
      </c>
      <c r="D5093">
        <v>84</v>
      </c>
      <c r="E5093">
        <v>2</v>
      </c>
    </row>
    <row r="5094" spans="1:5" x14ac:dyDescent="0.2">
      <c r="A5094">
        <v>5435</v>
      </c>
      <c r="B5094">
        <v>4636</v>
      </c>
      <c r="C5094">
        <v>15</v>
      </c>
      <c r="D5094">
        <v>83.6</v>
      </c>
      <c r="E5094">
        <v>2</v>
      </c>
    </row>
    <row r="5095" spans="1:5" x14ac:dyDescent="0.2">
      <c r="A5095">
        <v>5440</v>
      </c>
      <c r="B5095">
        <v>4653</v>
      </c>
      <c r="C5095">
        <v>15</v>
      </c>
      <c r="D5095">
        <v>82</v>
      </c>
      <c r="E5095">
        <v>2</v>
      </c>
    </row>
    <row r="5096" spans="1:5" x14ac:dyDescent="0.2">
      <c r="A5096">
        <v>5445</v>
      </c>
      <c r="B5096">
        <v>4673</v>
      </c>
      <c r="C5096">
        <v>15</v>
      </c>
      <c r="D5096">
        <v>80</v>
      </c>
      <c r="E5096">
        <v>2</v>
      </c>
    </row>
    <row r="5097" spans="1:5" x14ac:dyDescent="0.2">
      <c r="A5097">
        <v>5450</v>
      </c>
      <c r="B5097">
        <v>4684</v>
      </c>
      <c r="C5097">
        <v>15</v>
      </c>
      <c r="D5097">
        <v>79.2</v>
      </c>
      <c r="E5097">
        <v>2</v>
      </c>
    </row>
    <row r="5098" spans="1:5" x14ac:dyDescent="0.2">
      <c r="A5098">
        <v>5455</v>
      </c>
      <c r="B5098">
        <v>4688</v>
      </c>
      <c r="C5098">
        <v>15</v>
      </c>
      <c r="D5098">
        <v>79.2</v>
      </c>
      <c r="E5098">
        <v>2.1</v>
      </c>
    </row>
    <row r="5099" spans="1:5" x14ac:dyDescent="0.2">
      <c r="A5099">
        <v>5460</v>
      </c>
      <c r="B5099">
        <v>4694</v>
      </c>
      <c r="C5099">
        <v>16</v>
      </c>
      <c r="D5099">
        <v>79.099999999999994</v>
      </c>
      <c r="E5099">
        <v>2.1</v>
      </c>
    </row>
    <row r="5100" spans="1:5" x14ac:dyDescent="0.2">
      <c r="A5100">
        <v>5465</v>
      </c>
      <c r="B5100">
        <v>4706</v>
      </c>
      <c r="C5100">
        <v>15</v>
      </c>
      <c r="D5100">
        <v>78.099999999999994</v>
      </c>
      <c r="E5100">
        <v>2.1</v>
      </c>
    </row>
    <row r="5101" spans="1:5" x14ac:dyDescent="0.2">
      <c r="A5101">
        <v>5470</v>
      </c>
      <c r="B5101">
        <v>4723</v>
      </c>
      <c r="C5101">
        <v>16</v>
      </c>
      <c r="D5101">
        <v>76.5</v>
      </c>
      <c r="E5101">
        <v>2.2000000000000002</v>
      </c>
    </row>
    <row r="5102" spans="1:5" x14ac:dyDescent="0.2">
      <c r="A5102">
        <v>5475</v>
      </c>
      <c r="B5102">
        <v>4744</v>
      </c>
      <c r="C5102">
        <v>15</v>
      </c>
      <c r="D5102">
        <v>74.400000000000006</v>
      </c>
      <c r="E5102">
        <v>2</v>
      </c>
    </row>
    <row r="5103" spans="1:5" x14ac:dyDescent="0.2">
      <c r="A5103">
        <v>5480</v>
      </c>
      <c r="B5103">
        <v>4764</v>
      </c>
      <c r="C5103">
        <v>16</v>
      </c>
      <c r="D5103">
        <v>72.3</v>
      </c>
      <c r="E5103">
        <v>2.1</v>
      </c>
    </row>
    <row r="5104" spans="1:5" x14ac:dyDescent="0.2">
      <c r="A5104">
        <v>5485</v>
      </c>
      <c r="B5104">
        <v>4783</v>
      </c>
      <c r="C5104">
        <v>15</v>
      </c>
      <c r="D5104">
        <v>70.5</v>
      </c>
      <c r="E5104">
        <v>2.1</v>
      </c>
    </row>
    <row r="5105" spans="1:5" x14ac:dyDescent="0.2">
      <c r="A5105">
        <v>5490</v>
      </c>
      <c r="B5105">
        <v>4796</v>
      </c>
      <c r="C5105">
        <v>16</v>
      </c>
      <c r="D5105">
        <v>69.3</v>
      </c>
      <c r="E5105">
        <v>2.2000000000000002</v>
      </c>
    </row>
    <row r="5106" spans="1:5" x14ac:dyDescent="0.2">
      <c r="A5106">
        <v>5495</v>
      </c>
      <c r="B5106">
        <v>4803</v>
      </c>
      <c r="C5106">
        <v>15</v>
      </c>
      <c r="D5106">
        <v>69.099999999999994</v>
      </c>
      <c r="E5106">
        <v>2.1</v>
      </c>
    </row>
    <row r="5107" spans="1:5" x14ac:dyDescent="0.2">
      <c r="A5107">
        <v>5500</v>
      </c>
      <c r="B5107">
        <v>4799</v>
      </c>
      <c r="C5107">
        <v>16</v>
      </c>
      <c r="D5107">
        <v>70.3</v>
      </c>
      <c r="E5107">
        <v>2.2000000000000002</v>
      </c>
    </row>
    <row r="5108" spans="1:5" x14ac:dyDescent="0.2">
      <c r="A5108">
        <v>5505</v>
      </c>
      <c r="B5108">
        <v>4786</v>
      </c>
      <c r="C5108">
        <v>16</v>
      </c>
      <c r="D5108">
        <v>72.599999999999994</v>
      </c>
      <c r="E5108">
        <v>2.1</v>
      </c>
    </row>
    <row r="5109" spans="1:5" x14ac:dyDescent="0.2">
      <c r="A5109">
        <v>5510</v>
      </c>
      <c r="B5109">
        <v>4773</v>
      </c>
      <c r="C5109">
        <v>17</v>
      </c>
      <c r="D5109">
        <v>75</v>
      </c>
      <c r="E5109">
        <v>2.2999999999999998</v>
      </c>
    </row>
    <row r="5110" spans="1:5" x14ac:dyDescent="0.2">
      <c r="A5110">
        <v>5515</v>
      </c>
      <c r="B5110">
        <v>4770</v>
      </c>
      <c r="C5110">
        <v>16</v>
      </c>
      <c r="D5110">
        <v>76</v>
      </c>
      <c r="E5110">
        <v>2.2000000000000002</v>
      </c>
    </row>
    <row r="5111" spans="1:5" x14ac:dyDescent="0.2">
      <c r="A5111">
        <v>5520</v>
      </c>
      <c r="B5111">
        <v>4773</v>
      </c>
      <c r="C5111">
        <v>16</v>
      </c>
      <c r="D5111">
        <v>76.3</v>
      </c>
      <c r="E5111">
        <v>2.1</v>
      </c>
    </row>
    <row r="5112" spans="1:5" x14ac:dyDescent="0.2">
      <c r="A5112">
        <v>5525</v>
      </c>
      <c r="B5112">
        <v>4773</v>
      </c>
      <c r="C5112">
        <v>16</v>
      </c>
      <c r="D5112">
        <v>77</v>
      </c>
      <c r="E5112">
        <v>2.2000000000000002</v>
      </c>
    </row>
    <row r="5113" spans="1:5" x14ac:dyDescent="0.2">
      <c r="A5113">
        <v>5530</v>
      </c>
      <c r="B5113">
        <v>4766</v>
      </c>
      <c r="C5113">
        <v>15</v>
      </c>
      <c r="D5113">
        <v>78.599999999999994</v>
      </c>
      <c r="E5113">
        <v>2</v>
      </c>
    </row>
    <row r="5114" spans="1:5" x14ac:dyDescent="0.2">
      <c r="A5114">
        <v>5535</v>
      </c>
      <c r="B5114">
        <v>4757</v>
      </c>
      <c r="C5114">
        <v>16</v>
      </c>
      <c r="D5114">
        <v>80.400000000000006</v>
      </c>
      <c r="E5114">
        <v>2.1</v>
      </c>
    </row>
    <row r="5115" spans="1:5" x14ac:dyDescent="0.2">
      <c r="A5115">
        <v>5540</v>
      </c>
      <c r="B5115">
        <v>4751</v>
      </c>
      <c r="C5115">
        <v>15</v>
      </c>
      <c r="D5115">
        <v>81.900000000000006</v>
      </c>
      <c r="E5115">
        <v>2</v>
      </c>
    </row>
    <row r="5116" spans="1:5" x14ac:dyDescent="0.2">
      <c r="A5116">
        <v>5545</v>
      </c>
      <c r="B5116">
        <v>4750</v>
      </c>
      <c r="C5116">
        <v>16</v>
      </c>
      <c r="D5116">
        <v>82.7</v>
      </c>
      <c r="E5116">
        <v>2.1</v>
      </c>
    </row>
    <row r="5117" spans="1:5" x14ac:dyDescent="0.2">
      <c r="A5117">
        <v>5550</v>
      </c>
      <c r="B5117">
        <v>4753</v>
      </c>
      <c r="C5117">
        <v>16</v>
      </c>
      <c r="D5117">
        <v>83</v>
      </c>
      <c r="E5117">
        <v>2.1</v>
      </c>
    </row>
    <row r="5118" spans="1:5" x14ac:dyDescent="0.2">
      <c r="A5118">
        <v>5555</v>
      </c>
      <c r="B5118">
        <v>4756</v>
      </c>
      <c r="C5118">
        <v>15</v>
      </c>
      <c r="D5118">
        <v>83.1</v>
      </c>
      <c r="E5118">
        <v>2</v>
      </c>
    </row>
    <row r="5119" spans="1:5" x14ac:dyDescent="0.2">
      <c r="A5119">
        <v>5560</v>
      </c>
      <c r="B5119">
        <v>4756</v>
      </c>
      <c r="C5119">
        <v>13</v>
      </c>
      <c r="D5119">
        <v>83.8</v>
      </c>
      <c r="E5119">
        <v>1.8</v>
      </c>
    </row>
    <row r="5120" spans="1:5" x14ac:dyDescent="0.2">
      <c r="A5120">
        <v>5565</v>
      </c>
      <c r="B5120">
        <v>4755</v>
      </c>
      <c r="C5120">
        <v>14</v>
      </c>
      <c r="D5120">
        <v>84.6</v>
      </c>
      <c r="E5120">
        <v>1.9</v>
      </c>
    </row>
    <row r="5121" spans="1:5" x14ac:dyDescent="0.2">
      <c r="A5121">
        <v>5570</v>
      </c>
      <c r="B5121">
        <v>4761</v>
      </c>
      <c r="C5121">
        <v>14</v>
      </c>
      <c r="D5121">
        <v>84.5</v>
      </c>
      <c r="E5121">
        <v>1.9</v>
      </c>
    </row>
    <row r="5122" spans="1:5" x14ac:dyDescent="0.2">
      <c r="A5122">
        <v>5575</v>
      </c>
      <c r="B5122">
        <v>4774</v>
      </c>
      <c r="C5122">
        <v>14</v>
      </c>
      <c r="D5122">
        <v>83.4</v>
      </c>
      <c r="E5122">
        <v>1.9</v>
      </c>
    </row>
    <row r="5123" spans="1:5" x14ac:dyDescent="0.2">
      <c r="A5123">
        <v>5580</v>
      </c>
      <c r="B5123">
        <v>4794</v>
      </c>
      <c r="C5123">
        <v>14</v>
      </c>
      <c r="D5123">
        <v>81.3</v>
      </c>
      <c r="E5123">
        <v>1.8</v>
      </c>
    </row>
    <row r="5124" spans="1:5" x14ac:dyDescent="0.2">
      <c r="A5124">
        <v>5585</v>
      </c>
      <c r="B5124">
        <v>4825</v>
      </c>
      <c r="C5124">
        <v>13</v>
      </c>
      <c r="D5124">
        <v>77.900000000000006</v>
      </c>
      <c r="E5124">
        <v>1.8</v>
      </c>
    </row>
    <row r="5125" spans="1:5" x14ac:dyDescent="0.2">
      <c r="A5125">
        <v>5590</v>
      </c>
      <c r="B5125">
        <v>4856</v>
      </c>
      <c r="C5125">
        <v>13</v>
      </c>
      <c r="D5125">
        <v>74.3</v>
      </c>
      <c r="E5125">
        <v>1.8</v>
      </c>
    </row>
    <row r="5126" spans="1:5" x14ac:dyDescent="0.2">
      <c r="A5126">
        <v>5595</v>
      </c>
      <c r="B5126">
        <v>4882</v>
      </c>
      <c r="C5126">
        <v>13</v>
      </c>
      <c r="D5126">
        <v>71.5</v>
      </c>
      <c r="E5126">
        <v>1.8</v>
      </c>
    </row>
    <row r="5127" spans="1:5" x14ac:dyDescent="0.2">
      <c r="A5127">
        <v>5600</v>
      </c>
      <c r="B5127">
        <v>4907</v>
      </c>
      <c r="C5127">
        <v>14</v>
      </c>
      <c r="D5127">
        <v>68.8</v>
      </c>
      <c r="E5127">
        <v>1.8</v>
      </c>
    </row>
    <row r="5128" spans="1:5" x14ac:dyDescent="0.2">
      <c r="A5128">
        <v>5605</v>
      </c>
      <c r="B5128">
        <v>4933</v>
      </c>
      <c r="C5128">
        <v>14</v>
      </c>
      <c r="D5128">
        <v>66</v>
      </c>
      <c r="E5128">
        <v>1.8</v>
      </c>
    </row>
    <row r="5129" spans="1:5" x14ac:dyDescent="0.2">
      <c r="A5129">
        <v>5610</v>
      </c>
      <c r="B5129">
        <v>4953</v>
      </c>
      <c r="C5129">
        <v>14</v>
      </c>
      <c r="D5129">
        <v>63.9</v>
      </c>
      <c r="E5129">
        <v>1.8</v>
      </c>
    </row>
    <row r="5130" spans="1:5" x14ac:dyDescent="0.2">
      <c r="A5130">
        <v>5615</v>
      </c>
      <c r="B5130">
        <v>4958</v>
      </c>
      <c r="C5130">
        <v>13</v>
      </c>
      <c r="D5130">
        <v>63.9</v>
      </c>
      <c r="E5130">
        <v>1.8</v>
      </c>
    </row>
    <row r="5131" spans="1:5" x14ac:dyDescent="0.2">
      <c r="A5131">
        <v>5620</v>
      </c>
      <c r="B5131">
        <v>4947</v>
      </c>
      <c r="C5131">
        <v>13</v>
      </c>
      <c r="D5131">
        <v>66.099999999999994</v>
      </c>
      <c r="E5131">
        <v>1.8</v>
      </c>
    </row>
    <row r="5132" spans="1:5" x14ac:dyDescent="0.2">
      <c r="A5132">
        <v>5625</v>
      </c>
      <c r="B5132">
        <v>4937</v>
      </c>
      <c r="C5132">
        <v>13</v>
      </c>
      <c r="D5132">
        <v>68.099999999999994</v>
      </c>
      <c r="E5132">
        <v>1.8</v>
      </c>
    </row>
    <row r="5133" spans="1:5" x14ac:dyDescent="0.2">
      <c r="A5133">
        <v>5630</v>
      </c>
      <c r="B5133">
        <v>4931</v>
      </c>
      <c r="C5133">
        <v>13</v>
      </c>
      <c r="D5133">
        <v>69.599999999999994</v>
      </c>
      <c r="E5133">
        <v>1.8</v>
      </c>
    </row>
    <row r="5134" spans="1:5" x14ac:dyDescent="0.2">
      <c r="A5134">
        <v>5635</v>
      </c>
      <c r="B5134">
        <v>4924</v>
      </c>
      <c r="C5134">
        <v>13</v>
      </c>
      <c r="D5134">
        <v>71.099999999999994</v>
      </c>
      <c r="E5134">
        <v>1.8</v>
      </c>
    </row>
    <row r="5135" spans="1:5" x14ac:dyDescent="0.2">
      <c r="A5135">
        <v>5640</v>
      </c>
      <c r="B5135">
        <v>4919</v>
      </c>
      <c r="C5135">
        <v>14</v>
      </c>
      <c r="D5135">
        <v>72.400000000000006</v>
      </c>
      <c r="E5135">
        <v>1.9</v>
      </c>
    </row>
    <row r="5136" spans="1:5" x14ac:dyDescent="0.2">
      <c r="A5136">
        <v>5645</v>
      </c>
      <c r="B5136">
        <v>4919</v>
      </c>
      <c r="C5136">
        <v>16</v>
      </c>
      <c r="D5136">
        <v>73</v>
      </c>
      <c r="E5136">
        <v>2.1</v>
      </c>
    </row>
    <row r="5137" spans="1:5" x14ac:dyDescent="0.2">
      <c r="A5137">
        <v>5650</v>
      </c>
      <c r="B5137">
        <v>4928</v>
      </c>
      <c r="C5137">
        <v>16</v>
      </c>
      <c r="D5137">
        <v>72.5</v>
      </c>
      <c r="E5137">
        <v>2.1</v>
      </c>
    </row>
    <row r="5138" spans="1:5" x14ac:dyDescent="0.2">
      <c r="A5138">
        <v>5655</v>
      </c>
      <c r="B5138">
        <v>4946</v>
      </c>
      <c r="C5138">
        <v>16</v>
      </c>
      <c r="D5138">
        <v>70.7</v>
      </c>
      <c r="E5138">
        <v>2.1</v>
      </c>
    </row>
    <row r="5139" spans="1:5" x14ac:dyDescent="0.2">
      <c r="A5139">
        <v>5660</v>
      </c>
      <c r="B5139">
        <v>4969</v>
      </c>
      <c r="C5139">
        <v>15</v>
      </c>
      <c r="D5139">
        <v>68.3</v>
      </c>
      <c r="E5139">
        <v>2</v>
      </c>
    </row>
    <row r="5140" spans="1:5" x14ac:dyDescent="0.2">
      <c r="A5140">
        <v>5665</v>
      </c>
      <c r="B5140">
        <v>4983</v>
      </c>
      <c r="C5140">
        <v>16</v>
      </c>
      <c r="D5140">
        <v>67.099999999999994</v>
      </c>
      <c r="E5140">
        <v>2.1</v>
      </c>
    </row>
    <row r="5141" spans="1:5" x14ac:dyDescent="0.2">
      <c r="A5141">
        <v>5670</v>
      </c>
      <c r="B5141">
        <v>4982</v>
      </c>
      <c r="C5141">
        <v>16</v>
      </c>
      <c r="D5141">
        <v>67.8</v>
      </c>
      <c r="E5141">
        <v>2.1</v>
      </c>
    </row>
    <row r="5142" spans="1:5" x14ac:dyDescent="0.2">
      <c r="A5142">
        <v>5675</v>
      </c>
      <c r="B5142">
        <v>4979</v>
      </c>
      <c r="C5142">
        <v>16</v>
      </c>
      <c r="D5142">
        <v>69</v>
      </c>
      <c r="E5142">
        <v>2.2000000000000002</v>
      </c>
    </row>
    <row r="5143" spans="1:5" x14ac:dyDescent="0.2">
      <c r="A5143">
        <v>5680</v>
      </c>
      <c r="B5143">
        <v>4978</v>
      </c>
      <c r="C5143">
        <v>15</v>
      </c>
      <c r="D5143">
        <v>69.7</v>
      </c>
      <c r="E5143">
        <v>2</v>
      </c>
    </row>
    <row r="5144" spans="1:5" x14ac:dyDescent="0.2">
      <c r="A5144">
        <v>5685</v>
      </c>
      <c r="B5144">
        <v>4977</v>
      </c>
      <c r="C5144">
        <v>16</v>
      </c>
      <c r="D5144">
        <v>70.400000000000006</v>
      </c>
      <c r="E5144">
        <v>2.1</v>
      </c>
    </row>
    <row r="5145" spans="1:5" x14ac:dyDescent="0.2">
      <c r="A5145">
        <v>5690</v>
      </c>
      <c r="B5145">
        <v>4973</v>
      </c>
      <c r="C5145">
        <v>15</v>
      </c>
      <c r="D5145">
        <v>71.599999999999994</v>
      </c>
      <c r="E5145">
        <v>2</v>
      </c>
    </row>
    <row r="5146" spans="1:5" x14ac:dyDescent="0.2">
      <c r="A5146">
        <v>5695</v>
      </c>
      <c r="B5146">
        <v>4969</v>
      </c>
      <c r="C5146">
        <v>16</v>
      </c>
      <c r="D5146">
        <v>72.8</v>
      </c>
      <c r="E5146">
        <v>2.1</v>
      </c>
    </row>
    <row r="5147" spans="1:5" x14ac:dyDescent="0.2">
      <c r="A5147">
        <v>5700</v>
      </c>
      <c r="B5147">
        <v>4968</v>
      </c>
      <c r="C5147">
        <v>15</v>
      </c>
      <c r="D5147">
        <v>73.7</v>
      </c>
      <c r="E5147">
        <v>2</v>
      </c>
    </row>
    <row r="5148" spans="1:5" x14ac:dyDescent="0.2">
      <c r="A5148">
        <v>5705</v>
      </c>
      <c r="B5148">
        <v>4969</v>
      </c>
      <c r="C5148">
        <v>15</v>
      </c>
      <c r="D5148">
        <v>74.099999999999994</v>
      </c>
      <c r="E5148">
        <v>2.1</v>
      </c>
    </row>
    <row r="5149" spans="1:5" x14ac:dyDescent="0.2">
      <c r="A5149">
        <v>5710</v>
      </c>
      <c r="B5149">
        <v>4974</v>
      </c>
      <c r="C5149">
        <v>16</v>
      </c>
      <c r="D5149">
        <v>74.2</v>
      </c>
      <c r="E5149">
        <v>2.2000000000000002</v>
      </c>
    </row>
    <row r="5150" spans="1:5" x14ac:dyDescent="0.2">
      <c r="A5150">
        <v>5715</v>
      </c>
      <c r="B5150">
        <v>4980</v>
      </c>
      <c r="C5150">
        <v>16</v>
      </c>
      <c r="D5150">
        <v>74</v>
      </c>
      <c r="E5150">
        <v>2.1</v>
      </c>
    </row>
    <row r="5151" spans="1:5" x14ac:dyDescent="0.2">
      <c r="A5151">
        <v>5720</v>
      </c>
      <c r="B5151">
        <v>4986</v>
      </c>
      <c r="C5151">
        <v>16</v>
      </c>
      <c r="D5151">
        <v>73.8</v>
      </c>
      <c r="E5151">
        <v>2.2000000000000002</v>
      </c>
    </row>
    <row r="5152" spans="1:5" x14ac:dyDescent="0.2">
      <c r="A5152">
        <v>5725</v>
      </c>
      <c r="B5152">
        <v>4994</v>
      </c>
      <c r="C5152">
        <v>16</v>
      </c>
      <c r="D5152">
        <v>73.400000000000006</v>
      </c>
      <c r="E5152">
        <v>2.1</v>
      </c>
    </row>
    <row r="5153" spans="1:5" x14ac:dyDescent="0.2">
      <c r="A5153">
        <v>5730</v>
      </c>
      <c r="B5153">
        <v>5001</v>
      </c>
      <c r="C5153">
        <v>17</v>
      </c>
      <c r="D5153">
        <v>73.099999999999994</v>
      </c>
      <c r="E5153">
        <v>2.2999999999999998</v>
      </c>
    </row>
    <row r="5154" spans="1:5" x14ac:dyDescent="0.2">
      <c r="A5154">
        <v>5735</v>
      </c>
      <c r="B5154">
        <v>5008</v>
      </c>
      <c r="C5154">
        <v>16</v>
      </c>
      <c r="D5154">
        <v>72.8</v>
      </c>
      <c r="E5154">
        <v>2.2000000000000002</v>
      </c>
    </row>
    <row r="5155" spans="1:5" x14ac:dyDescent="0.2">
      <c r="A5155">
        <v>5740</v>
      </c>
      <c r="B5155">
        <v>5016</v>
      </c>
      <c r="C5155">
        <v>16</v>
      </c>
      <c r="D5155">
        <v>72.400000000000006</v>
      </c>
      <c r="E5155">
        <v>2.1</v>
      </c>
    </row>
    <row r="5156" spans="1:5" x14ac:dyDescent="0.2">
      <c r="A5156">
        <v>5745</v>
      </c>
      <c r="B5156">
        <v>5027</v>
      </c>
      <c r="C5156">
        <v>17</v>
      </c>
      <c r="D5156">
        <v>71.5</v>
      </c>
      <c r="E5156">
        <v>2.2000000000000002</v>
      </c>
    </row>
    <row r="5157" spans="1:5" x14ac:dyDescent="0.2">
      <c r="A5157">
        <v>5750</v>
      </c>
      <c r="B5157">
        <v>5043</v>
      </c>
      <c r="C5157">
        <v>16</v>
      </c>
      <c r="D5157">
        <v>70.099999999999994</v>
      </c>
      <c r="E5157">
        <v>2.1</v>
      </c>
    </row>
    <row r="5158" spans="1:5" x14ac:dyDescent="0.2">
      <c r="A5158">
        <v>5755</v>
      </c>
      <c r="B5158">
        <v>5059</v>
      </c>
      <c r="C5158">
        <v>17</v>
      </c>
      <c r="D5158">
        <v>68.599999999999994</v>
      </c>
      <c r="E5158">
        <v>2.2000000000000002</v>
      </c>
    </row>
    <row r="5159" spans="1:5" x14ac:dyDescent="0.2">
      <c r="A5159">
        <v>5760</v>
      </c>
      <c r="B5159">
        <v>5072</v>
      </c>
      <c r="C5159">
        <v>16</v>
      </c>
      <c r="D5159">
        <v>67.599999999999994</v>
      </c>
      <c r="E5159">
        <v>2.2000000000000002</v>
      </c>
    </row>
    <row r="5160" spans="1:5" x14ac:dyDescent="0.2">
      <c r="A5160">
        <v>5765</v>
      </c>
      <c r="B5160">
        <v>5079</v>
      </c>
      <c r="C5160">
        <v>17</v>
      </c>
      <c r="D5160">
        <v>67.2</v>
      </c>
      <c r="E5160">
        <v>2.2000000000000002</v>
      </c>
    </row>
    <row r="5161" spans="1:5" x14ac:dyDescent="0.2">
      <c r="A5161">
        <v>5770</v>
      </c>
      <c r="B5161">
        <v>5084</v>
      </c>
      <c r="C5161">
        <v>17</v>
      </c>
      <c r="D5161">
        <v>67.3</v>
      </c>
      <c r="E5161">
        <v>2.2999999999999998</v>
      </c>
    </row>
    <row r="5162" spans="1:5" x14ac:dyDescent="0.2">
      <c r="A5162">
        <v>5775</v>
      </c>
      <c r="B5162">
        <v>5084</v>
      </c>
      <c r="C5162">
        <v>16</v>
      </c>
      <c r="D5162">
        <v>67.8</v>
      </c>
      <c r="E5162">
        <v>2.2000000000000002</v>
      </c>
    </row>
    <row r="5163" spans="1:5" x14ac:dyDescent="0.2">
      <c r="A5163">
        <v>5780</v>
      </c>
      <c r="B5163">
        <v>5083</v>
      </c>
      <c r="C5163">
        <v>17</v>
      </c>
      <c r="D5163">
        <v>68.7</v>
      </c>
      <c r="E5163">
        <v>2.2999999999999998</v>
      </c>
    </row>
    <row r="5164" spans="1:5" x14ac:dyDescent="0.2">
      <c r="A5164">
        <v>5785</v>
      </c>
      <c r="B5164">
        <v>5081</v>
      </c>
      <c r="C5164">
        <v>16</v>
      </c>
      <c r="D5164">
        <v>69.599999999999994</v>
      </c>
      <c r="E5164">
        <v>2.2000000000000002</v>
      </c>
    </row>
    <row r="5165" spans="1:5" x14ac:dyDescent="0.2">
      <c r="A5165">
        <v>5790</v>
      </c>
      <c r="B5165">
        <v>5080</v>
      </c>
      <c r="C5165">
        <v>17</v>
      </c>
      <c r="D5165">
        <v>70.400000000000006</v>
      </c>
      <c r="E5165">
        <v>2.2000000000000002</v>
      </c>
    </row>
    <row r="5166" spans="1:5" x14ac:dyDescent="0.2">
      <c r="A5166">
        <v>5795</v>
      </c>
      <c r="B5166">
        <v>5082</v>
      </c>
      <c r="C5166">
        <v>16</v>
      </c>
      <c r="D5166">
        <v>70.7</v>
      </c>
      <c r="E5166">
        <v>2.1</v>
      </c>
    </row>
    <row r="5167" spans="1:5" x14ac:dyDescent="0.2">
      <c r="A5167">
        <v>5800</v>
      </c>
      <c r="B5167">
        <v>5084</v>
      </c>
      <c r="C5167">
        <v>16</v>
      </c>
      <c r="D5167">
        <v>71.099999999999994</v>
      </c>
      <c r="E5167">
        <v>2.1</v>
      </c>
    </row>
    <row r="5168" spans="1:5" x14ac:dyDescent="0.2">
      <c r="A5168">
        <v>5805</v>
      </c>
      <c r="B5168">
        <v>5081</v>
      </c>
      <c r="C5168">
        <v>15</v>
      </c>
      <c r="D5168">
        <v>72.099999999999994</v>
      </c>
      <c r="E5168">
        <v>2</v>
      </c>
    </row>
    <row r="5169" spans="1:5" x14ac:dyDescent="0.2">
      <c r="A5169">
        <v>5810</v>
      </c>
      <c r="B5169">
        <v>5075</v>
      </c>
      <c r="C5169">
        <v>15</v>
      </c>
      <c r="D5169">
        <v>73.7</v>
      </c>
      <c r="E5169">
        <v>2</v>
      </c>
    </row>
    <row r="5170" spans="1:5" x14ac:dyDescent="0.2">
      <c r="A5170">
        <v>5815</v>
      </c>
      <c r="B5170">
        <v>5070</v>
      </c>
      <c r="C5170">
        <v>15</v>
      </c>
      <c r="D5170">
        <v>75</v>
      </c>
      <c r="E5170">
        <v>2</v>
      </c>
    </row>
    <row r="5171" spans="1:5" x14ac:dyDescent="0.2">
      <c r="A5171">
        <v>5820</v>
      </c>
      <c r="B5171">
        <v>5066</v>
      </c>
      <c r="C5171">
        <v>15</v>
      </c>
      <c r="D5171">
        <v>76.099999999999994</v>
      </c>
      <c r="E5171">
        <v>2</v>
      </c>
    </row>
    <row r="5172" spans="1:5" x14ac:dyDescent="0.2">
      <c r="A5172">
        <v>5825</v>
      </c>
      <c r="B5172">
        <v>5054</v>
      </c>
      <c r="C5172">
        <v>16</v>
      </c>
      <c r="D5172">
        <v>78.400000000000006</v>
      </c>
      <c r="E5172">
        <v>2.1</v>
      </c>
    </row>
    <row r="5173" spans="1:5" x14ac:dyDescent="0.2">
      <c r="A5173">
        <v>5830</v>
      </c>
      <c r="B5173">
        <v>5035</v>
      </c>
      <c r="C5173">
        <v>16</v>
      </c>
      <c r="D5173">
        <v>81.599999999999994</v>
      </c>
      <c r="E5173">
        <v>2.1</v>
      </c>
    </row>
    <row r="5174" spans="1:5" x14ac:dyDescent="0.2">
      <c r="A5174">
        <v>5835</v>
      </c>
      <c r="B5174">
        <v>5027</v>
      </c>
      <c r="C5174">
        <v>16</v>
      </c>
      <c r="D5174">
        <v>83.3</v>
      </c>
      <c r="E5174">
        <v>2.1</v>
      </c>
    </row>
    <row r="5175" spans="1:5" x14ac:dyDescent="0.2">
      <c r="A5175">
        <v>5840</v>
      </c>
      <c r="B5175">
        <v>5031</v>
      </c>
      <c r="C5175">
        <v>16</v>
      </c>
      <c r="D5175">
        <v>83.4</v>
      </c>
      <c r="E5175">
        <v>2.2000000000000002</v>
      </c>
    </row>
    <row r="5176" spans="1:5" x14ac:dyDescent="0.2">
      <c r="A5176">
        <v>5845</v>
      </c>
      <c r="B5176">
        <v>5038</v>
      </c>
      <c r="C5176">
        <v>16</v>
      </c>
      <c r="D5176">
        <v>83.2</v>
      </c>
      <c r="E5176">
        <v>2.2000000000000002</v>
      </c>
    </row>
    <row r="5177" spans="1:5" x14ac:dyDescent="0.2">
      <c r="A5177">
        <v>5850</v>
      </c>
      <c r="B5177">
        <v>5041</v>
      </c>
      <c r="C5177">
        <v>16</v>
      </c>
      <c r="D5177">
        <v>83.4</v>
      </c>
      <c r="E5177">
        <v>2.2000000000000002</v>
      </c>
    </row>
    <row r="5178" spans="1:5" x14ac:dyDescent="0.2">
      <c r="A5178">
        <v>5855</v>
      </c>
      <c r="B5178">
        <v>5046</v>
      </c>
      <c r="C5178">
        <v>16</v>
      </c>
      <c r="D5178">
        <v>83.4</v>
      </c>
      <c r="E5178">
        <v>2.2000000000000002</v>
      </c>
    </row>
    <row r="5179" spans="1:5" x14ac:dyDescent="0.2">
      <c r="A5179">
        <v>5860</v>
      </c>
      <c r="B5179">
        <v>5051</v>
      </c>
      <c r="C5179">
        <v>17</v>
      </c>
      <c r="D5179">
        <v>83.4</v>
      </c>
      <c r="E5179">
        <v>2.2999999999999998</v>
      </c>
    </row>
    <row r="5180" spans="1:5" x14ac:dyDescent="0.2">
      <c r="A5180">
        <v>5865</v>
      </c>
      <c r="B5180">
        <v>5053</v>
      </c>
      <c r="C5180">
        <v>18</v>
      </c>
      <c r="D5180">
        <v>83.7</v>
      </c>
      <c r="E5180">
        <v>2.5</v>
      </c>
    </row>
    <row r="5181" spans="1:5" x14ac:dyDescent="0.2">
      <c r="A5181">
        <v>5870</v>
      </c>
      <c r="B5181">
        <v>5053</v>
      </c>
      <c r="C5181">
        <v>18</v>
      </c>
      <c r="D5181">
        <v>84.4</v>
      </c>
      <c r="E5181">
        <v>2.4</v>
      </c>
    </row>
    <row r="5182" spans="1:5" x14ac:dyDescent="0.2">
      <c r="A5182">
        <v>5875</v>
      </c>
      <c r="B5182">
        <v>5052</v>
      </c>
      <c r="C5182">
        <v>18</v>
      </c>
      <c r="D5182">
        <v>85.2</v>
      </c>
      <c r="E5182">
        <v>2.4</v>
      </c>
    </row>
    <row r="5183" spans="1:5" x14ac:dyDescent="0.2">
      <c r="A5183">
        <v>5880</v>
      </c>
      <c r="B5183">
        <v>5053</v>
      </c>
      <c r="C5183">
        <v>20</v>
      </c>
      <c r="D5183">
        <v>85.7</v>
      </c>
      <c r="E5183">
        <v>2.6</v>
      </c>
    </row>
    <row r="5184" spans="1:5" x14ac:dyDescent="0.2">
      <c r="A5184">
        <v>5885</v>
      </c>
      <c r="B5184">
        <v>5059</v>
      </c>
      <c r="C5184">
        <v>19</v>
      </c>
      <c r="D5184">
        <v>85.5</v>
      </c>
      <c r="E5184">
        <v>2.5</v>
      </c>
    </row>
    <row r="5185" spans="1:5" x14ac:dyDescent="0.2">
      <c r="A5185">
        <v>5890</v>
      </c>
      <c r="B5185">
        <v>5070</v>
      </c>
      <c r="C5185">
        <v>17</v>
      </c>
      <c r="D5185">
        <v>84.7</v>
      </c>
      <c r="E5185">
        <v>2.4</v>
      </c>
    </row>
    <row r="5186" spans="1:5" x14ac:dyDescent="0.2">
      <c r="A5186">
        <v>5895</v>
      </c>
      <c r="B5186">
        <v>5085</v>
      </c>
      <c r="C5186">
        <v>19</v>
      </c>
      <c r="D5186">
        <v>83.3</v>
      </c>
      <c r="E5186">
        <v>2.5</v>
      </c>
    </row>
    <row r="5187" spans="1:5" x14ac:dyDescent="0.2">
      <c r="A5187">
        <v>5900</v>
      </c>
      <c r="B5187">
        <v>5103</v>
      </c>
      <c r="C5187">
        <v>19</v>
      </c>
      <c r="D5187">
        <v>81.599999999999994</v>
      </c>
      <c r="E5187">
        <v>2.5</v>
      </c>
    </row>
    <row r="5188" spans="1:5" x14ac:dyDescent="0.2">
      <c r="A5188">
        <v>5905</v>
      </c>
      <c r="B5188">
        <v>5122</v>
      </c>
      <c r="C5188">
        <v>17</v>
      </c>
      <c r="D5188">
        <v>79.7</v>
      </c>
      <c r="E5188">
        <v>2.2999999999999998</v>
      </c>
    </row>
    <row r="5189" spans="1:5" x14ac:dyDescent="0.2">
      <c r="A5189">
        <v>5910</v>
      </c>
      <c r="B5189">
        <v>5140</v>
      </c>
      <c r="C5189">
        <v>17</v>
      </c>
      <c r="D5189">
        <v>78</v>
      </c>
      <c r="E5189">
        <v>2.2999999999999998</v>
      </c>
    </row>
    <row r="5190" spans="1:5" x14ac:dyDescent="0.2">
      <c r="A5190">
        <v>5915</v>
      </c>
      <c r="B5190">
        <v>5154</v>
      </c>
      <c r="C5190">
        <v>17</v>
      </c>
      <c r="D5190">
        <v>76.7</v>
      </c>
      <c r="E5190">
        <v>2.2999999999999998</v>
      </c>
    </row>
    <row r="5191" spans="1:5" x14ac:dyDescent="0.2">
      <c r="A5191">
        <v>5920</v>
      </c>
      <c r="B5191">
        <v>5165</v>
      </c>
      <c r="C5191">
        <v>16</v>
      </c>
      <c r="D5191">
        <v>75.900000000000006</v>
      </c>
      <c r="E5191">
        <v>2.1</v>
      </c>
    </row>
    <row r="5192" spans="1:5" x14ac:dyDescent="0.2">
      <c r="A5192">
        <v>5925</v>
      </c>
      <c r="B5192">
        <v>5175</v>
      </c>
      <c r="C5192">
        <v>16</v>
      </c>
      <c r="D5192">
        <v>75.2</v>
      </c>
      <c r="E5192">
        <v>2.1</v>
      </c>
    </row>
    <row r="5193" spans="1:5" x14ac:dyDescent="0.2">
      <c r="A5193">
        <v>5930</v>
      </c>
      <c r="B5193">
        <v>5187</v>
      </c>
      <c r="C5193">
        <v>17</v>
      </c>
      <c r="D5193">
        <v>74.2</v>
      </c>
      <c r="E5193">
        <v>2.2999999999999998</v>
      </c>
    </row>
    <row r="5194" spans="1:5" x14ac:dyDescent="0.2">
      <c r="A5194">
        <v>5935</v>
      </c>
      <c r="B5194">
        <v>5202</v>
      </c>
      <c r="C5194">
        <v>17</v>
      </c>
      <c r="D5194">
        <v>72.900000000000006</v>
      </c>
      <c r="E5194">
        <v>2.2000000000000002</v>
      </c>
    </row>
    <row r="5195" spans="1:5" x14ac:dyDescent="0.2">
      <c r="A5195">
        <v>5940</v>
      </c>
      <c r="B5195">
        <v>5218</v>
      </c>
      <c r="C5195">
        <v>16</v>
      </c>
      <c r="D5195">
        <v>71.400000000000006</v>
      </c>
      <c r="E5195">
        <v>2.1</v>
      </c>
    </row>
    <row r="5196" spans="1:5" x14ac:dyDescent="0.2">
      <c r="A5196">
        <v>5945</v>
      </c>
      <c r="B5196">
        <v>5232</v>
      </c>
      <c r="C5196">
        <v>17</v>
      </c>
      <c r="D5196">
        <v>70.2</v>
      </c>
      <c r="E5196">
        <v>2.2000000000000002</v>
      </c>
    </row>
    <row r="5197" spans="1:5" x14ac:dyDescent="0.2">
      <c r="A5197">
        <v>5950</v>
      </c>
      <c r="B5197">
        <v>5242</v>
      </c>
      <c r="C5197">
        <v>18</v>
      </c>
      <c r="D5197">
        <v>69.5</v>
      </c>
      <c r="E5197">
        <v>2.4</v>
      </c>
    </row>
    <row r="5198" spans="1:5" x14ac:dyDescent="0.2">
      <c r="A5198">
        <v>5955</v>
      </c>
      <c r="B5198">
        <v>5244</v>
      </c>
      <c r="C5198">
        <v>18</v>
      </c>
      <c r="D5198">
        <v>69.900000000000006</v>
      </c>
      <c r="E5198">
        <v>2.4</v>
      </c>
    </row>
    <row r="5199" spans="1:5" x14ac:dyDescent="0.2">
      <c r="A5199">
        <v>5960</v>
      </c>
      <c r="B5199">
        <v>5239</v>
      </c>
      <c r="C5199">
        <v>17</v>
      </c>
      <c r="D5199">
        <v>71.099999999999994</v>
      </c>
      <c r="E5199">
        <v>2.2999999999999998</v>
      </c>
    </row>
    <row r="5200" spans="1:5" x14ac:dyDescent="0.2">
      <c r="A5200">
        <v>5965</v>
      </c>
      <c r="B5200">
        <v>5230</v>
      </c>
      <c r="C5200">
        <v>17</v>
      </c>
      <c r="D5200">
        <v>73.099999999999994</v>
      </c>
      <c r="E5200">
        <v>2.2999999999999998</v>
      </c>
    </row>
    <row r="5201" spans="1:5" x14ac:dyDescent="0.2">
      <c r="A5201">
        <v>5970</v>
      </c>
      <c r="B5201">
        <v>5218</v>
      </c>
      <c r="C5201">
        <v>18</v>
      </c>
      <c r="D5201">
        <v>75.3</v>
      </c>
      <c r="E5201">
        <v>2.4</v>
      </c>
    </row>
    <row r="5202" spans="1:5" x14ac:dyDescent="0.2">
      <c r="A5202">
        <v>5975</v>
      </c>
      <c r="B5202">
        <v>5207</v>
      </c>
      <c r="C5202">
        <v>17</v>
      </c>
      <c r="D5202">
        <v>77.400000000000006</v>
      </c>
      <c r="E5202">
        <v>2.2999999999999998</v>
      </c>
    </row>
    <row r="5203" spans="1:5" x14ac:dyDescent="0.2">
      <c r="A5203">
        <v>5980</v>
      </c>
      <c r="B5203">
        <v>5200</v>
      </c>
      <c r="C5203">
        <v>16</v>
      </c>
      <c r="D5203">
        <v>79</v>
      </c>
      <c r="E5203">
        <v>2.1</v>
      </c>
    </row>
    <row r="5204" spans="1:5" x14ac:dyDescent="0.2">
      <c r="A5204">
        <v>5985</v>
      </c>
      <c r="B5204">
        <v>5207</v>
      </c>
      <c r="C5204">
        <v>16</v>
      </c>
      <c r="D5204">
        <v>78.7</v>
      </c>
      <c r="E5204">
        <v>2.1</v>
      </c>
    </row>
    <row r="5205" spans="1:5" x14ac:dyDescent="0.2">
      <c r="A5205">
        <v>5990</v>
      </c>
      <c r="B5205">
        <v>5228</v>
      </c>
      <c r="C5205">
        <v>16</v>
      </c>
      <c r="D5205">
        <v>76.599999999999994</v>
      </c>
      <c r="E5205">
        <v>2.2000000000000002</v>
      </c>
    </row>
    <row r="5206" spans="1:5" x14ac:dyDescent="0.2">
      <c r="A5206">
        <v>5995</v>
      </c>
      <c r="B5206">
        <v>5248</v>
      </c>
      <c r="C5206">
        <v>16</v>
      </c>
      <c r="D5206">
        <v>74.5</v>
      </c>
      <c r="E5206">
        <v>2.2000000000000002</v>
      </c>
    </row>
    <row r="5207" spans="1:5" x14ac:dyDescent="0.2">
      <c r="A5207">
        <v>6000</v>
      </c>
      <c r="B5207">
        <v>5276</v>
      </c>
      <c r="C5207">
        <v>17</v>
      </c>
      <c r="D5207">
        <v>71.400000000000006</v>
      </c>
      <c r="E5207">
        <v>2.2999999999999998</v>
      </c>
    </row>
    <row r="5208" spans="1:5" x14ac:dyDescent="0.2">
      <c r="A5208">
        <v>6005</v>
      </c>
      <c r="B5208">
        <v>5297</v>
      </c>
      <c r="C5208">
        <v>20</v>
      </c>
      <c r="D5208">
        <v>69.3</v>
      </c>
      <c r="E5208">
        <v>2.6</v>
      </c>
    </row>
    <row r="5209" spans="1:5" x14ac:dyDescent="0.2">
      <c r="A5209">
        <v>6010</v>
      </c>
      <c r="B5209">
        <v>5307</v>
      </c>
      <c r="C5209">
        <v>23</v>
      </c>
      <c r="D5209">
        <v>68.599999999999994</v>
      </c>
      <c r="E5209">
        <v>3.1</v>
      </c>
    </row>
    <row r="5210" spans="1:5" x14ac:dyDescent="0.2">
      <c r="A5210">
        <v>6015</v>
      </c>
      <c r="B5210">
        <v>5314</v>
      </c>
      <c r="C5210">
        <v>23</v>
      </c>
      <c r="D5210">
        <v>68.3</v>
      </c>
      <c r="E5210">
        <v>3</v>
      </c>
    </row>
    <row r="5211" spans="1:5" x14ac:dyDescent="0.2">
      <c r="A5211">
        <v>6020</v>
      </c>
      <c r="B5211">
        <v>5319</v>
      </c>
      <c r="C5211">
        <v>21</v>
      </c>
      <c r="D5211">
        <v>68.3</v>
      </c>
      <c r="E5211">
        <v>2.8</v>
      </c>
    </row>
    <row r="5212" spans="1:5" x14ac:dyDescent="0.2">
      <c r="A5212">
        <v>6025</v>
      </c>
      <c r="B5212">
        <v>5323</v>
      </c>
      <c r="C5212">
        <v>21</v>
      </c>
      <c r="D5212">
        <v>68.400000000000006</v>
      </c>
      <c r="E5212">
        <v>2.8</v>
      </c>
    </row>
    <row r="5213" spans="1:5" x14ac:dyDescent="0.2">
      <c r="A5213">
        <v>6030</v>
      </c>
      <c r="B5213">
        <v>5326</v>
      </c>
      <c r="C5213">
        <v>21</v>
      </c>
      <c r="D5213">
        <v>68.599999999999994</v>
      </c>
      <c r="E5213">
        <v>2.8</v>
      </c>
    </row>
    <row r="5214" spans="1:5" x14ac:dyDescent="0.2">
      <c r="A5214">
        <v>6035</v>
      </c>
      <c r="B5214">
        <v>5328</v>
      </c>
      <c r="C5214">
        <v>19</v>
      </c>
      <c r="D5214">
        <v>69</v>
      </c>
      <c r="E5214">
        <v>2.5</v>
      </c>
    </row>
    <row r="5215" spans="1:5" x14ac:dyDescent="0.2">
      <c r="A5215">
        <v>6040</v>
      </c>
      <c r="B5215">
        <v>5326</v>
      </c>
      <c r="C5215">
        <v>19</v>
      </c>
      <c r="D5215">
        <v>69.900000000000006</v>
      </c>
      <c r="E5215">
        <v>2.5</v>
      </c>
    </row>
    <row r="5216" spans="1:5" x14ac:dyDescent="0.2">
      <c r="A5216">
        <v>6045</v>
      </c>
      <c r="B5216">
        <v>5317</v>
      </c>
      <c r="C5216">
        <v>17</v>
      </c>
      <c r="D5216">
        <v>71.8</v>
      </c>
      <c r="E5216">
        <v>2.2999999999999998</v>
      </c>
    </row>
    <row r="5217" spans="1:5" x14ac:dyDescent="0.2">
      <c r="A5217">
        <v>6050</v>
      </c>
      <c r="B5217">
        <v>5307</v>
      </c>
      <c r="C5217">
        <v>17</v>
      </c>
      <c r="D5217">
        <v>73.8</v>
      </c>
      <c r="E5217">
        <v>2.2999999999999998</v>
      </c>
    </row>
    <row r="5218" spans="1:5" x14ac:dyDescent="0.2">
      <c r="A5218">
        <v>6055</v>
      </c>
      <c r="B5218">
        <v>5304</v>
      </c>
      <c r="C5218">
        <v>18</v>
      </c>
      <c r="D5218">
        <v>74.900000000000006</v>
      </c>
      <c r="E5218">
        <v>2.4</v>
      </c>
    </row>
    <row r="5219" spans="1:5" x14ac:dyDescent="0.2">
      <c r="A5219">
        <v>6060</v>
      </c>
      <c r="B5219">
        <v>5310</v>
      </c>
      <c r="C5219">
        <v>17</v>
      </c>
      <c r="D5219">
        <v>74.7</v>
      </c>
      <c r="E5219">
        <v>2.2999999999999998</v>
      </c>
    </row>
    <row r="5220" spans="1:5" x14ac:dyDescent="0.2">
      <c r="A5220">
        <v>6065</v>
      </c>
      <c r="B5220">
        <v>5318</v>
      </c>
      <c r="C5220">
        <v>18</v>
      </c>
      <c r="D5220">
        <v>74.3</v>
      </c>
      <c r="E5220">
        <v>2.4</v>
      </c>
    </row>
    <row r="5221" spans="1:5" x14ac:dyDescent="0.2">
      <c r="A5221">
        <v>6070</v>
      </c>
      <c r="B5221">
        <v>5319</v>
      </c>
      <c r="C5221">
        <v>18</v>
      </c>
      <c r="D5221">
        <v>74.7</v>
      </c>
      <c r="E5221">
        <v>2.4</v>
      </c>
    </row>
    <row r="5222" spans="1:5" x14ac:dyDescent="0.2">
      <c r="A5222">
        <v>6075</v>
      </c>
      <c r="B5222">
        <v>5314</v>
      </c>
      <c r="C5222">
        <v>16</v>
      </c>
      <c r="D5222">
        <v>76.099999999999994</v>
      </c>
      <c r="E5222">
        <v>2.2000000000000002</v>
      </c>
    </row>
    <row r="5223" spans="1:5" x14ac:dyDescent="0.2">
      <c r="A5223">
        <v>6080</v>
      </c>
      <c r="B5223">
        <v>5303</v>
      </c>
      <c r="C5223">
        <v>17</v>
      </c>
      <c r="D5223">
        <v>78.2</v>
      </c>
      <c r="E5223">
        <v>2.2999999999999998</v>
      </c>
    </row>
    <row r="5224" spans="1:5" x14ac:dyDescent="0.2">
      <c r="A5224">
        <v>6085</v>
      </c>
      <c r="B5224">
        <v>5290</v>
      </c>
      <c r="C5224">
        <v>18</v>
      </c>
      <c r="D5224">
        <v>80.599999999999994</v>
      </c>
      <c r="E5224">
        <v>2.4</v>
      </c>
    </row>
    <row r="5225" spans="1:5" x14ac:dyDescent="0.2">
      <c r="A5225">
        <v>6090</v>
      </c>
      <c r="B5225">
        <v>5278</v>
      </c>
      <c r="C5225">
        <v>17</v>
      </c>
      <c r="D5225">
        <v>82.8</v>
      </c>
      <c r="E5225">
        <v>2.2999999999999998</v>
      </c>
    </row>
    <row r="5226" spans="1:5" x14ac:dyDescent="0.2">
      <c r="A5226">
        <v>6095</v>
      </c>
      <c r="B5226">
        <v>5270</v>
      </c>
      <c r="C5226">
        <v>19</v>
      </c>
      <c r="D5226">
        <v>84.6</v>
      </c>
      <c r="E5226">
        <v>2.5</v>
      </c>
    </row>
    <row r="5227" spans="1:5" x14ac:dyDescent="0.2">
      <c r="A5227">
        <v>6100</v>
      </c>
      <c r="B5227">
        <v>5270</v>
      </c>
      <c r="C5227">
        <v>21</v>
      </c>
      <c r="D5227">
        <v>85.3</v>
      </c>
      <c r="E5227">
        <v>2.9</v>
      </c>
    </row>
    <row r="5228" spans="1:5" x14ac:dyDescent="0.2">
      <c r="A5228">
        <v>6105</v>
      </c>
      <c r="B5228">
        <v>5279</v>
      </c>
      <c r="C5228">
        <v>22</v>
      </c>
      <c r="D5228">
        <v>84.7</v>
      </c>
      <c r="E5228">
        <v>3</v>
      </c>
    </row>
    <row r="5229" spans="1:5" x14ac:dyDescent="0.2">
      <c r="A5229">
        <v>6110</v>
      </c>
      <c r="B5229">
        <v>5296</v>
      </c>
      <c r="C5229">
        <v>21</v>
      </c>
      <c r="D5229">
        <v>83.1</v>
      </c>
      <c r="E5229">
        <v>2.8</v>
      </c>
    </row>
    <row r="5230" spans="1:5" x14ac:dyDescent="0.2">
      <c r="A5230">
        <v>6115</v>
      </c>
      <c r="B5230">
        <v>5316</v>
      </c>
      <c r="C5230">
        <v>19</v>
      </c>
      <c r="D5230">
        <v>81</v>
      </c>
      <c r="E5230">
        <v>2.5</v>
      </c>
    </row>
    <row r="5231" spans="1:5" x14ac:dyDescent="0.2">
      <c r="A5231">
        <v>6120</v>
      </c>
      <c r="B5231">
        <v>5336</v>
      </c>
      <c r="C5231">
        <v>18</v>
      </c>
      <c r="D5231">
        <v>79</v>
      </c>
      <c r="E5231">
        <v>2.4</v>
      </c>
    </row>
    <row r="5232" spans="1:5" x14ac:dyDescent="0.2">
      <c r="A5232">
        <v>6125</v>
      </c>
      <c r="B5232">
        <v>5352</v>
      </c>
      <c r="C5232">
        <v>19</v>
      </c>
      <c r="D5232">
        <v>77.599999999999994</v>
      </c>
      <c r="E5232">
        <v>2.5</v>
      </c>
    </row>
    <row r="5233" spans="1:5" x14ac:dyDescent="0.2">
      <c r="A5233">
        <v>6130</v>
      </c>
      <c r="B5233">
        <v>5358</v>
      </c>
      <c r="C5233">
        <v>19</v>
      </c>
      <c r="D5233">
        <v>77.3</v>
      </c>
      <c r="E5233">
        <v>2.6</v>
      </c>
    </row>
    <row r="5234" spans="1:5" x14ac:dyDescent="0.2">
      <c r="A5234">
        <v>6135</v>
      </c>
      <c r="B5234">
        <v>5353</v>
      </c>
      <c r="C5234">
        <v>19</v>
      </c>
      <c r="D5234">
        <v>78.599999999999994</v>
      </c>
      <c r="E5234">
        <v>2.5</v>
      </c>
    </row>
    <row r="5235" spans="1:5" x14ac:dyDescent="0.2">
      <c r="A5235">
        <v>6140</v>
      </c>
      <c r="B5235">
        <v>5339</v>
      </c>
      <c r="C5235">
        <v>18</v>
      </c>
      <c r="D5235">
        <v>81.2</v>
      </c>
      <c r="E5235">
        <v>2.4</v>
      </c>
    </row>
    <row r="5236" spans="1:5" x14ac:dyDescent="0.2">
      <c r="A5236">
        <v>6145</v>
      </c>
      <c r="B5236">
        <v>5321</v>
      </c>
      <c r="C5236">
        <v>17</v>
      </c>
      <c r="D5236">
        <v>84.3</v>
      </c>
      <c r="E5236">
        <v>2.2999999999999998</v>
      </c>
    </row>
    <row r="5237" spans="1:5" x14ac:dyDescent="0.2">
      <c r="A5237">
        <v>6150</v>
      </c>
      <c r="B5237">
        <v>5303</v>
      </c>
      <c r="C5237">
        <v>18</v>
      </c>
      <c r="D5237">
        <v>87.3</v>
      </c>
      <c r="E5237">
        <v>2.4</v>
      </c>
    </row>
    <row r="5238" spans="1:5" x14ac:dyDescent="0.2">
      <c r="A5238">
        <v>6155</v>
      </c>
      <c r="B5238">
        <v>5291</v>
      </c>
      <c r="C5238">
        <v>18</v>
      </c>
      <c r="D5238">
        <v>89.7</v>
      </c>
      <c r="E5238">
        <v>2.5</v>
      </c>
    </row>
    <row r="5239" spans="1:5" x14ac:dyDescent="0.2">
      <c r="A5239">
        <v>6160</v>
      </c>
      <c r="B5239">
        <v>5287</v>
      </c>
      <c r="C5239">
        <v>18</v>
      </c>
      <c r="D5239">
        <v>90.8</v>
      </c>
      <c r="E5239">
        <v>2.4</v>
      </c>
    </row>
    <row r="5240" spans="1:5" x14ac:dyDescent="0.2">
      <c r="A5240">
        <v>6165</v>
      </c>
      <c r="B5240">
        <v>5292</v>
      </c>
      <c r="C5240">
        <v>17</v>
      </c>
      <c r="D5240">
        <v>90.9</v>
      </c>
      <c r="E5240">
        <v>2.2999999999999998</v>
      </c>
    </row>
    <row r="5241" spans="1:5" x14ac:dyDescent="0.2">
      <c r="A5241">
        <v>6170</v>
      </c>
      <c r="B5241">
        <v>5302</v>
      </c>
      <c r="C5241">
        <v>17</v>
      </c>
      <c r="D5241">
        <v>90.1</v>
      </c>
      <c r="E5241">
        <v>2.2999999999999998</v>
      </c>
    </row>
    <row r="5242" spans="1:5" x14ac:dyDescent="0.2">
      <c r="A5242">
        <v>6175</v>
      </c>
      <c r="B5242">
        <v>5316</v>
      </c>
      <c r="C5242">
        <v>18</v>
      </c>
      <c r="D5242">
        <v>89</v>
      </c>
      <c r="E5242">
        <v>2.4</v>
      </c>
    </row>
    <row r="5243" spans="1:5" x14ac:dyDescent="0.2">
      <c r="A5243">
        <v>6180</v>
      </c>
      <c r="B5243">
        <v>5330</v>
      </c>
      <c r="C5243">
        <v>18</v>
      </c>
      <c r="D5243">
        <v>87.6</v>
      </c>
      <c r="E5243">
        <v>2.5</v>
      </c>
    </row>
    <row r="5244" spans="1:5" x14ac:dyDescent="0.2">
      <c r="A5244">
        <v>6185</v>
      </c>
      <c r="B5244">
        <v>5345</v>
      </c>
      <c r="C5244">
        <v>17</v>
      </c>
      <c r="D5244">
        <v>86.3</v>
      </c>
      <c r="E5244">
        <v>2.4</v>
      </c>
    </row>
    <row r="5245" spans="1:5" x14ac:dyDescent="0.2">
      <c r="A5245">
        <v>6190</v>
      </c>
      <c r="B5245">
        <v>5359</v>
      </c>
      <c r="C5245">
        <v>16</v>
      </c>
      <c r="D5245">
        <v>85.1</v>
      </c>
      <c r="E5245">
        <v>2.2000000000000002</v>
      </c>
    </row>
    <row r="5246" spans="1:5" x14ac:dyDescent="0.2">
      <c r="A5246">
        <v>6195</v>
      </c>
      <c r="B5246">
        <v>5372</v>
      </c>
      <c r="C5246">
        <v>16</v>
      </c>
      <c r="D5246">
        <v>84</v>
      </c>
      <c r="E5246">
        <v>2.2000000000000002</v>
      </c>
    </row>
    <row r="5247" spans="1:5" x14ac:dyDescent="0.2">
      <c r="A5247">
        <v>6200</v>
      </c>
      <c r="B5247">
        <v>5385</v>
      </c>
      <c r="C5247">
        <v>17</v>
      </c>
      <c r="D5247">
        <v>82.8</v>
      </c>
      <c r="E5247">
        <v>2.2999999999999998</v>
      </c>
    </row>
    <row r="5248" spans="1:5" x14ac:dyDescent="0.2">
      <c r="A5248">
        <v>6205</v>
      </c>
      <c r="B5248">
        <v>5399</v>
      </c>
      <c r="C5248">
        <v>18</v>
      </c>
      <c r="D5248">
        <v>81.599999999999994</v>
      </c>
      <c r="E5248">
        <v>2.4</v>
      </c>
    </row>
    <row r="5249" spans="1:5" x14ac:dyDescent="0.2">
      <c r="A5249">
        <v>6210</v>
      </c>
      <c r="B5249">
        <v>5413</v>
      </c>
      <c r="C5249">
        <v>17</v>
      </c>
      <c r="D5249">
        <v>80.400000000000006</v>
      </c>
      <c r="E5249">
        <v>2.2999999999999998</v>
      </c>
    </row>
    <row r="5250" spans="1:5" x14ac:dyDescent="0.2">
      <c r="A5250">
        <v>6215</v>
      </c>
      <c r="B5250">
        <v>5425</v>
      </c>
      <c r="C5250">
        <v>16</v>
      </c>
      <c r="D5250">
        <v>79.400000000000006</v>
      </c>
      <c r="E5250">
        <v>2.2000000000000002</v>
      </c>
    </row>
    <row r="5251" spans="1:5" x14ac:dyDescent="0.2">
      <c r="A5251">
        <v>6220</v>
      </c>
      <c r="B5251">
        <v>5434</v>
      </c>
      <c r="C5251">
        <v>16</v>
      </c>
      <c r="D5251">
        <v>78.8</v>
      </c>
      <c r="E5251">
        <v>2.2000000000000002</v>
      </c>
    </row>
    <row r="5252" spans="1:5" x14ac:dyDescent="0.2">
      <c r="A5252">
        <v>6225</v>
      </c>
      <c r="B5252">
        <v>5439</v>
      </c>
      <c r="C5252">
        <v>17</v>
      </c>
      <c r="D5252">
        <v>78.900000000000006</v>
      </c>
      <c r="E5252">
        <v>2.2999999999999998</v>
      </c>
    </row>
    <row r="5253" spans="1:5" x14ac:dyDescent="0.2">
      <c r="A5253">
        <v>6230</v>
      </c>
      <c r="B5253">
        <v>5437</v>
      </c>
      <c r="C5253">
        <v>17</v>
      </c>
      <c r="D5253">
        <v>79.900000000000006</v>
      </c>
      <c r="E5253">
        <v>2.2999999999999998</v>
      </c>
    </row>
    <row r="5254" spans="1:5" x14ac:dyDescent="0.2">
      <c r="A5254">
        <v>6235</v>
      </c>
      <c r="B5254">
        <v>5427</v>
      </c>
      <c r="C5254">
        <v>17</v>
      </c>
      <c r="D5254">
        <v>81.8</v>
      </c>
      <c r="E5254">
        <v>2.2999999999999998</v>
      </c>
    </row>
    <row r="5255" spans="1:5" x14ac:dyDescent="0.2">
      <c r="A5255">
        <v>6240</v>
      </c>
      <c r="B5255">
        <v>5413</v>
      </c>
      <c r="C5255">
        <v>16</v>
      </c>
      <c r="D5255">
        <v>84.4</v>
      </c>
      <c r="E5255">
        <v>2.2000000000000002</v>
      </c>
    </row>
    <row r="5256" spans="1:5" x14ac:dyDescent="0.2">
      <c r="A5256">
        <v>6245</v>
      </c>
      <c r="B5256">
        <v>5397</v>
      </c>
      <c r="C5256">
        <v>17</v>
      </c>
      <c r="D5256">
        <v>87.1</v>
      </c>
      <c r="E5256">
        <v>2.2999999999999998</v>
      </c>
    </row>
    <row r="5257" spans="1:5" x14ac:dyDescent="0.2">
      <c r="A5257">
        <v>6250</v>
      </c>
      <c r="B5257">
        <v>5385</v>
      </c>
      <c r="C5257">
        <v>18</v>
      </c>
      <c r="D5257">
        <v>89.4</v>
      </c>
      <c r="E5257">
        <v>2.5</v>
      </c>
    </row>
    <row r="5258" spans="1:5" x14ac:dyDescent="0.2">
      <c r="A5258">
        <v>6255</v>
      </c>
      <c r="B5258">
        <v>5379</v>
      </c>
      <c r="C5258">
        <v>19</v>
      </c>
      <c r="D5258">
        <v>90.9</v>
      </c>
      <c r="E5258">
        <v>2.6</v>
      </c>
    </row>
    <row r="5259" spans="1:5" x14ac:dyDescent="0.2">
      <c r="A5259">
        <v>6260</v>
      </c>
      <c r="B5259">
        <v>5381</v>
      </c>
      <c r="C5259">
        <v>18</v>
      </c>
      <c r="D5259">
        <v>91.3</v>
      </c>
      <c r="E5259">
        <v>2.5</v>
      </c>
    </row>
    <row r="5260" spans="1:5" x14ac:dyDescent="0.2">
      <c r="A5260">
        <v>6265</v>
      </c>
      <c r="B5260">
        <v>5391</v>
      </c>
      <c r="C5260">
        <v>17</v>
      </c>
      <c r="D5260">
        <v>90.6</v>
      </c>
      <c r="E5260">
        <v>2.2999999999999998</v>
      </c>
    </row>
    <row r="5261" spans="1:5" x14ac:dyDescent="0.2">
      <c r="A5261">
        <v>6270</v>
      </c>
      <c r="B5261">
        <v>5406</v>
      </c>
      <c r="C5261">
        <v>17</v>
      </c>
      <c r="D5261">
        <v>89.2</v>
      </c>
      <c r="E5261">
        <v>2.4</v>
      </c>
    </row>
    <row r="5262" spans="1:5" x14ac:dyDescent="0.2">
      <c r="A5262">
        <v>6275</v>
      </c>
      <c r="B5262">
        <v>5424</v>
      </c>
      <c r="C5262">
        <v>18</v>
      </c>
      <c r="D5262">
        <v>87.4</v>
      </c>
      <c r="E5262">
        <v>2.5</v>
      </c>
    </row>
    <row r="5263" spans="1:5" x14ac:dyDescent="0.2">
      <c r="A5263">
        <v>6280</v>
      </c>
      <c r="B5263">
        <v>5444</v>
      </c>
      <c r="C5263">
        <v>19</v>
      </c>
      <c r="D5263">
        <v>85.4</v>
      </c>
      <c r="E5263">
        <v>2.5</v>
      </c>
    </row>
    <row r="5264" spans="1:5" x14ac:dyDescent="0.2">
      <c r="A5264">
        <v>6285</v>
      </c>
      <c r="B5264">
        <v>5463</v>
      </c>
      <c r="C5264">
        <v>17</v>
      </c>
      <c r="D5264">
        <v>83.4</v>
      </c>
      <c r="E5264">
        <v>2.2999999999999998</v>
      </c>
    </row>
    <row r="5265" spans="1:5" x14ac:dyDescent="0.2">
      <c r="A5265">
        <v>6290</v>
      </c>
      <c r="B5265">
        <v>5482</v>
      </c>
      <c r="C5265">
        <v>16</v>
      </c>
      <c r="D5265">
        <v>81.5</v>
      </c>
      <c r="E5265">
        <v>2.2000000000000002</v>
      </c>
    </row>
    <row r="5266" spans="1:5" x14ac:dyDescent="0.2">
      <c r="A5266">
        <v>6295</v>
      </c>
      <c r="B5266">
        <v>5501</v>
      </c>
      <c r="C5266">
        <v>17</v>
      </c>
      <c r="D5266">
        <v>79.599999999999994</v>
      </c>
      <c r="E5266">
        <v>2.2999999999999998</v>
      </c>
    </row>
    <row r="5267" spans="1:5" x14ac:dyDescent="0.2">
      <c r="A5267">
        <v>6300</v>
      </c>
      <c r="B5267">
        <v>5520</v>
      </c>
      <c r="C5267">
        <v>19</v>
      </c>
      <c r="D5267">
        <v>77.8</v>
      </c>
      <c r="E5267">
        <v>2.5</v>
      </c>
    </row>
    <row r="5268" spans="1:5" x14ac:dyDescent="0.2">
      <c r="A5268">
        <v>6305</v>
      </c>
      <c r="B5268">
        <v>5539</v>
      </c>
      <c r="C5268">
        <v>19</v>
      </c>
      <c r="D5268">
        <v>75.900000000000006</v>
      </c>
      <c r="E5268">
        <v>2.5</v>
      </c>
    </row>
    <row r="5269" spans="1:5" x14ac:dyDescent="0.2">
      <c r="A5269">
        <v>6310</v>
      </c>
      <c r="B5269">
        <v>5556</v>
      </c>
      <c r="C5269">
        <v>18</v>
      </c>
      <c r="D5269">
        <v>74.2</v>
      </c>
      <c r="E5269">
        <v>2.4</v>
      </c>
    </row>
    <row r="5270" spans="1:5" x14ac:dyDescent="0.2">
      <c r="A5270">
        <v>6315</v>
      </c>
      <c r="B5270">
        <v>5572</v>
      </c>
      <c r="C5270">
        <v>18</v>
      </c>
      <c r="D5270">
        <v>72.8</v>
      </c>
      <c r="E5270">
        <v>2.4</v>
      </c>
    </row>
    <row r="5271" spans="1:5" x14ac:dyDescent="0.2">
      <c r="A5271">
        <v>6320</v>
      </c>
      <c r="B5271">
        <v>5583</v>
      </c>
      <c r="C5271">
        <v>19</v>
      </c>
      <c r="D5271">
        <v>72</v>
      </c>
      <c r="E5271">
        <v>2.5</v>
      </c>
    </row>
    <row r="5272" spans="1:5" x14ac:dyDescent="0.2">
      <c r="A5272">
        <v>6325</v>
      </c>
      <c r="B5272">
        <v>5587</v>
      </c>
      <c r="C5272">
        <v>18</v>
      </c>
      <c r="D5272">
        <v>72.099999999999994</v>
      </c>
      <c r="E5272">
        <v>2.5</v>
      </c>
    </row>
    <row r="5273" spans="1:5" x14ac:dyDescent="0.2">
      <c r="A5273">
        <v>6330</v>
      </c>
      <c r="B5273">
        <v>5584</v>
      </c>
      <c r="C5273">
        <v>18</v>
      </c>
      <c r="D5273">
        <v>73.099999999999994</v>
      </c>
      <c r="E5273">
        <v>2.4</v>
      </c>
    </row>
    <row r="5274" spans="1:5" x14ac:dyDescent="0.2">
      <c r="A5274">
        <v>6335</v>
      </c>
      <c r="B5274">
        <v>5580</v>
      </c>
      <c r="C5274">
        <v>20</v>
      </c>
      <c r="D5274">
        <v>74.400000000000006</v>
      </c>
      <c r="E5274">
        <v>2.7</v>
      </c>
    </row>
    <row r="5275" spans="1:5" x14ac:dyDescent="0.2">
      <c r="A5275">
        <v>6340</v>
      </c>
      <c r="B5275">
        <v>5578</v>
      </c>
      <c r="C5275">
        <v>19</v>
      </c>
      <c r="D5275">
        <v>75.2</v>
      </c>
      <c r="E5275">
        <v>2.6</v>
      </c>
    </row>
    <row r="5276" spans="1:5" x14ac:dyDescent="0.2">
      <c r="A5276">
        <v>6345</v>
      </c>
      <c r="B5276">
        <v>5581</v>
      </c>
      <c r="C5276">
        <v>20</v>
      </c>
      <c r="D5276">
        <v>75.5</v>
      </c>
      <c r="E5276">
        <v>2.7</v>
      </c>
    </row>
    <row r="5277" spans="1:5" x14ac:dyDescent="0.2">
      <c r="A5277">
        <v>6350</v>
      </c>
      <c r="B5277">
        <v>5586</v>
      </c>
      <c r="C5277">
        <v>21</v>
      </c>
      <c r="D5277">
        <v>75.400000000000006</v>
      </c>
      <c r="E5277">
        <v>2.8</v>
      </c>
    </row>
    <row r="5278" spans="1:5" x14ac:dyDescent="0.2">
      <c r="A5278">
        <v>6355</v>
      </c>
      <c r="B5278">
        <v>5594</v>
      </c>
      <c r="C5278">
        <v>19</v>
      </c>
      <c r="D5278">
        <v>75.099999999999994</v>
      </c>
      <c r="E5278">
        <v>2.5</v>
      </c>
    </row>
    <row r="5279" spans="1:5" x14ac:dyDescent="0.2">
      <c r="A5279">
        <v>6360</v>
      </c>
      <c r="B5279">
        <v>5598</v>
      </c>
      <c r="C5279">
        <v>20</v>
      </c>
      <c r="D5279">
        <v>75.2</v>
      </c>
      <c r="E5279">
        <v>2.6</v>
      </c>
    </row>
    <row r="5280" spans="1:5" x14ac:dyDescent="0.2">
      <c r="A5280">
        <v>6365</v>
      </c>
      <c r="B5280">
        <v>5594</v>
      </c>
      <c r="C5280">
        <v>21</v>
      </c>
      <c r="D5280">
        <v>76.400000000000006</v>
      </c>
      <c r="E5280">
        <v>2.8</v>
      </c>
    </row>
    <row r="5281" spans="1:5" x14ac:dyDescent="0.2">
      <c r="A5281">
        <v>6370</v>
      </c>
      <c r="B5281">
        <v>5581</v>
      </c>
      <c r="C5281">
        <v>20</v>
      </c>
      <c r="D5281">
        <v>78.7</v>
      </c>
      <c r="E5281">
        <v>2.7</v>
      </c>
    </row>
    <row r="5282" spans="1:5" x14ac:dyDescent="0.2">
      <c r="A5282">
        <v>6375</v>
      </c>
      <c r="B5282">
        <v>5567</v>
      </c>
      <c r="C5282">
        <v>20</v>
      </c>
      <c r="D5282">
        <v>81.3</v>
      </c>
      <c r="E5282">
        <v>2.6</v>
      </c>
    </row>
    <row r="5283" spans="1:5" x14ac:dyDescent="0.2">
      <c r="A5283">
        <v>6380</v>
      </c>
      <c r="B5283">
        <v>5557</v>
      </c>
      <c r="C5283">
        <v>20</v>
      </c>
      <c r="D5283">
        <v>83.2</v>
      </c>
      <c r="E5283">
        <v>2.7</v>
      </c>
    </row>
    <row r="5284" spans="1:5" x14ac:dyDescent="0.2">
      <c r="A5284">
        <v>6385</v>
      </c>
      <c r="B5284">
        <v>5560</v>
      </c>
      <c r="C5284">
        <v>19</v>
      </c>
      <c r="D5284">
        <v>83.5</v>
      </c>
      <c r="E5284">
        <v>2.5</v>
      </c>
    </row>
    <row r="5285" spans="1:5" x14ac:dyDescent="0.2">
      <c r="A5285">
        <v>6390</v>
      </c>
      <c r="B5285">
        <v>5576</v>
      </c>
      <c r="C5285">
        <v>18</v>
      </c>
      <c r="D5285">
        <v>82.1</v>
      </c>
      <c r="E5285">
        <v>2.4</v>
      </c>
    </row>
    <row r="5286" spans="1:5" x14ac:dyDescent="0.2">
      <c r="A5286">
        <v>6395</v>
      </c>
      <c r="B5286">
        <v>5598</v>
      </c>
      <c r="C5286">
        <v>17</v>
      </c>
      <c r="D5286">
        <v>79.7</v>
      </c>
      <c r="E5286">
        <v>2.2999999999999998</v>
      </c>
    </row>
    <row r="5287" spans="1:5" x14ac:dyDescent="0.2">
      <c r="A5287">
        <v>6400</v>
      </c>
      <c r="B5287">
        <v>5623</v>
      </c>
      <c r="C5287">
        <v>17</v>
      </c>
      <c r="D5287">
        <v>77</v>
      </c>
      <c r="E5287">
        <v>2.2999999999999998</v>
      </c>
    </row>
    <row r="5288" spans="1:5" x14ac:dyDescent="0.2">
      <c r="A5288">
        <v>6405</v>
      </c>
      <c r="B5288">
        <v>5643</v>
      </c>
      <c r="C5288">
        <v>17</v>
      </c>
      <c r="D5288">
        <v>75</v>
      </c>
      <c r="E5288">
        <v>2.2999999999999998</v>
      </c>
    </row>
    <row r="5289" spans="1:5" x14ac:dyDescent="0.2">
      <c r="A5289">
        <v>6410</v>
      </c>
      <c r="B5289">
        <v>5662</v>
      </c>
      <c r="C5289">
        <v>17</v>
      </c>
      <c r="D5289">
        <v>73.099999999999994</v>
      </c>
      <c r="E5289">
        <v>2.2999999999999998</v>
      </c>
    </row>
    <row r="5290" spans="1:5" x14ac:dyDescent="0.2">
      <c r="A5290">
        <v>6415</v>
      </c>
      <c r="B5290">
        <v>5669</v>
      </c>
      <c r="C5290">
        <v>17</v>
      </c>
      <c r="D5290">
        <v>72.8</v>
      </c>
      <c r="E5290">
        <v>2.2999999999999998</v>
      </c>
    </row>
    <row r="5291" spans="1:5" x14ac:dyDescent="0.2">
      <c r="A5291">
        <v>6420</v>
      </c>
      <c r="B5291">
        <v>5662</v>
      </c>
      <c r="C5291">
        <v>18</v>
      </c>
      <c r="D5291">
        <v>74.400000000000006</v>
      </c>
      <c r="E5291">
        <v>2.4</v>
      </c>
    </row>
    <row r="5292" spans="1:5" x14ac:dyDescent="0.2">
      <c r="A5292">
        <v>6425</v>
      </c>
      <c r="B5292">
        <v>5650</v>
      </c>
      <c r="C5292">
        <v>19</v>
      </c>
      <c r="D5292">
        <v>76.599999999999994</v>
      </c>
      <c r="E5292">
        <v>2.5</v>
      </c>
    </row>
    <row r="5293" spans="1:5" x14ac:dyDescent="0.2">
      <c r="A5293">
        <v>6430</v>
      </c>
      <c r="B5293">
        <v>5642</v>
      </c>
      <c r="C5293">
        <v>20</v>
      </c>
      <c r="D5293">
        <v>78.400000000000006</v>
      </c>
      <c r="E5293">
        <v>2.7</v>
      </c>
    </row>
    <row r="5294" spans="1:5" x14ac:dyDescent="0.2">
      <c r="A5294">
        <v>6435</v>
      </c>
      <c r="B5294">
        <v>5645</v>
      </c>
      <c r="C5294">
        <v>20</v>
      </c>
      <c r="D5294">
        <v>78.599999999999994</v>
      </c>
      <c r="E5294">
        <v>2.6</v>
      </c>
    </row>
    <row r="5295" spans="1:5" x14ac:dyDescent="0.2">
      <c r="A5295">
        <v>6440</v>
      </c>
      <c r="B5295">
        <v>5658</v>
      </c>
      <c r="C5295">
        <v>20</v>
      </c>
      <c r="D5295">
        <v>77.5</v>
      </c>
      <c r="E5295">
        <v>2.6</v>
      </c>
    </row>
    <row r="5296" spans="1:5" x14ac:dyDescent="0.2">
      <c r="A5296">
        <v>6445</v>
      </c>
      <c r="B5296">
        <v>5673</v>
      </c>
      <c r="C5296">
        <v>21</v>
      </c>
      <c r="D5296">
        <v>76.099999999999994</v>
      </c>
      <c r="E5296">
        <v>2.7</v>
      </c>
    </row>
    <row r="5297" spans="1:5" x14ac:dyDescent="0.2">
      <c r="A5297">
        <v>6450</v>
      </c>
      <c r="B5297">
        <v>5684</v>
      </c>
      <c r="C5297">
        <v>19</v>
      </c>
      <c r="D5297">
        <v>75.3</v>
      </c>
      <c r="E5297">
        <v>2.6</v>
      </c>
    </row>
    <row r="5298" spans="1:5" x14ac:dyDescent="0.2">
      <c r="A5298">
        <v>6455</v>
      </c>
      <c r="B5298">
        <v>5691</v>
      </c>
      <c r="C5298">
        <v>20</v>
      </c>
      <c r="D5298">
        <v>75.099999999999994</v>
      </c>
      <c r="E5298">
        <v>2.7</v>
      </c>
    </row>
    <row r="5299" spans="1:5" x14ac:dyDescent="0.2">
      <c r="A5299">
        <v>6460</v>
      </c>
      <c r="B5299">
        <v>5693</v>
      </c>
      <c r="C5299">
        <v>20</v>
      </c>
      <c r="D5299">
        <v>75.5</v>
      </c>
      <c r="E5299">
        <v>2.6</v>
      </c>
    </row>
    <row r="5300" spans="1:5" x14ac:dyDescent="0.2">
      <c r="A5300">
        <v>6465</v>
      </c>
      <c r="B5300">
        <v>5691</v>
      </c>
      <c r="C5300">
        <v>19</v>
      </c>
      <c r="D5300">
        <v>76.400000000000006</v>
      </c>
      <c r="E5300">
        <v>2.6</v>
      </c>
    </row>
    <row r="5301" spans="1:5" x14ac:dyDescent="0.2">
      <c r="A5301">
        <v>6470</v>
      </c>
      <c r="B5301">
        <v>5687</v>
      </c>
      <c r="C5301">
        <v>21</v>
      </c>
      <c r="D5301">
        <v>77.5</v>
      </c>
      <c r="E5301">
        <v>2.8</v>
      </c>
    </row>
    <row r="5302" spans="1:5" x14ac:dyDescent="0.2">
      <c r="A5302">
        <v>6475</v>
      </c>
      <c r="B5302">
        <v>5684</v>
      </c>
      <c r="C5302">
        <v>20</v>
      </c>
      <c r="D5302">
        <v>78.599999999999994</v>
      </c>
      <c r="E5302">
        <v>2.7</v>
      </c>
    </row>
    <row r="5303" spans="1:5" x14ac:dyDescent="0.2">
      <c r="A5303">
        <v>6480</v>
      </c>
      <c r="B5303">
        <v>5684</v>
      </c>
      <c r="C5303">
        <v>20</v>
      </c>
      <c r="D5303">
        <v>79.2</v>
      </c>
      <c r="E5303">
        <v>2.6</v>
      </c>
    </row>
    <row r="5304" spans="1:5" x14ac:dyDescent="0.2">
      <c r="A5304">
        <v>6485</v>
      </c>
      <c r="B5304">
        <v>5691</v>
      </c>
      <c r="C5304">
        <v>21</v>
      </c>
      <c r="D5304">
        <v>78.900000000000006</v>
      </c>
      <c r="E5304">
        <v>2.8</v>
      </c>
    </row>
    <row r="5305" spans="1:5" x14ac:dyDescent="0.2">
      <c r="A5305">
        <v>6490</v>
      </c>
      <c r="B5305">
        <v>5706</v>
      </c>
      <c r="C5305">
        <v>20</v>
      </c>
      <c r="D5305">
        <v>77.5</v>
      </c>
      <c r="E5305">
        <v>2.7</v>
      </c>
    </row>
    <row r="5306" spans="1:5" x14ac:dyDescent="0.2">
      <c r="A5306">
        <v>6495</v>
      </c>
      <c r="B5306">
        <v>5726</v>
      </c>
      <c r="C5306">
        <v>20</v>
      </c>
      <c r="D5306">
        <v>75.5</v>
      </c>
      <c r="E5306">
        <v>2.6</v>
      </c>
    </row>
    <row r="5307" spans="1:5" x14ac:dyDescent="0.2">
      <c r="A5307">
        <v>6500</v>
      </c>
      <c r="B5307">
        <v>5743</v>
      </c>
      <c r="C5307">
        <v>20</v>
      </c>
      <c r="D5307">
        <v>73.900000000000006</v>
      </c>
      <c r="E5307">
        <v>2.7</v>
      </c>
    </row>
    <row r="5308" spans="1:5" x14ac:dyDescent="0.2">
      <c r="A5308">
        <v>6505</v>
      </c>
      <c r="B5308">
        <v>5751</v>
      </c>
      <c r="C5308">
        <v>19</v>
      </c>
      <c r="D5308">
        <v>73.5</v>
      </c>
      <c r="E5308">
        <v>2.6</v>
      </c>
    </row>
    <row r="5309" spans="1:5" x14ac:dyDescent="0.2">
      <c r="A5309">
        <v>6510</v>
      </c>
      <c r="B5309">
        <v>5752</v>
      </c>
      <c r="C5309">
        <v>20</v>
      </c>
      <c r="D5309">
        <v>74.099999999999994</v>
      </c>
      <c r="E5309">
        <v>2.6</v>
      </c>
    </row>
    <row r="5310" spans="1:5" x14ac:dyDescent="0.2">
      <c r="A5310">
        <v>6515</v>
      </c>
      <c r="B5310">
        <v>5748</v>
      </c>
      <c r="C5310">
        <v>20</v>
      </c>
      <c r="D5310">
        <v>75.2</v>
      </c>
      <c r="E5310">
        <v>2.6</v>
      </c>
    </row>
    <row r="5311" spans="1:5" x14ac:dyDescent="0.2">
      <c r="A5311">
        <v>6520</v>
      </c>
      <c r="B5311">
        <v>5743</v>
      </c>
      <c r="C5311">
        <v>18</v>
      </c>
      <c r="D5311">
        <v>76.599999999999994</v>
      </c>
      <c r="E5311">
        <v>2.4</v>
      </c>
    </row>
    <row r="5312" spans="1:5" x14ac:dyDescent="0.2">
      <c r="A5312">
        <v>6525</v>
      </c>
      <c r="B5312">
        <v>5740</v>
      </c>
      <c r="C5312">
        <v>19</v>
      </c>
      <c r="D5312">
        <v>77.599999999999994</v>
      </c>
      <c r="E5312">
        <v>2.6</v>
      </c>
    </row>
    <row r="5313" spans="1:5" x14ac:dyDescent="0.2">
      <c r="A5313">
        <v>6530</v>
      </c>
      <c r="B5313">
        <v>5742</v>
      </c>
      <c r="C5313">
        <v>19</v>
      </c>
      <c r="D5313">
        <v>78</v>
      </c>
      <c r="E5313">
        <v>2.5</v>
      </c>
    </row>
    <row r="5314" spans="1:5" x14ac:dyDescent="0.2">
      <c r="A5314">
        <v>6535</v>
      </c>
      <c r="B5314">
        <v>5746</v>
      </c>
      <c r="C5314">
        <v>19</v>
      </c>
      <c r="D5314">
        <v>78</v>
      </c>
      <c r="E5314">
        <v>2.5</v>
      </c>
    </row>
    <row r="5315" spans="1:5" x14ac:dyDescent="0.2">
      <c r="A5315">
        <v>6540</v>
      </c>
      <c r="B5315">
        <v>5749</v>
      </c>
      <c r="C5315">
        <v>19</v>
      </c>
      <c r="D5315">
        <v>78.3</v>
      </c>
      <c r="E5315">
        <v>2.6</v>
      </c>
    </row>
    <row r="5316" spans="1:5" x14ac:dyDescent="0.2">
      <c r="A5316">
        <v>6545</v>
      </c>
      <c r="B5316">
        <v>5749</v>
      </c>
      <c r="C5316">
        <v>19</v>
      </c>
      <c r="D5316">
        <v>79</v>
      </c>
      <c r="E5316">
        <v>2.5</v>
      </c>
    </row>
    <row r="5317" spans="1:5" x14ac:dyDescent="0.2">
      <c r="A5317">
        <v>6550</v>
      </c>
      <c r="B5317">
        <v>5750</v>
      </c>
      <c r="C5317">
        <v>20</v>
      </c>
      <c r="D5317">
        <v>79.5</v>
      </c>
      <c r="E5317">
        <v>2.7</v>
      </c>
    </row>
    <row r="5318" spans="1:5" x14ac:dyDescent="0.2">
      <c r="A5318">
        <v>6555</v>
      </c>
      <c r="B5318">
        <v>5757</v>
      </c>
      <c r="C5318">
        <v>20</v>
      </c>
      <c r="D5318">
        <v>79.2</v>
      </c>
      <c r="E5318">
        <v>2.7</v>
      </c>
    </row>
    <row r="5319" spans="1:5" x14ac:dyDescent="0.2">
      <c r="A5319">
        <v>6560</v>
      </c>
      <c r="B5319">
        <v>5769</v>
      </c>
      <c r="C5319">
        <v>19</v>
      </c>
      <c r="D5319">
        <v>78.3</v>
      </c>
      <c r="E5319">
        <v>2.6</v>
      </c>
    </row>
    <row r="5320" spans="1:5" x14ac:dyDescent="0.2">
      <c r="A5320">
        <v>6565</v>
      </c>
      <c r="B5320">
        <v>5781</v>
      </c>
      <c r="C5320">
        <v>18</v>
      </c>
      <c r="D5320">
        <v>77.3</v>
      </c>
      <c r="E5320">
        <v>2.4</v>
      </c>
    </row>
    <row r="5321" spans="1:5" x14ac:dyDescent="0.2">
      <c r="A5321">
        <v>6570</v>
      </c>
      <c r="B5321">
        <v>5790</v>
      </c>
      <c r="C5321">
        <v>19</v>
      </c>
      <c r="D5321">
        <v>76.7</v>
      </c>
      <c r="E5321">
        <v>2.5</v>
      </c>
    </row>
    <row r="5322" spans="1:5" x14ac:dyDescent="0.2">
      <c r="A5322">
        <v>6575</v>
      </c>
      <c r="B5322">
        <v>5794</v>
      </c>
      <c r="C5322">
        <v>19</v>
      </c>
      <c r="D5322">
        <v>76.900000000000006</v>
      </c>
      <c r="E5322">
        <v>2.5</v>
      </c>
    </row>
    <row r="5323" spans="1:5" x14ac:dyDescent="0.2">
      <c r="A5323">
        <v>6580</v>
      </c>
      <c r="B5323">
        <v>5789</v>
      </c>
      <c r="C5323">
        <v>18</v>
      </c>
      <c r="D5323">
        <v>78.2</v>
      </c>
      <c r="E5323">
        <v>2.4</v>
      </c>
    </row>
    <row r="5324" spans="1:5" x14ac:dyDescent="0.2">
      <c r="A5324">
        <v>6585</v>
      </c>
      <c r="B5324">
        <v>5780</v>
      </c>
      <c r="C5324">
        <v>17</v>
      </c>
      <c r="D5324">
        <v>80</v>
      </c>
      <c r="E5324">
        <v>2.2999999999999998</v>
      </c>
    </row>
    <row r="5325" spans="1:5" x14ac:dyDescent="0.2">
      <c r="A5325">
        <v>6590</v>
      </c>
      <c r="B5325">
        <v>5772</v>
      </c>
      <c r="C5325">
        <v>18</v>
      </c>
      <c r="D5325">
        <v>81.8</v>
      </c>
      <c r="E5325">
        <v>2.5</v>
      </c>
    </row>
    <row r="5326" spans="1:5" x14ac:dyDescent="0.2">
      <c r="A5326">
        <v>6595</v>
      </c>
      <c r="B5326">
        <v>5769</v>
      </c>
      <c r="C5326">
        <v>18</v>
      </c>
      <c r="D5326">
        <v>82.9</v>
      </c>
      <c r="E5326">
        <v>2.4</v>
      </c>
    </row>
    <row r="5327" spans="1:5" x14ac:dyDescent="0.2">
      <c r="A5327">
        <v>6600</v>
      </c>
      <c r="B5327">
        <v>5773</v>
      </c>
      <c r="C5327">
        <v>17</v>
      </c>
      <c r="D5327">
        <v>83</v>
      </c>
      <c r="E5327">
        <v>2.2999999999999998</v>
      </c>
    </row>
    <row r="5328" spans="1:5" x14ac:dyDescent="0.2">
      <c r="A5328">
        <v>6605</v>
      </c>
      <c r="B5328">
        <v>5779</v>
      </c>
      <c r="C5328">
        <v>19</v>
      </c>
      <c r="D5328">
        <v>82.9</v>
      </c>
      <c r="E5328">
        <v>2.6</v>
      </c>
    </row>
    <row r="5329" spans="1:5" x14ac:dyDescent="0.2">
      <c r="A5329">
        <v>6610</v>
      </c>
      <c r="B5329">
        <v>5782</v>
      </c>
      <c r="C5329">
        <v>20</v>
      </c>
      <c r="D5329">
        <v>83.1</v>
      </c>
      <c r="E5329">
        <v>2.6</v>
      </c>
    </row>
    <row r="5330" spans="1:5" x14ac:dyDescent="0.2">
      <c r="A5330">
        <v>6615</v>
      </c>
      <c r="B5330">
        <v>5780</v>
      </c>
      <c r="C5330">
        <v>19</v>
      </c>
      <c r="D5330">
        <v>83.9</v>
      </c>
      <c r="E5330">
        <v>2.6</v>
      </c>
    </row>
    <row r="5331" spans="1:5" x14ac:dyDescent="0.2">
      <c r="A5331">
        <v>6620</v>
      </c>
      <c r="B5331">
        <v>5780</v>
      </c>
      <c r="C5331">
        <v>20</v>
      </c>
      <c r="D5331">
        <v>84.6</v>
      </c>
      <c r="E5331">
        <v>2.7</v>
      </c>
    </row>
    <row r="5332" spans="1:5" x14ac:dyDescent="0.2">
      <c r="A5332">
        <v>6625</v>
      </c>
      <c r="B5332">
        <v>5786</v>
      </c>
      <c r="C5332">
        <v>19</v>
      </c>
      <c r="D5332">
        <v>84.5</v>
      </c>
      <c r="E5332">
        <v>2.6</v>
      </c>
    </row>
    <row r="5333" spans="1:5" x14ac:dyDescent="0.2">
      <c r="A5333">
        <v>6630</v>
      </c>
      <c r="B5333">
        <v>5796</v>
      </c>
      <c r="C5333">
        <v>18</v>
      </c>
      <c r="D5333">
        <v>83.8</v>
      </c>
      <c r="E5333">
        <v>2.5</v>
      </c>
    </row>
    <row r="5334" spans="1:5" x14ac:dyDescent="0.2">
      <c r="A5334">
        <v>6635</v>
      </c>
      <c r="B5334">
        <v>5807</v>
      </c>
      <c r="C5334">
        <v>16</v>
      </c>
      <c r="D5334">
        <v>83</v>
      </c>
      <c r="E5334">
        <v>2.2000000000000002</v>
      </c>
    </row>
    <row r="5335" spans="1:5" x14ac:dyDescent="0.2">
      <c r="A5335">
        <v>6640</v>
      </c>
      <c r="B5335">
        <v>5814</v>
      </c>
      <c r="C5335">
        <v>16</v>
      </c>
      <c r="D5335">
        <v>82.6</v>
      </c>
      <c r="E5335">
        <v>2.2000000000000002</v>
      </c>
    </row>
    <row r="5336" spans="1:5" x14ac:dyDescent="0.2">
      <c r="A5336">
        <v>6645</v>
      </c>
      <c r="B5336">
        <v>5817</v>
      </c>
      <c r="C5336">
        <v>18</v>
      </c>
      <c r="D5336">
        <v>82.9</v>
      </c>
      <c r="E5336">
        <v>2.4</v>
      </c>
    </row>
    <row r="5337" spans="1:5" x14ac:dyDescent="0.2">
      <c r="A5337">
        <v>6650</v>
      </c>
      <c r="B5337">
        <v>5820</v>
      </c>
      <c r="C5337">
        <v>18</v>
      </c>
      <c r="D5337">
        <v>83.1</v>
      </c>
      <c r="E5337">
        <v>2.4</v>
      </c>
    </row>
    <row r="5338" spans="1:5" x14ac:dyDescent="0.2">
      <c r="A5338">
        <v>6655</v>
      </c>
      <c r="B5338">
        <v>5825</v>
      </c>
      <c r="C5338">
        <v>18</v>
      </c>
      <c r="D5338">
        <v>83.2</v>
      </c>
      <c r="E5338">
        <v>2.4</v>
      </c>
    </row>
    <row r="5339" spans="1:5" x14ac:dyDescent="0.2">
      <c r="A5339">
        <v>6660</v>
      </c>
      <c r="B5339">
        <v>5834</v>
      </c>
      <c r="C5339">
        <v>18</v>
      </c>
      <c r="D5339">
        <v>82.5</v>
      </c>
      <c r="E5339">
        <v>2.4</v>
      </c>
    </row>
    <row r="5340" spans="1:5" x14ac:dyDescent="0.2">
      <c r="A5340">
        <v>6665</v>
      </c>
      <c r="B5340">
        <v>5849</v>
      </c>
      <c r="C5340">
        <v>19</v>
      </c>
      <c r="D5340">
        <v>81.2</v>
      </c>
      <c r="E5340">
        <v>2.6</v>
      </c>
    </row>
    <row r="5341" spans="1:5" x14ac:dyDescent="0.2">
      <c r="A5341">
        <v>6670</v>
      </c>
      <c r="B5341">
        <v>5866</v>
      </c>
      <c r="C5341">
        <v>21</v>
      </c>
      <c r="D5341">
        <v>79.599999999999994</v>
      </c>
      <c r="E5341">
        <v>2.8</v>
      </c>
    </row>
    <row r="5342" spans="1:5" x14ac:dyDescent="0.2">
      <c r="A5342">
        <v>6675</v>
      </c>
      <c r="B5342">
        <v>5883</v>
      </c>
      <c r="C5342">
        <v>19</v>
      </c>
      <c r="D5342">
        <v>78</v>
      </c>
      <c r="E5342">
        <v>2.5</v>
      </c>
    </row>
    <row r="5343" spans="1:5" x14ac:dyDescent="0.2">
      <c r="A5343">
        <v>6680</v>
      </c>
      <c r="B5343">
        <v>5895</v>
      </c>
      <c r="C5343">
        <v>19</v>
      </c>
      <c r="D5343">
        <v>77.099999999999994</v>
      </c>
      <c r="E5343">
        <v>2.6</v>
      </c>
    </row>
    <row r="5344" spans="1:5" x14ac:dyDescent="0.2">
      <c r="A5344">
        <v>6685</v>
      </c>
      <c r="B5344">
        <v>5899</v>
      </c>
      <c r="C5344">
        <v>19</v>
      </c>
      <c r="D5344">
        <v>77.099999999999994</v>
      </c>
      <c r="E5344">
        <v>2.6</v>
      </c>
    </row>
    <row r="5345" spans="1:5" x14ac:dyDescent="0.2">
      <c r="A5345">
        <v>6690</v>
      </c>
      <c r="B5345">
        <v>5898</v>
      </c>
      <c r="C5345">
        <v>20</v>
      </c>
      <c r="D5345">
        <v>77.900000000000006</v>
      </c>
      <c r="E5345">
        <v>2.7</v>
      </c>
    </row>
    <row r="5346" spans="1:5" x14ac:dyDescent="0.2">
      <c r="A5346">
        <v>6695</v>
      </c>
      <c r="B5346">
        <v>5894</v>
      </c>
      <c r="C5346">
        <v>22</v>
      </c>
      <c r="D5346">
        <v>79</v>
      </c>
      <c r="E5346">
        <v>2.9</v>
      </c>
    </row>
    <row r="5347" spans="1:5" x14ac:dyDescent="0.2">
      <c r="A5347">
        <v>6700</v>
      </c>
      <c r="B5347">
        <v>5890</v>
      </c>
      <c r="C5347">
        <v>22</v>
      </c>
      <c r="D5347">
        <v>80.3</v>
      </c>
      <c r="E5347">
        <v>3</v>
      </c>
    </row>
    <row r="5348" spans="1:5" x14ac:dyDescent="0.2">
      <c r="A5348">
        <v>6705</v>
      </c>
      <c r="B5348">
        <v>5886</v>
      </c>
      <c r="C5348">
        <v>21</v>
      </c>
      <c r="D5348">
        <v>81.5</v>
      </c>
      <c r="E5348">
        <v>2.8</v>
      </c>
    </row>
    <row r="5349" spans="1:5" x14ac:dyDescent="0.2">
      <c r="A5349">
        <v>6710</v>
      </c>
      <c r="B5349">
        <v>5882</v>
      </c>
      <c r="C5349">
        <v>21</v>
      </c>
      <c r="D5349">
        <v>82.7</v>
      </c>
      <c r="E5349">
        <v>2.8</v>
      </c>
    </row>
    <row r="5350" spans="1:5" x14ac:dyDescent="0.2">
      <c r="A5350">
        <v>6715</v>
      </c>
      <c r="B5350">
        <v>5880</v>
      </c>
      <c r="C5350">
        <v>22</v>
      </c>
      <c r="D5350">
        <v>83.6</v>
      </c>
      <c r="E5350">
        <v>2.9</v>
      </c>
    </row>
    <row r="5351" spans="1:5" x14ac:dyDescent="0.2">
      <c r="A5351">
        <v>6720</v>
      </c>
      <c r="B5351">
        <v>5881</v>
      </c>
      <c r="C5351">
        <v>23</v>
      </c>
      <c r="D5351">
        <v>84.1</v>
      </c>
      <c r="E5351">
        <v>3</v>
      </c>
    </row>
    <row r="5352" spans="1:5" x14ac:dyDescent="0.2">
      <c r="A5352">
        <v>6725</v>
      </c>
      <c r="B5352">
        <v>5884</v>
      </c>
      <c r="C5352">
        <v>21</v>
      </c>
      <c r="D5352">
        <v>84.3</v>
      </c>
      <c r="E5352">
        <v>2.9</v>
      </c>
    </row>
    <row r="5353" spans="1:5" x14ac:dyDescent="0.2">
      <c r="A5353">
        <v>6730</v>
      </c>
      <c r="B5353">
        <v>5891</v>
      </c>
      <c r="C5353">
        <v>21</v>
      </c>
      <c r="D5353">
        <v>84</v>
      </c>
      <c r="E5353">
        <v>2.8</v>
      </c>
    </row>
    <row r="5354" spans="1:5" x14ac:dyDescent="0.2">
      <c r="A5354">
        <v>6735</v>
      </c>
      <c r="B5354">
        <v>5902</v>
      </c>
      <c r="C5354">
        <v>22</v>
      </c>
      <c r="D5354">
        <v>83.3</v>
      </c>
      <c r="E5354">
        <v>2.9</v>
      </c>
    </row>
    <row r="5355" spans="1:5" x14ac:dyDescent="0.2">
      <c r="A5355">
        <v>6740</v>
      </c>
      <c r="B5355">
        <v>5916</v>
      </c>
      <c r="C5355">
        <v>22</v>
      </c>
      <c r="D5355">
        <v>82</v>
      </c>
      <c r="E5355">
        <v>2.9</v>
      </c>
    </row>
    <row r="5356" spans="1:5" x14ac:dyDescent="0.2">
      <c r="A5356">
        <v>6745</v>
      </c>
      <c r="B5356">
        <v>5934</v>
      </c>
      <c r="C5356">
        <v>19</v>
      </c>
      <c r="D5356">
        <v>80.3</v>
      </c>
      <c r="E5356">
        <v>2.6</v>
      </c>
    </row>
    <row r="5357" spans="1:5" x14ac:dyDescent="0.2">
      <c r="A5357">
        <v>6750</v>
      </c>
      <c r="B5357">
        <v>5950</v>
      </c>
      <c r="C5357">
        <v>19</v>
      </c>
      <c r="D5357">
        <v>78.8</v>
      </c>
      <c r="E5357">
        <v>2.6</v>
      </c>
    </row>
    <row r="5358" spans="1:5" x14ac:dyDescent="0.2">
      <c r="A5358">
        <v>6755</v>
      </c>
      <c r="B5358">
        <v>5957</v>
      </c>
      <c r="C5358">
        <v>19</v>
      </c>
      <c r="D5358">
        <v>78.400000000000006</v>
      </c>
      <c r="E5358">
        <v>2.5</v>
      </c>
    </row>
    <row r="5359" spans="1:5" x14ac:dyDescent="0.2">
      <c r="A5359">
        <v>6760</v>
      </c>
      <c r="B5359">
        <v>5954</v>
      </c>
      <c r="C5359">
        <v>18</v>
      </c>
      <c r="D5359">
        <v>79.599999999999994</v>
      </c>
      <c r="E5359">
        <v>2.4</v>
      </c>
    </row>
    <row r="5360" spans="1:5" x14ac:dyDescent="0.2">
      <c r="A5360">
        <v>6765</v>
      </c>
      <c r="B5360">
        <v>5945</v>
      </c>
      <c r="C5360">
        <v>19</v>
      </c>
      <c r="D5360">
        <v>81.400000000000006</v>
      </c>
      <c r="E5360">
        <v>2.5</v>
      </c>
    </row>
    <row r="5361" spans="1:5" x14ac:dyDescent="0.2">
      <c r="A5361">
        <v>6770</v>
      </c>
      <c r="B5361">
        <v>5938</v>
      </c>
      <c r="C5361">
        <v>19</v>
      </c>
      <c r="D5361">
        <v>83</v>
      </c>
      <c r="E5361">
        <v>2.5</v>
      </c>
    </row>
    <row r="5362" spans="1:5" x14ac:dyDescent="0.2">
      <c r="A5362">
        <v>6775</v>
      </c>
      <c r="B5362">
        <v>5937</v>
      </c>
      <c r="C5362">
        <v>18</v>
      </c>
      <c r="D5362">
        <v>83.7</v>
      </c>
      <c r="E5362">
        <v>2.5</v>
      </c>
    </row>
    <row r="5363" spans="1:5" x14ac:dyDescent="0.2">
      <c r="A5363">
        <v>6780</v>
      </c>
      <c r="B5363">
        <v>5945</v>
      </c>
      <c r="C5363">
        <v>18</v>
      </c>
      <c r="D5363">
        <v>83.4</v>
      </c>
      <c r="E5363">
        <v>2.4</v>
      </c>
    </row>
    <row r="5364" spans="1:5" x14ac:dyDescent="0.2">
      <c r="A5364">
        <v>6785</v>
      </c>
      <c r="B5364">
        <v>5955</v>
      </c>
      <c r="C5364">
        <v>19</v>
      </c>
      <c r="D5364">
        <v>82.6</v>
      </c>
      <c r="E5364">
        <v>2.5</v>
      </c>
    </row>
    <row r="5365" spans="1:5" x14ac:dyDescent="0.2">
      <c r="A5365">
        <v>6790</v>
      </c>
      <c r="B5365">
        <v>5968</v>
      </c>
      <c r="C5365">
        <v>19</v>
      </c>
      <c r="D5365">
        <v>81.599999999999994</v>
      </c>
      <c r="E5365">
        <v>2.6</v>
      </c>
    </row>
    <row r="5366" spans="1:5" x14ac:dyDescent="0.2">
      <c r="A5366">
        <v>6795</v>
      </c>
      <c r="B5366">
        <v>5984</v>
      </c>
      <c r="C5366">
        <v>19</v>
      </c>
      <c r="D5366">
        <v>80</v>
      </c>
      <c r="E5366">
        <v>2.6</v>
      </c>
    </row>
    <row r="5367" spans="1:5" x14ac:dyDescent="0.2">
      <c r="A5367">
        <v>6800</v>
      </c>
      <c r="B5367">
        <v>6003</v>
      </c>
      <c r="C5367">
        <v>18</v>
      </c>
      <c r="D5367">
        <v>78.099999999999994</v>
      </c>
      <c r="E5367">
        <v>2.4</v>
      </c>
    </row>
    <row r="5368" spans="1:5" x14ac:dyDescent="0.2">
      <c r="A5368">
        <v>6805</v>
      </c>
      <c r="B5368">
        <v>6016</v>
      </c>
      <c r="C5368">
        <v>17</v>
      </c>
      <c r="D5368">
        <v>77.099999999999994</v>
      </c>
      <c r="E5368">
        <v>2.2999999999999998</v>
      </c>
    </row>
    <row r="5369" spans="1:5" x14ac:dyDescent="0.2">
      <c r="A5369">
        <v>6810</v>
      </c>
      <c r="B5369">
        <v>6015</v>
      </c>
      <c r="C5369">
        <v>18</v>
      </c>
      <c r="D5369">
        <v>77.900000000000006</v>
      </c>
      <c r="E5369">
        <v>2.4</v>
      </c>
    </row>
    <row r="5370" spans="1:5" x14ac:dyDescent="0.2">
      <c r="A5370">
        <v>6815</v>
      </c>
      <c r="B5370">
        <v>6002</v>
      </c>
      <c r="C5370">
        <v>18</v>
      </c>
      <c r="D5370">
        <v>80.3</v>
      </c>
      <c r="E5370">
        <v>2.5</v>
      </c>
    </row>
    <row r="5371" spans="1:5" x14ac:dyDescent="0.2">
      <c r="A5371">
        <v>6820</v>
      </c>
      <c r="B5371">
        <v>5987</v>
      </c>
      <c r="C5371">
        <v>19</v>
      </c>
      <c r="D5371">
        <v>83</v>
      </c>
      <c r="E5371">
        <v>2.6</v>
      </c>
    </row>
    <row r="5372" spans="1:5" x14ac:dyDescent="0.2">
      <c r="A5372">
        <v>6825</v>
      </c>
      <c r="B5372">
        <v>5982</v>
      </c>
      <c r="C5372">
        <v>18</v>
      </c>
      <c r="D5372">
        <v>84.2</v>
      </c>
      <c r="E5372">
        <v>2.5</v>
      </c>
    </row>
    <row r="5373" spans="1:5" x14ac:dyDescent="0.2">
      <c r="A5373">
        <v>6830</v>
      </c>
      <c r="B5373">
        <v>5987</v>
      </c>
      <c r="C5373">
        <v>18</v>
      </c>
      <c r="D5373">
        <v>84.2</v>
      </c>
      <c r="E5373">
        <v>2.4</v>
      </c>
    </row>
    <row r="5374" spans="1:5" x14ac:dyDescent="0.2">
      <c r="A5374">
        <v>6835</v>
      </c>
      <c r="B5374">
        <v>5989</v>
      </c>
      <c r="C5374">
        <v>17</v>
      </c>
      <c r="D5374">
        <v>84.6</v>
      </c>
      <c r="E5374">
        <v>2.2999999999999998</v>
      </c>
    </row>
    <row r="5375" spans="1:5" x14ac:dyDescent="0.2">
      <c r="A5375">
        <v>6840</v>
      </c>
      <c r="B5375">
        <v>5990</v>
      </c>
      <c r="C5375">
        <v>18</v>
      </c>
      <c r="D5375">
        <v>85.2</v>
      </c>
      <c r="E5375">
        <v>2.4</v>
      </c>
    </row>
    <row r="5376" spans="1:5" x14ac:dyDescent="0.2">
      <c r="A5376">
        <v>6845</v>
      </c>
      <c r="B5376">
        <v>5997</v>
      </c>
      <c r="C5376">
        <v>17</v>
      </c>
      <c r="D5376">
        <v>84.9</v>
      </c>
      <c r="E5376">
        <v>2.4</v>
      </c>
    </row>
    <row r="5377" spans="1:5" x14ac:dyDescent="0.2">
      <c r="A5377">
        <v>6850</v>
      </c>
      <c r="B5377">
        <v>6009</v>
      </c>
      <c r="C5377">
        <v>17</v>
      </c>
      <c r="D5377">
        <v>84</v>
      </c>
      <c r="E5377">
        <v>2.2999999999999998</v>
      </c>
    </row>
    <row r="5378" spans="1:5" x14ac:dyDescent="0.2">
      <c r="A5378">
        <v>6855</v>
      </c>
      <c r="B5378">
        <v>6019</v>
      </c>
      <c r="C5378">
        <v>17</v>
      </c>
      <c r="D5378">
        <v>83.2</v>
      </c>
      <c r="E5378">
        <v>2.2000000000000002</v>
      </c>
    </row>
    <row r="5379" spans="1:5" x14ac:dyDescent="0.2">
      <c r="A5379">
        <v>6860</v>
      </c>
      <c r="B5379">
        <v>6025</v>
      </c>
      <c r="C5379">
        <v>17</v>
      </c>
      <c r="D5379">
        <v>83.1</v>
      </c>
      <c r="E5379">
        <v>2.2999999999999998</v>
      </c>
    </row>
    <row r="5380" spans="1:5" x14ac:dyDescent="0.2">
      <c r="A5380">
        <v>6865</v>
      </c>
      <c r="B5380">
        <v>6025</v>
      </c>
      <c r="C5380">
        <v>18</v>
      </c>
      <c r="D5380">
        <v>83.8</v>
      </c>
      <c r="E5380">
        <v>2.5</v>
      </c>
    </row>
    <row r="5381" spans="1:5" x14ac:dyDescent="0.2">
      <c r="A5381">
        <v>6870</v>
      </c>
      <c r="B5381">
        <v>6020</v>
      </c>
      <c r="C5381">
        <v>18</v>
      </c>
      <c r="D5381">
        <v>85.1</v>
      </c>
      <c r="E5381">
        <v>2.4</v>
      </c>
    </row>
    <row r="5382" spans="1:5" x14ac:dyDescent="0.2">
      <c r="A5382">
        <v>6875</v>
      </c>
      <c r="B5382">
        <v>6015</v>
      </c>
      <c r="C5382">
        <v>19</v>
      </c>
      <c r="D5382">
        <v>86.3</v>
      </c>
      <c r="E5382">
        <v>2.5</v>
      </c>
    </row>
    <row r="5383" spans="1:5" x14ac:dyDescent="0.2">
      <c r="A5383">
        <v>6880</v>
      </c>
      <c r="B5383">
        <v>6017</v>
      </c>
      <c r="C5383">
        <v>18</v>
      </c>
      <c r="D5383">
        <v>86.7</v>
      </c>
      <c r="E5383">
        <v>2.4</v>
      </c>
    </row>
    <row r="5384" spans="1:5" x14ac:dyDescent="0.2">
      <c r="A5384">
        <v>6885</v>
      </c>
      <c r="B5384">
        <v>6027</v>
      </c>
      <c r="C5384">
        <v>18</v>
      </c>
      <c r="D5384">
        <v>86</v>
      </c>
      <c r="E5384">
        <v>2.5</v>
      </c>
    </row>
    <row r="5385" spans="1:5" x14ac:dyDescent="0.2">
      <c r="A5385">
        <v>6890</v>
      </c>
      <c r="B5385">
        <v>6039</v>
      </c>
      <c r="C5385">
        <v>18</v>
      </c>
      <c r="D5385">
        <v>85</v>
      </c>
      <c r="E5385">
        <v>2.5</v>
      </c>
    </row>
    <row r="5386" spans="1:5" x14ac:dyDescent="0.2">
      <c r="A5386">
        <v>6895</v>
      </c>
      <c r="B5386">
        <v>6050</v>
      </c>
      <c r="C5386">
        <v>18</v>
      </c>
      <c r="D5386">
        <v>84.2</v>
      </c>
      <c r="E5386">
        <v>2.4</v>
      </c>
    </row>
    <row r="5387" spans="1:5" x14ac:dyDescent="0.2">
      <c r="A5387">
        <v>6900</v>
      </c>
      <c r="B5387">
        <v>6058</v>
      </c>
      <c r="C5387">
        <v>18</v>
      </c>
      <c r="D5387">
        <v>83.8</v>
      </c>
      <c r="E5387">
        <v>2.4</v>
      </c>
    </row>
    <row r="5388" spans="1:5" x14ac:dyDescent="0.2">
      <c r="A5388">
        <v>6905</v>
      </c>
      <c r="B5388">
        <v>6062</v>
      </c>
      <c r="C5388">
        <v>18</v>
      </c>
      <c r="D5388">
        <v>84</v>
      </c>
      <c r="E5388">
        <v>2.4</v>
      </c>
    </row>
    <row r="5389" spans="1:5" x14ac:dyDescent="0.2">
      <c r="A5389">
        <v>6910</v>
      </c>
      <c r="B5389">
        <v>6063</v>
      </c>
      <c r="C5389">
        <v>20</v>
      </c>
      <c r="D5389">
        <v>84.5</v>
      </c>
      <c r="E5389">
        <v>2.6</v>
      </c>
    </row>
    <row r="5390" spans="1:5" x14ac:dyDescent="0.2">
      <c r="A5390">
        <v>6915</v>
      </c>
      <c r="B5390">
        <v>6062</v>
      </c>
      <c r="C5390">
        <v>19</v>
      </c>
      <c r="D5390">
        <v>85.3</v>
      </c>
      <c r="E5390">
        <v>2.6</v>
      </c>
    </row>
    <row r="5391" spans="1:5" x14ac:dyDescent="0.2">
      <c r="A5391">
        <v>6920</v>
      </c>
      <c r="B5391">
        <v>6060</v>
      </c>
      <c r="C5391">
        <v>18</v>
      </c>
      <c r="D5391">
        <v>86.2</v>
      </c>
      <c r="E5391">
        <v>2.4</v>
      </c>
    </row>
    <row r="5392" spans="1:5" x14ac:dyDescent="0.2">
      <c r="A5392">
        <v>6925</v>
      </c>
      <c r="B5392">
        <v>6058</v>
      </c>
      <c r="C5392">
        <v>19</v>
      </c>
      <c r="D5392">
        <v>87.1</v>
      </c>
      <c r="E5392">
        <v>2.6</v>
      </c>
    </row>
    <row r="5393" spans="1:5" x14ac:dyDescent="0.2">
      <c r="A5393">
        <v>6930</v>
      </c>
      <c r="B5393">
        <v>6058</v>
      </c>
      <c r="C5393">
        <v>20</v>
      </c>
      <c r="D5393">
        <v>87.8</v>
      </c>
      <c r="E5393">
        <v>2.7</v>
      </c>
    </row>
    <row r="5394" spans="1:5" x14ac:dyDescent="0.2">
      <c r="A5394">
        <v>6935</v>
      </c>
      <c r="B5394">
        <v>6060</v>
      </c>
      <c r="C5394">
        <v>18</v>
      </c>
      <c r="D5394">
        <v>88.1</v>
      </c>
      <c r="E5394">
        <v>2.5</v>
      </c>
    </row>
    <row r="5395" spans="1:5" x14ac:dyDescent="0.2">
      <c r="A5395">
        <v>6940</v>
      </c>
      <c r="B5395">
        <v>6067</v>
      </c>
      <c r="C5395">
        <v>19</v>
      </c>
      <c r="D5395">
        <v>87.8</v>
      </c>
      <c r="E5395">
        <v>2.6</v>
      </c>
    </row>
    <row r="5396" spans="1:5" x14ac:dyDescent="0.2">
      <c r="A5396">
        <v>6945</v>
      </c>
      <c r="B5396">
        <v>6081</v>
      </c>
      <c r="C5396">
        <v>19</v>
      </c>
      <c r="D5396">
        <v>86.7</v>
      </c>
      <c r="E5396">
        <v>2.6</v>
      </c>
    </row>
    <row r="5397" spans="1:5" x14ac:dyDescent="0.2">
      <c r="A5397">
        <v>6950</v>
      </c>
      <c r="B5397">
        <v>6096</v>
      </c>
      <c r="C5397">
        <v>20</v>
      </c>
      <c r="D5397">
        <v>85.3</v>
      </c>
      <c r="E5397">
        <v>2.8</v>
      </c>
    </row>
    <row r="5398" spans="1:5" x14ac:dyDescent="0.2">
      <c r="A5398">
        <v>6955</v>
      </c>
      <c r="B5398">
        <v>6105</v>
      </c>
      <c r="C5398">
        <v>21</v>
      </c>
      <c r="D5398">
        <v>84.6</v>
      </c>
      <c r="E5398">
        <v>2.8</v>
      </c>
    </row>
    <row r="5399" spans="1:5" x14ac:dyDescent="0.2">
      <c r="A5399">
        <v>6960</v>
      </c>
      <c r="B5399">
        <v>6109</v>
      </c>
      <c r="C5399">
        <v>20</v>
      </c>
      <c r="D5399">
        <v>84.8</v>
      </c>
      <c r="E5399">
        <v>2.7</v>
      </c>
    </row>
    <row r="5400" spans="1:5" x14ac:dyDescent="0.2">
      <c r="A5400">
        <v>6965</v>
      </c>
      <c r="B5400">
        <v>6110</v>
      </c>
      <c r="C5400">
        <v>21</v>
      </c>
      <c r="D5400">
        <v>85.4</v>
      </c>
      <c r="E5400">
        <v>2.8</v>
      </c>
    </row>
    <row r="5401" spans="1:5" x14ac:dyDescent="0.2">
      <c r="A5401">
        <v>6970</v>
      </c>
      <c r="B5401">
        <v>6109</v>
      </c>
      <c r="C5401">
        <v>22</v>
      </c>
      <c r="D5401">
        <v>86.2</v>
      </c>
      <c r="E5401">
        <v>3</v>
      </c>
    </row>
    <row r="5402" spans="1:5" x14ac:dyDescent="0.2">
      <c r="A5402">
        <v>6975</v>
      </c>
      <c r="B5402">
        <v>6109</v>
      </c>
      <c r="C5402">
        <v>20</v>
      </c>
      <c r="D5402">
        <v>86.7</v>
      </c>
      <c r="E5402">
        <v>2.7</v>
      </c>
    </row>
    <row r="5403" spans="1:5" x14ac:dyDescent="0.2">
      <c r="A5403">
        <v>6980</v>
      </c>
      <c r="B5403">
        <v>6112</v>
      </c>
      <c r="C5403">
        <v>19</v>
      </c>
      <c r="D5403">
        <v>87</v>
      </c>
      <c r="E5403">
        <v>2.6</v>
      </c>
    </row>
    <row r="5404" spans="1:5" x14ac:dyDescent="0.2">
      <c r="A5404">
        <v>6985</v>
      </c>
      <c r="B5404">
        <v>6117</v>
      </c>
      <c r="C5404">
        <v>20</v>
      </c>
      <c r="D5404">
        <v>87</v>
      </c>
      <c r="E5404">
        <v>2.7</v>
      </c>
    </row>
    <row r="5405" spans="1:5" x14ac:dyDescent="0.2">
      <c r="A5405">
        <v>6990</v>
      </c>
      <c r="B5405">
        <v>6124</v>
      </c>
      <c r="C5405">
        <v>19</v>
      </c>
      <c r="D5405">
        <v>86.7</v>
      </c>
      <c r="E5405">
        <v>2.6</v>
      </c>
    </row>
    <row r="5406" spans="1:5" x14ac:dyDescent="0.2">
      <c r="A5406">
        <v>6995</v>
      </c>
      <c r="B5406">
        <v>6133</v>
      </c>
      <c r="C5406">
        <v>19</v>
      </c>
      <c r="D5406">
        <v>86.2</v>
      </c>
      <c r="E5406">
        <v>2.6</v>
      </c>
    </row>
    <row r="5407" spans="1:5" x14ac:dyDescent="0.2">
      <c r="A5407">
        <v>7000</v>
      </c>
      <c r="B5407">
        <v>6142</v>
      </c>
      <c r="C5407">
        <v>20</v>
      </c>
      <c r="D5407">
        <v>85.6</v>
      </c>
      <c r="E5407">
        <v>2.7</v>
      </c>
    </row>
    <row r="5408" spans="1:5" x14ac:dyDescent="0.2">
      <c r="A5408">
        <v>7005</v>
      </c>
      <c r="B5408">
        <v>6151</v>
      </c>
      <c r="C5408">
        <v>19</v>
      </c>
      <c r="D5408">
        <v>85.1</v>
      </c>
      <c r="E5408">
        <v>2.6</v>
      </c>
    </row>
    <row r="5409" spans="1:5" x14ac:dyDescent="0.2">
      <c r="A5409">
        <v>7010</v>
      </c>
      <c r="B5409">
        <v>6159</v>
      </c>
      <c r="C5409">
        <v>19</v>
      </c>
      <c r="D5409">
        <v>84.6</v>
      </c>
      <c r="E5409">
        <v>2.5</v>
      </c>
    </row>
    <row r="5410" spans="1:5" x14ac:dyDescent="0.2">
      <c r="A5410">
        <v>7015</v>
      </c>
      <c r="B5410">
        <v>6167</v>
      </c>
      <c r="C5410">
        <v>20</v>
      </c>
      <c r="D5410">
        <v>84.2</v>
      </c>
      <c r="E5410">
        <v>2.7</v>
      </c>
    </row>
    <row r="5411" spans="1:5" x14ac:dyDescent="0.2">
      <c r="A5411">
        <v>7020</v>
      </c>
      <c r="B5411">
        <v>6174</v>
      </c>
      <c r="C5411">
        <v>21</v>
      </c>
      <c r="D5411">
        <v>83.9</v>
      </c>
      <c r="E5411">
        <v>2.9</v>
      </c>
    </row>
    <row r="5412" spans="1:5" x14ac:dyDescent="0.2">
      <c r="A5412">
        <v>7025</v>
      </c>
      <c r="B5412">
        <v>6181</v>
      </c>
      <c r="C5412">
        <v>20</v>
      </c>
      <c r="D5412">
        <v>83.6</v>
      </c>
      <c r="E5412">
        <v>2.7</v>
      </c>
    </row>
    <row r="5413" spans="1:5" x14ac:dyDescent="0.2">
      <c r="A5413">
        <v>7030</v>
      </c>
      <c r="B5413">
        <v>6186</v>
      </c>
      <c r="C5413">
        <v>19</v>
      </c>
      <c r="D5413">
        <v>83.6</v>
      </c>
      <c r="E5413">
        <v>2.5</v>
      </c>
    </row>
    <row r="5414" spans="1:5" x14ac:dyDescent="0.2">
      <c r="A5414">
        <v>7035</v>
      </c>
      <c r="B5414">
        <v>6189</v>
      </c>
      <c r="C5414">
        <v>19</v>
      </c>
      <c r="D5414">
        <v>83.9</v>
      </c>
      <c r="E5414">
        <v>2.6</v>
      </c>
    </row>
    <row r="5415" spans="1:5" x14ac:dyDescent="0.2">
      <c r="A5415">
        <v>7040</v>
      </c>
      <c r="B5415">
        <v>6187</v>
      </c>
      <c r="C5415">
        <v>19</v>
      </c>
      <c r="D5415">
        <v>84.7</v>
      </c>
      <c r="E5415">
        <v>2.6</v>
      </c>
    </row>
    <row r="5416" spans="1:5" x14ac:dyDescent="0.2">
      <c r="A5416">
        <v>7045</v>
      </c>
      <c r="B5416">
        <v>6183</v>
      </c>
      <c r="C5416">
        <v>19</v>
      </c>
      <c r="D5416">
        <v>86</v>
      </c>
      <c r="E5416">
        <v>2.5</v>
      </c>
    </row>
    <row r="5417" spans="1:5" x14ac:dyDescent="0.2">
      <c r="A5417">
        <v>7050</v>
      </c>
      <c r="B5417">
        <v>6178</v>
      </c>
      <c r="C5417">
        <v>20</v>
      </c>
      <c r="D5417">
        <v>87.3</v>
      </c>
      <c r="E5417">
        <v>2.6</v>
      </c>
    </row>
    <row r="5418" spans="1:5" x14ac:dyDescent="0.2">
      <c r="A5418">
        <v>7055</v>
      </c>
      <c r="B5418">
        <v>6175</v>
      </c>
      <c r="C5418">
        <v>21</v>
      </c>
      <c r="D5418">
        <v>88.4</v>
      </c>
      <c r="E5418">
        <v>2.8</v>
      </c>
    </row>
    <row r="5419" spans="1:5" x14ac:dyDescent="0.2">
      <c r="A5419">
        <v>7060</v>
      </c>
      <c r="B5419">
        <v>6175</v>
      </c>
      <c r="C5419">
        <v>20</v>
      </c>
      <c r="D5419">
        <v>89.1</v>
      </c>
      <c r="E5419">
        <v>2.7</v>
      </c>
    </row>
    <row r="5420" spans="1:5" x14ac:dyDescent="0.2">
      <c r="A5420">
        <v>7065</v>
      </c>
      <c r="B5420">
        <v>6179</v>
      </c>
      <c r="C5420">
        <v>19</v>
      </c>
      <c r="D5420">
        <v>89.2</v>
      </c>
      <c r="E5420">
        <v>2.6</v>
      </c>
    </row>
    <row r="5421" spans="1:5" x14ac:dyDescent="0.2">
      <c r="A5421">
        <v>7070</v>
      </c>
      <c r="B5421">
        <v>6184</v>
      </c>
      <c r="C5421">
        <v>20</v>
      </c>
      <c r="D5421">
        <v>89.1</v>
      </c>
      <c r="E5421">
        <v>2.7</v>
      </c>
    </row>
    <row r="5422" spans="1:5" x14ac:dyDescent="0.2">
      <c r="A5422">
        <v>7075</v>
      </c>
      <c r="B5422">
        <v>6189</v>
      </c>
      <c r="C5422">
        <v>19</v>
      </c>
      <c r="D5422">
        <v>89.1</v>
      </c>
      <c r="E5422">
        <v>2.6</v>
      </c>
    </row>
    <row r="5423" spans="1:5" x14ac:dyDescent="0.2">
      <c r="A5423">
        <v>7080</v>
      </c>
      <c r="B5423">
        <v>6193</v>
      </c>
      <c r="C5423">
        <v>19</v>
      </c>
      <c r="D5423">
        <v>89.3</v>
      </c>
      <c r="E5423">
        <v>2.6</v>
      </c>
    </row>
    <row r="5424" spans="1:5" x14ac:dyDescent="0.2">
      <c r="A5424">
        <v>7085</v>
      </c>
      <c r="B5424">
        <v>6194</v>
      </c>
      <c r="C5424">
        <v>20</v>
      </c>
      <c r="D5424">
        <v>89.7</v>
      </c>
      <c r="E5424">
        <v>2.7</v>
      </c>
    </row>
    <row r="5425" spans="1:5" x14ac:dyDescent="0.2">
      <c r="A5425">
        <v>7090</v>
      </c>
      <c r="B5425">
        <v>6195</v>
      </c>
      <c r="C5425">
        <v>18</v>
      </c>
      <c r="D5425">
        <v>90.3</v>
      </c>
      <c r="E5425">
        <v>2.5</v>
      </c>
    </row>
    <row r="5426" spans="1:5" x14ac:dyDescent="0.2">
      <c r="A5426">
        <v>7095</v>
      </c>
      <c r="B5426">
        <v>6193</v>
      </c>
      <c r="C5426">
        <v>19</v>
      </c>
      <c r="D5426">
        <v>91.2</v>
      </c>
      <c r="E5426">
        <v>2.6</v>
      </c>
    </row>
    <row r="5427" spans="1:5" x14ac:dyDescent="0.2">
      <c r="A5427">
        <v>7100</v>
      </c>
      <c r="B5427">
        <v>6191</v>
      </c>
      <c r="C5427">
        <v>21</v>
      </c>
      <c r="D5427">
        <v>92.1</v>
      </c>
      <c r="E5427">
        <v>2.9</v>
      </c>
    </row>
    <row r="5428" spans="1:5" x14ac:dyDescent="0.2">
      <c r="A5428">
        <v>7105</v>
      </c>
      <c r="B5428">
        <v>6189</v>
      </c>
      <c r="C5428">
        <v>21</v>
      </c>
      <c r="D5428">
        <v>93.1</v>
      </c>
      <c r="E5428">
        <v>2.8</v>
      </c>
    </row>
    <row r="5429" spans="1:5" x14ac:dyDescent="0.2">
      <c r="A5429">
        <v>7110</v>
      </c>
      <c r="B5429">
        <v>6186</v>
      </c>
      <c r="C5429">
        <v>21</v>
      </c>
      <c r="D5429">
        <v>94.1</v>
      </c>
      <c r="E5429">
        <v>2.8</v>
      </c>
    </row>
    <row r="5430" spans="1:5" x14ac:dyDescent="0.2">
      <c r="A5430">
        <v>7115</v>
      </c>
      <c r="B5430">
        <v>6182</v>
      </c>
      <c r="C5430">
        <v>21</v>
      </c>
      <c r="D5430">
        <v>95.4</v>
      </c>
      <c r="E5430">
        <v>2.9</v>
      </c>
    </row>
    <row r="5431" spans="1:5" x14ac:dyDescent="0.2">
      <c r="A5431">
        <v>7120</v>
      </c>
      <c r="B5431">
        <v>6176</v>
      </c>
      <c r="C5431">
        <v>19</v>
      </c>
      <c r="D5431">
        <v>96.8</v>
      </c>
      <c r="E5431">
        <v>2.6</v>
      </c>
    </row>
    <row r="5432" spans="1:5" x14ac:dyDescent="0.2">
      <c r="A5432">
        <v>7125</v>
      </c>
      <c r="B5432">
        <v>6168</v>
      </c>
      <c r="C5432">
        <v>18</v>
      </c>
      <c r="D5432">
        <v>98.5</v>
      </c>
      <c r="E5432">
        <v>2.5</v>
      </c>
    </row>
    <row r="5433" spans="1:5" x14ac:dyDescent="0.2">
      <c r="A5433">
        <v>7130</v>
      </c>
      <c r="B5433">
        <v>6158</v>
      </c>
      <c r="C5433">
        <v>20</v>
      </c>
      <c r="D5433">
        <v>100.7</v>
      </c>
      <c r="E5433">
        <v>2.7</v>
      </c>
    </row>
    <row r="5434" spans="1:5" x14ac:dyDescent="0.2">
      <c r="A5434">
        <v>7135</v>
      </c>
      <c r="B5434">
        <v>6144</v>
      </c>
      <c r="C5434">
        <v>19</v>
      </c>
      <c r="D5434">
        <v>103.2</v>
      </c>
      <c r="E5434">
        <v>2.6</v>
      </c>
    </row>
    <row r="5435" spans="1:5" x14ac:dyDescent="0.2">
      <c r="A5435">
        <v>7140</v>
      </c>
      <c r="B5435">
        <v>6133</v>
      </c>
      <c r="C5435">
        <v>18</v>
      </c>
      <c r="D5435">
        <v>105.4</v>
      </c>
      <c r="E5435">
        <v>2.5</v>
      </c>
    </row>
    <row r="5436" spans="1:5" x14ac:dyDescent="0.2">
      <c r="A5436">
        <v>7145</v>
      </c>
      <c r="B5436">
        <v>6131</v>
      </c>
      <c r="C5436">
        <v>20</v>
      </c>
      <c r="D5436">
        <v>106.3</v>
      </c>
      <c r="E5436">
        <v>2.8</v>
      </c>
    </row>
    <row r="5437" spans="1:5" x14ac:dyDescent="0.2">
      <c r="A5437">
        <v>7150</v>
      </c>
      <c r="B5437">
        <v>6147</v>
      </c>
      <c r="C5437">
        <v>21</v>
      </c>
      <c r="D5437">
        <v>104.9</v>
      </c>
      <c r="E5437">
        <v>2.9</v>
      </c>
    </row>
    <row r="5438" spans="1:5" x14ac:dyDescent="0.2">
      <c r="A5438">
        <v>7155</v>
      </c>
      <c r="B5438">
        <v>6177</v>
      </c>
      <c r="C5438">
        <v>20</v>
      </c>
      <c r="D5438">
        <v>101.4</v>
      </c>
      <c r="E5438">
        <v>2.7</v>
      </c>
    </row>
    <row r="5439" spans="1:5" x14ac:dyDescent="0.2">
      <c r="A5439">
        <v>7160</v>
      </c>
      <c r="B5439">
        <v>6215</v>
      </c>
      <c r="C5439">
        <v>20</v>
      </c>
      <c r="D5439">
        <v>96.8</v>
      </c>
      <c r="E5439">
        <v>2.7</v>
      </c>
    </row>
    <row r="5440" spans="1:5" x14ac:dyDescent="0.2">
      <c r="A5440">
        <v>7165</v>
      </c>
      <c r="B5440">
        <v>6254</v>
      </c>
      <c r="C5440">
        <v>22</v>
      </c>
      <c r="D5440">
        <v>92.2</v>
      </c>
      <c r="E5440">
        <v>2.9</v>
      </c>
    </row>
    <row r="5441" spans="1:5" x14ac:dyDescent="0.2">
      <c r="A5441">
        <v>7170</v>
      </c>
      <c r="B5441">
        <v>6284</v>
      </c>
      <c r="C5441">
        <v>23</v>
      </c>
      <c r="D5441">
        <v>88.8</v>
      </c>
      <c r="E5441">
        <v>3.1</v>
      </c>
    </row>
    <row r="5442" spans="1:5" x14ac:dyDescent="0.2">
      <c r="A5442">
        <v>7175</v>
      </c>
      <c r="B5442">
        <v>6303</v>
      </c>
      <c r="C5442">
        <v>22</v>
      </c>
      <c r="D5442">
        <v>86.8</v>
      </c>
      <c r="E5442">
        <v>2.9</v>
      </c>
    </row>
    <row r="5443" spans="1:5" x14ac:dyDescent="0.2">
      <c r="A5443">
        <v>7180</v>
      </c>
      <c r="B5443">
        <v>6313</v>
      </c>
      <c r="C5443">
        <v>22</v>
      </c>
      <c r="D5443">
        <v>86.2</v>
      </c>
      <c r="E5443">
        <v>3</v>
      </c>
    </row>
    <row r="5444" spans="1:5" x14ac:dyDescent="0.2">
      <c r="A5444">
        <v>7185</v>
      </c>
      <c r="B5444">
        <v>6315</v>
      </c>
      <c r="C5444">
        <v>24</v>
      </c>
      <c r="D5444">
        <v>86.6</v>
      </c>
      <c r="E5444">
        <v>3.3</v>
      </c>
    </row>
    <row r="5445" spans="1:5" x14ac:dyDescent="0.2">
      <c r="A5445">
        <v>7190</v>
      </c>
      <c r="B5445">
        <v>6312</v>
      </c>
      <c r="C5445">
        <v>27</v>
      </c>
      <c r="D5445">
        <v>87.6</v>
      </c>
      <c r="E5445">
        <v>3.6</v>
      </c>
    </row>
    <row r="5446" spans="1:5" x14ac:dyDescent="0.2">
      <c r="A5446">
        <v>7195</v>
      </c>
      <c r="B5446">
        <v>6306</v>
      </c>
      <c r="C5446">
        <v>27</v>
      </c>
      <c r="D5446">
        <v>89.1</v>
      </c>
      <c r="E5446">
        <v>3.6</v>
      </c>
    </row>
    <row r="5447" spans="1:5" x14ac:dyDescent="0.2">
      <c r="A5447">
        <v>7200</v>
      </c>
      <c r="B5447">
        <v>6297</v>
      </c>
      <c r="C5447">
        <v>25</v>
      </c>
      <c r="D5447">
        <v>90.9</v>
      </c>
      <c r="E5447">
        <v>3.4</v>
      </c>
    </row>
    <row r="5448" spans="1:5" x14ac:dyDescent="0.2">
      <c r="A5448">
        <v>7205</v>
      </c>
      <c r="B5448">
        <v>6287</v>
      </c>
      <c r="C5448">
        <v>23</v>
      </c>
      <c r="D5448">
        <v>92.9</v>
      </c>
      <c r="E5448">
        <v>3.1</v>
      </c>
    </row>
    <row r="5449" spans="1:5" x14ac:dyDescent="0.2">
      <c r="A5449">
        <v>7210</v>
      </c>
      <c r="B5449">
        <v>6277</v>
      </c>
      <c r="C5449">
        <v>22</v>
      </c>
      <c r="D5449">
        <v>94.9</v>
      </c>
      <c r="E5449">
        <v>3</v>
      </c>
    </row>
    <row r="5450" spans="1:5" x14ac:dyDescent="0.2">
      <c r="A5450">
        <v>7215</v>
      </c>
      <c r="B5450">
        <v>6268</v>
      </c>
      <c r="C5450">
        <v>21</v>
      </c>
      <c r="D5450">
        <v>96.9</v>
      </c>
      <c r="E5450">
        <v>2.9</v>
      </c>
    </row>
    <row r="5451" spans="1:5" x14ac:dyDescent="0.2">
      <c r="A5451">
        <v>7220</v>
      </c>
      <c r="B5451">
        <v>6261</v>
      </c>
      <c r="C5451">
        <v>21</v>
      </c>
      <c r="D5451">
        <v>98.5</v>
      </c>
      <c r="E5451">
        <v>2.9</v>
      </c>
    </row>
    <row r="5452" spans="1:5" x14ac:dyDescent="0.2">
      <c r="A5452">
        <v>7225</v>
      </c>
      <c r="B5452">
        <v>6257</v>
      </c>
      <c r="C5452">
        <v>20</v>
      </c>
      <c r="D5452">
        <v>99.8</v>
      </c>
      <c r="E5452">
        <v>2.8</v>
      </c>
    </row>
    <row r="5453" spans="1:5" x14ac:dyDescent="0.2">
      <c r="A5453">
        <v>7230</v>
      </c>
      <c r="B5453">
        <v>6256</v>
      </c>
      <c r="C5453">
        <v>18</v>
      </c>
      <c r="D5453">
        <v>100.6</v>
      </c>
      <c r="E5453">
        <v>2.5</v>
      </c>
    </row>
    <row r="5454" spans="1:5" x14ac:dyDescent="0.2">
      <c r="A5454">
        <v>7235</v>
      </c>
      <c r="B5454">
        <v>6259</v>
      </c>
      <c r="C5454">
        <v>18</v>
      </c>
      <c r="D5454">
        <v>100.8</v>
      </c>
      <c r="E5454">
        <v>2.4</v>
      </c>
    </row>
    <row r="5455" spans="1:5" x14ac:dyDescent="0.2">
      <c r="A5455">
        <v>7240</v>
      </c>
      <c r="B5455">
        <v>6266</v>
      </c>
      <c r="C5455">
        <v>19</v>
      </c>
      <c r="D5455">
        <v>100.5</v>
      </c>
      <c r="E5455">
        <v>2.6</v>
      </c>
    </row>
    <row r="5456" spans="1:5" x14ac:dyDescent="0.2">
      <c r="A5456">
        <v>7245</v>
      </c>
      <c r="B5456">
        <v>6277</v>
      </c>
      <c r="C5456">
        <v>20</v>
      </c>
      <c r="D5456">
        <v>99.6</v>
      </c>
      <c r="E5456">
        <v>2.7</v>
      </c>
    </row>
    <row r="5457" spans="1:5" x14ac:dyDescent="0.2">
      <c r="A5457">
        <v>7250</v>
      </c>
      <c r="B5457">
        <v>6293</v>
      </c>
      <c r="C5457">
        <v>19</v>
      </c>
      <c r="D5457">
        <v>98.1</v>
      </c>
      <c r="E5457">
        <v>2.5</v>
      </c>
    </row>
    <row r="5458" spans="1:5" x14ac:dyDescent="0.2">
      <c r="A5458">
        <v>7255</v>
      </c>
      <c r="B5458">
        <v>6312</v>
      </c>
      <c r="C5458">
        <v>17</v>
      </c>
      <c r="D5458">
        <v>96.2</v>
      </c>
      <c r="E5458">
        <v>2.4</v>
      </c>
    </row>
    <row r="5459" spans="1:5" x14ac:dyDescent="0.2">
      <c r="A5459">
        <v>7260</v>
      </c>
      <c r="B5459">
        <v>6331</v>
      </c>
      <c r="C5459">
        <v>18</v>
      </c>
      <c r="D5459">
        <v>94.2</v>
      </c>
      <c r="E5459">
        <v>2.5</v>
      </c>
    </row>
    <row r="5460" spans="1:5" x14ac:dyDescent="0.2">
      <c r="A5460">
        <v>7265</v>
      </c>
      <c r="B5460">
        <v>6348</v>
      </c>
      <c r="C5460">
        <v>19</v>
      </c>
      <c r="D5460">
        <v>92.6</v>
      </c>
      <c r="E5460">
        <v>2.6</v>
      </c>
    </row>
    <row r="5461" spans="1:5" x14ac:dyDescent="0.2">
      <c r="A5461">
        <v>7270</v>
      </c>
      <c r="B5461">
        <v>6361</v>
      </c>
      <c r="C5461">
        <v>18</v>
      </c>
      <c r="D5461">
        <v>91.4</v>
      </c>
      <c r="E5461">
        <v>2.5</v>
      </c>
    </row>
    <row r="5462" spans="1:5" x14ac:dyDescent="0.2">
      <c r="A5462">
        <v>7275</v>
      </c>
      <c r="B5462">
        <v>6371</v>
      </c>
      <c r="C5462">
        <v>18</v>
      </c>
      <c r="D5462">
        <v>90.8</v>
      </c>
      <c r="E5462">
        <v>2.4</v>
      </c>
    </row>
    <row r="5463" spans="1:5" x14ac:dyDescent="0.2">
      <c r="A5463">
        <v>7280</v>
      </c>
      <c r="B5463">
        <v>6377</v>
      </c>
      <c r="C5463">
        <v>19</v>
      </c>
      <c r="D5463">
        <v>90.6</v>
      </c>
      <c r="E5463">
        <v>2.5</v>
      </c>
    </row>
    <row r="5464" spans="1:5" x14ac:dyDescent="0.2">
      <c r="A5464">
        <v>7285</v>
      </c>
      <c r="B5464">
        <v>6380</v>
      </c>
      <c r="C5464">
        <v>20</v>
      </c>
      <c r="D5464">
        <v>90.9</v>
      </c>
      <c r="E5464">
        <v>2.7</v>
      </c>
    </row>
    <row r="5465" spans="1:5" x14ac:dyDescent="0.2">
      <c r="A5465">
        <v>7290</v>
      </c>
      <c r="B5465">
        <v>6380</v>
      </c>
      <c r="C5465">
        <v>20</v>
      </c>
      <c r="D5465">
        <v>91.5</v>
      </c>
      <c r="E5465">
        <v>2.8</v>
      </c>
    </row>
    <row r="5466" spans="1:5" x14ac:dyDescent="0.2">
      <c r="A5466">
        <v>7295</v>
      </c>
      <c r="B5466">
        <v>6378</v>
      </c>
      <c r="C5466">
        <v>19</v>
      </c>
      <c r="D5466">
        <v>92.4</v>
      </c>
      <c r="E5466">
        <v>2.6</v>
      </c>
    </row>
    <row r="5467" spans="1:5" x14ac:dyDescent="0.2">
      <c r="A5467">
        <v>7300</v>
      </c>
      <c r="B5467">
        <v>6377</v>
      </c>
      <c r="C5467">
        <v>18</v>
      </c>
      <c r="D5467">
        <v>93.3</v>
      </c>
      <c r="E5467">
        <v>2.5</v>
      </c>
    </row>
    <row r="5468" spans="1:5" x14ac:dyDescent="0.2">
      <c r="A5468">
        <v>7305</v>
      </c>
      <c r="B5468">
        <v>6377</v>
      </c>
      <c r="C5468">
        <v>18</v>
      </c>
      <c r="D5468">
        <v>94</v>
      </c>
      <c r="E5468">
        <v>2.5</v>
      </c>
    </row>
    <row r="5469" spans="1:5" x14ac:dyDescent="0.2">
      <c r="A5469">
        <v>7310</v>
      </c>
      <c r="B5469">
        <v>6381</v>
      </c>
      <c r="C5469">
        <v>19</v>
      </c>
      <c r="D5469">
        <v>94.1</v>
      </c>
      <c r="E5469">
        <v>2.6</v>
      </c>
    </row>
    <row r="5470" spans="1:5" x14ac:dyDescent="0.2">
      <c r="A5470">
        <v>7315</v>
      </c>
      <c r="B5470">
        <v>6390</v>
      </c>
      <c r="C5470">
        <v>19</v>
      </c>
      <c r="D5470">
        <v>93.5</v>
      </c>
      <c r="E5470">
        <v>2.6</v>
      </c>
    </row>
    <row r="5471" spans="1:5" x14ac:dyDescent="0.2">
      <c r="A5471">
        <v>7320</v>
      </c>
      <c r="B5471">
        <v>6404</v>
      </c>
      <c r="C5471">
        <v>18</v>
      </c>
      <c r="D5471">
        <v>92.3</v>
      </c>
      <c r="E5471">
        <v>2.4</v>
      </c>
    </row>
    <row r="5472" spans="1:5" x14ac:dyDescent="0.2">
      <c r="A5472">
        <v>7325</v>
      </c>
      <c r="B5472">
        <v>6420</v>
      </c>
      <c r="C5472">
        <v>18</v>
      </c>
      <c r="D5472">
        <v>90.8</v>
      </c>
      <c r="E5472">
        <v>2.4</v>
      </c>
    </row>
    <row r="5473" spans="1:5" x14ac:dyDescent="0.2">
      <c r="A5473">
        <v>7330</v>
      </c>
      <c r="B5473">
        <v>6435</v>
      </c>
      <c r="C5473">
        <v>19</v>
      </c>
      <c r="D5473">
        <v>89.4</v>
      </c>
      <c r="E5473">
        <v>2.6</v>
      </c>
    </row>
    <row r="5474" spans="1:5" x14ac:dyDescent="0.2">
      <c r="A5474">
        <v>7335</v>
      </c>
      <c r="B5474">
        <v>6447</v>
      </c>
      <c r="C5474">
        <v>20</v>
      </c>
      <c r="D5474">
        <v>88.4</v>
      </c>
      <c r="E5474">
        <v>2.7</v>
      </c>
    </row>
    <row r="5475" spans="1:5" x14ac:dyDescent="0.2">
      <c r="A5475">
        <v>7340</v>
      </c>
      <c r="B5475">
        <v>6452</v>
      </c>
      <c r="C5475">
        <v>19</v>
      </c>
      <c r="D5475">
        <v>88.3</v>
      </c>
      <c r="E5475">
        <v>2.6</v>
      </c>
    </row>
    <row r="5476" spans="1:5" x14ac:dyDescent="0.2">
      <c r="A5476">
        <v>7345</v>
      </c>
      <c r="B5476">
        <v>6453</v>
      </c>
      <c r="C5476">
        <v>18</v>
      </c>
      <c r="D5476">
        <v>88.9</v>
      </c>
      <c r="E5476">
        <v>2.5</v>
      </c>
    </row>
    <row r="5477" spans="1:5" x14ac:dyDescent="0.2">
      <c r="A5477">
        <v>7350</v>
      </c>
      <c r="B5477">
        <v>6451</v>
      </c>
      <c r="C5477">
        <v>19</v>
      </c>
      <c r="D5477">
        <v>89.8</v>
      </c>
      <c r="E5477">
        <v>2.6</v>
      </c>
    </row>
    <row r="5478" spans="1:5" x14ac:dyDescent="0.2">
      <c r="A5478">
        <v>7355</v>
      </c>
      <c r="B5478">
        <v>6451</v>
      </c>
      <c r="C5478">
        <v>19</v>
      </c>
      <c r="D5478">
        <v>90.5</v>
      </c>
      <c r="E5478">
        <v>2.6</v>
      </c>
    </row>
    <row r="5479" spans="1:5" x14ac:dyDescent="0.2">
      <c r="A5479">
        <v>7360</v>
      </c>
      <c r="B5479">
        <v>6455</v>
      </c>
      <c r="C5479">
        <v>17</v>
      </c>
      <c r="D5479">
        <v>90.7</v>
      </c>
      <c r="E5479">
        <v>2.2999999999999998</v>
      </c>
    </row>
    <row r="5480" spans="1:5" x14ac:dyDescent="0.2">
      <c r="A5480">
        <v>7365</v>
      </c>
      <c r="B5480">
        <v>6464</v>
      </c>
      <c r="C5480">
        <v>16</v>
      </c>
      <c r="D5480">
        <v>90.1</v>
      </c>
      <c r="E5480">
        <v>2.1</v>
      </c>
    </row>
    <row r="5481" spans="1:5" x14ac:dyDescent="0.2">
      <c r="A5481">
        <v>7370</v>
      </c>
      <c r="B5481">
        <v>6471</v>
      </c>
      <c r="C5481">
        <v>16</v>
      </c>
      <c r="D5481">
        <v>89.8</v>
      </c>
      <c r="E5481">
        <v>2.1</v>
      </c>
    </row>
    <row r="5482" spans="1:5" x14ac:dyDescent="0.2">
      <c r="A5482">
        <v>7375</v>
      </c>
      <c r="B5482">
        <v>6467</v>
      </c>
      <c r="C5482">
        <v>16</v>
      </c>
      <c r="D5482">
        <v>91</v>
      </c>
      <c r="E5482">
        <v>2.1</v>
      </c>
    </row>
    <row r="5483" spans="1:5" x14ac:dyDescent="0.2">
      <c r="A5483">
        <v>7380</v>
      </c>
      <c r="B5483">
        <v>6455</v>
      </c>
      <c r="C5483">
        <v>16</v>
      </c>
      <c r="D5483">
        <v>93.3</v>
      </c>
      <c r="E5483">
        <v>2.1</v>
      </c>
    </row>
    <row r="5484" spans="1:5" x14ac:dyDescent="0.2">
      <c r="A5484">
        <v>7385</v>
      </c>
      <c r="B5484">
        <v>6444</v>
      </c>
      <c r="C5484">
        <v>15</v>
      </c>
      <c r="D5484">
        <v>95.4</v>
      </c>
      <c r="E5484">
        <v>2.1</v>
      </c>
    </row>
    <row r="5485" spans="1:5" x14ac:dyDescent="0.2">
      <c r="A5485">
        <v>7390</v>
      </c>
      <c r="B5485">
        <v>6439</v>
      </c>
      <c r="C5485">
        <v>16</v>
      </c>
      <c r="D5485">
        <v>96.8</v>
      </c>
      <c r="E5485">
        <v>2.1</v>
      </c>
    </row>
    <row r="5486" spans="1:5" x14ac:dyDescent="0.2">
      <c r="A5486">
        <v>7395</v>
      </c>
      <c r="B5486">
        <v>6432</v>
      </c>
      <c r="C5486">
        <v>16</v>
      </c>
      <c r="D5486">
        <v>98.4</v>
      </c>
      <c r="E5486">
        <v>2.1</v>
      </c>
    </row>
    <row r="5487" spans="1:5" x14ac:dyDescent="0.2">
      <c r="A5487">
        <v>7400</v>
      </c>
      <c r="B5487">
        <v>6423</v>
      </c>
      <c r="C5487">
        <v>15</v>
      </c>
      <c r="D5487">
        <v>100.2</v>
      </c>
      <c r="E5487">
        <v>2.1</v>
      </c>
    </row>
    <row r="5488" spans="1:5" x14ac:dyDescent="0.2">
      <c r="A5488">
        <v>7405</v>
      </c>
      <c r="B5488">
        <v>6414</v>
      </c>
      <c r="C5488">
        <v>15</v>
      </c>
      <c r="D5488">
        <v>102.1</v>
      </c>
      <c r="E5488">
        <v>2.1</v>
      </c>
    </row>
    <row r="5489" spans="1:5" x14ac:dyDescent="0.2">
      <c r="A5489">
        <v>7410</v>
      </c>
      <c r="B5489">
        <v>6417</v>
      </c>
      <c r="C5489">
        <v>14</v>
      </c>
      <c r="D5489">
        <v>102.4</v>
      </c>
      <c r="E5489">
        <v>2</v>
      </c>
    </row>
    <row r="5490" spans="1:5" x14ac:dyDescent="0.2">
      <c r="A5490">
        <v>7415</v>
      </c>
      <c r="B5490">
        <v>6428</v>
      </c>
      <c r="C5490">
        <v>14</v>
      </c>
      <c r="D5490">
        <v>101.6</v>
      </c>
      <c r="E5490">
        <v>1.9</v>
      </c>
    </row>
    <row r="5491" spans="1:5" x14ac:dyDescent="0.2">
      <c r="A5491">
        <v>7420</v>
      </c>
      <c r="B5491">
        <v>6449</v>
      </c>
      <c r="C5491">
        <v>14</v>
      </c>
      <c r="D5491">
        <v>99.4</v>
      </c>
      <c r="E5491">
        <v>1.9</v>
      </c>
    </row>
    <row r="5492" spans="1:5" x14ac:dyDescent="0.2">
      <c r="A5492">
        <v>7425</v>
      </c>
      <c r="B5492">
        <v>6501</v>
      </c>
      <c r="C5492">
        <v>14</v>
      </c>
      <c r="D5492">
        <v>92.9</v>
      </c>
      <c r="E5492">
        <v>1.9</v>
      </c>
    </row>
    <row r="5493" spans="1:5" x14ac:dyDescent="0.2">
      <c r="A5493">
        <v>7430</v>
      </c>
      <c r="B5493">
        <v>6560</v>
      </c>
      <c r="C5493">
        <v>14</v>
      </c>
      <c r="D5493">
        <v>85.5</v>
      </c>
      <c r="E5493">
        <v>1.9</v>
      </c>
    </row>
    <row r="5494" spans="1:5" x14ac:dyDescent="0.2">
      <c r="A5494">
        <v>7435</v>
      </c>
      <c r="B5494">
        <v>6592</v>
      </c>
      <c r="C5494">
        <v>14</v>
      </c>
      <c r="D5494">
        <v>81.900000000000006</v>
      </c>
      <c r="E5494">
        <v>1.9</v>
      </c>
    </row>
    <row r="5495" spans="1:5" x14ac:dyDescent="0.2">
      <c r="A5495">
        <v>7440</v>
      </c>
      <c r="B5495">
        <v>6590</v>
      </c>
      <c r="C5495">
        <v>17</v>
      </c>
      <c r="D5495">
        <v>82.9</v>
      </c>
      <c r="E5495">
        <v>2.2999999999999998</v>
      </c>
    </row>
    <row r="5496" spans="1:5" x14ac:dyDescent="0.2">
      <c r="A5496">
        <v>7445</v>
      </c>
      <c r="B5496">
        <v>6579</v>
      </c>
      <c r="C5496">
        <v>18</v>
      </c>
      <c r="D5496">
        <v>84.9</v>
      </c>
      <c r="E5496">
        <v>2.5</v>
      </c>
    </row>
    <row r="5497" spans="1:5" x14ac:dyDescent="0.2">
      <c r="A5497">
        <v>7450</v>
      </c>
      <c r="B5497">
        <v>6569</v>
      </c>
      <c r="C5497">
        <v>20</v>
      </c>
      <c r="D5497">
        <v>87.1</v>
      </c>
      <c r="E5497">
        <v>2.7</v>
      </c>
    </row>
    <row r="5498" spans="1:5" x14ac:dyDescent="0.2">
      <c r="A5498">
        <v>7455</v>
      </c>
      <c r="B5498">
        <v>6563</v>
      </c>
      <c r="C5498">
        <v>21</v>
      </c>
      <c r="D5498">
        <v>88.5</v>
      </c>
      <c r="E5498">
        <v>2.9</v>
      </c>
    </row>
    <row r="5499" spans="1:5" x14ac:dyDescent="0.2">
      <c r="A5499">
        <v>7460</v>
      </c>
      <c r="B5499">
        <v>6563</v>
      </c>
      <c r="C5499">
        <v>20</v>
      </c>
      <c r="D5499">
        <v>89.1</v>
      </c>
      <c r="E5499">
        <v>2.8</v>
      </c>
    </row>
    <row r="5500" spans="1:5" x14ac:dyDescent="0.2">
      <c r="A5500">
        <v>7465</v>
      </c>
      <c r="B5500">
        <v>6569</v>
      </c>
      <c r="C5500">
        <v>20</v>
      </c>
      <c r="D5500">
        <v>89</v>
      </c>
      <c r="E5500">
        <v>2.7</v>
      </c>
    </row>
    <row r="5501" spans="1:5" x14ac:dyDescent="0.2">
      <c r="A5501">
        <v>7470</v>
      </c>
      <c r="B5501">
        <v>6577</v>
      </c>
      <c r="C5501">
        <v>22</v>
      </c>
      <c r="D5501">
        <v>88.6</v>
      </c>
      <c r="E5501">
        <v>2.9</v>
      </c>
    </row>
    <row r="5502" spans="1:5" x14ac:dyDescent="0.2">
      <c r="A5502">
        <v>7475</v>
      </c>
      <c r="B5502">
        <v>6586</v>
      </c>
      <c r="C5502">
        <v>23</v>
      </c>
      <c r="D5502">
        <v>87.9</v>
      </c>
      <c r="E5502">
        <v>3.1</v>
      </c>
    </row>
    <row r="5503" spans="1:5" x14ac:dyDescent="0.2">
      <c r="A5503">
        <v>7480</v>
      </c>
      <c r="B5503">
        <v>6595</v>
      </c>
      <c r="C5503">
        <v>21</v>
      </c>
      <c r="D5503">
        <v>87.4</v>
      </c>
      <c r="E5503">
        <v>2.9</v>
      </c>
    </row>
    <row r="5504" spans="1:5" x14ac:dyDescent="0.2">
      <c r="A5504">
        <v>7485</v>
      </c>
      <c r="B5504">
        <v>6602</v>
      </c>
      <c r="C5504">
        <v>20</v>
      </c>
      <c r="D5504">
        <v>87.2</v>
      </c>
      <c r="E5504">
        <v>2.8</v>
      </c>
    </row>
    <row r="5505" spans="1:5" x14ac:dyDescent="0.2">
      <c r="A5505">
        <v>7490</v>
      </c>
      <c r="B5505">
        <v>6605</v>
      </c>
      <c r="C5505">
        <v>22</v>
      </c>
      <c r="D5505">
        <v>87.4</v>
      </c>
      <c r="E5505">
        <v>3</v>
      </c>
    </row>
    <row r="5506" spans="1:5" x14ac:dyDescent="0.2">
      <c r="A5506">
        <v>7495</v>
      </c>
      <c r="B5506">
        <v>6604</v>
      </c>
      <c r="C5506">
        <v>22</v>
      </c>
      <c r="D5506">
        <v>88.2</v>
      </c>
      <c r="E5506">
        <v>2.9</v>
      </c>
    </row>
    <row r="5507" spans="1:5" x14ac:dyDescent="0.2">
      <c r="A5507">
        <v>7500</v>
      </c>
      <c r="B5507">
        <v>6603</v>
      </c>
      <c r="C5507">
        <v>20</v>
      </c>
      <c r="D5507">
        <v>89</v>
      </c>
      <c r="E5507">
        <v>2.8</v>
      </c>
    </row>
    <row r="5508" spans="1:5" x14ac:dyDescent="0.2">
      <c r="A5508">
        <v>7505</v>
      </c>
      <c r="B5508">
        <v>6608</v>
      </c>
      <c r="C5508">
        <v>22</v>
      </c>
      <c r="D5508">
        <v>89</v>
      </c>
      <c r="E5508">
        <v>2.9</v>
      </c>
    </row>
    <row r="5509" spans="1:5" x14ac:dyDescent="0.2">
      <c r="A5509">
        <v>7510</v>
      </c>
      <c r="B5509">
        <v>6625</v>
      </c>
      <c r="C5509">
        <v>22</v>
      </c>
      <c r="D5509">
        <v>87.3</v>
      </c>
      <c r="E5509">
        <v>2.9</v>
      </c>
    </row>
    <row r="5510" spans="1:5" x14ac:dyDescent="0.2">
      <c r="A5510">
        <v>7515</v>
      </c>
      <c r="B5510">
        <v>6651</v>
      </c>
      <c r="C5510">
        <v>20</v>
      </c>
      <c r="D5510">
        <v>84.4</v>
      </c>
      <c r="E5510">
        <v>2.7</v>
      </c>
    </row>
    <row r="5511" spans="1:5" x14ac:dyDescent="0.2">
      <c r="A5511">
        <v>7520</v>
      </c>
      <c r="B5511">
        <v>6674</v>
      </c>
      <c r="C5511">
        <v>21</v>
      </c>
      <c r="D5511">
        <v>82</v>
      </c>
      <c r="E5511">
        <v>2.8</v>
      </c>
    </row>
    <row r="5512" spans="1:5" x14ac:dyDescent="0.2">
      <c r="A5512">
        <v>7525</v>
      </c>
      <c r="B5512">
        <v>6681</v>
      </c>
      <c r="C5512">
        <v>21</v>
      </c>
      <c r="D5512">
        <v>81.7</v>
      </c>
      <c r="E5512">
        <v>2.9</v>
      </c>
    </row>
    <row r="5513" spans="1:5" x14ac:dyDescent="0.2">
      <c r="A5513">
        <v>7530</v>
      </c>
      <c r="B5513">
        <v>6672</v>
      </c>
      <c r="C5513">
        <v>20</v>
      </c>
      <c r="D5513">
        <v>83.6</v>
      </c>
      <c r="E5513">
        <v>2.7</v>
      </c>
    </row>
    <row r="5514" spans="1:5" x14ac:dyDescent="0.2">
      <c r="A5514">
        <v>7535</v>
      </c>
      <c r="B5514">
        <v>6652</v>
      </c>
      <c r="C5514">
        <v>20</v>
      </c>
      <c r="D5514">
        <v>86.9</v>
      </c>
      <c r="E5514">
        <v>2.7</v>
      </c>
    </row>
    <row r="5515" spans="1:5" x14ac:dyDescent="0.2">
      <c r="A5515">
        <v>7540</v>
      </c>
      <c r="B5515">
        <v>6631</v>
      </c>
      <c r="C5515">
        <v>21</v>
      </c>
      <c r="D5515">
        <v>90.4</v>
      </c>
      <c r="E5515">
        <v>2.8</v>
      </c>
    </row>
    <row r="5516" spans="1:5" x14ac:dyDescent="0.2">
      <c r="A5516">
        <v>7545</v>
      </c>
      <c r="B5516">
        <v>6616</v>
      </c>
      <c r="C5516">
        <v>21</v>
      </c>
      <c r="D5516">
        <v>93.2</v>
      </c>
      <c r="E5516">
        <v>2.8</v>
      </c>
    </row>
    <row r="5517" spans="1:5" x14ac:dyDescent="0.2">
      <c r="A5517">
        <v>7550</v>
      </c>
      <c r="B5517">
        <v>6609</v>
      </c>
      <c r="C5517">
        <v>19</v>
      </c>
      <c r="D5517">
        <v>94.8</v>
      </c>
      <c r="E5517">
        <v>2.7</v>
      </c>
    </row>
    <row r="5518" spans="1:5" x14ac:dyDescent="0.2">
      <c r="A5518">
        <v>7555</v>
      </c>
      <c r="B5518">
        <v>6612</v>
      </c>
      <c r="C5518">
        <v>20</v>
      </c>
      <c r="D5518">
        <v>95.1</v>
      </c>
      <c r="E5518">
        <v>2.7</v>
      </c>
    </row>
    <row r="5519" spans="1:5" x14ac:dyDescent="0.2">
      <c r="A5519">
        <v>7560</v>
      </c>
      <c r="B5519">
        <v>6625</v>
      </c>
      <c r="C5519">
        <v>21</v>
      </c>
      <c r="D5519">
        <v>94</v>
      </c>
      <c r="E5519">
        <v>2.8</v>
      </c>
    </row>
    <row r="5520" spans="1:5" x14ac:dyDescent="0.2">
      <c r="A5520">
        <v>7565</v>
      </c>
      <c r="B5520">
        <v>6648</v>
      </c>
      <c r="C5520">
        <v>20</v>
      </c>
      <c r="D5520">
        <v>91.5</v>
      </c>
      <c r="E5520">
        <v>2.7</v>
      </c>
    </row>
    <row r="5521" spans="1:5" x14ac:dyDescent="0.2">
      <c r="A5521">
        <v>7570</v>
      </c>
      <c r="B5521">
        <v>6677</v>
      </c>
      <c r="C5521">
        <v>20</v>
      </c>
      <c r="D5521">
        <v>88.2</v>
      </c>
      <c r="E5521">
        <v>2.7</v>
      </c>
    </row>
    <row r="5522" spans="1:5" x14ac:dyDescent="0.2">
      <c r="A5522">
        <v>7575</v>
      </c>
      <c r="B5522">
        <v>6706</v>
      </c>
      <c r="C5522">
        <v>22</v>
      </c>
      <c r="D5522">
        <v>84.9</v>
      </c>
      <c r="E5522">
        <v>2.9</v>
      </c>
    </row>
    <row r="5523" spans="1:5" x14ac:dyDescent="0.2">
      <c r="A5523">
        <v>7580</v>
      </c>
      <c r="B5523">
        <v>6729</v>
      </c>
      <c r="C5523">
        <v>21</v>
      </c>
      <c r="D5523">
        <v>82.5</v>
      </c>
      <c r="E5523">
        <v>2.8</v>
      </c>
    </row>
    <row r="5524" spans="1:5" x14ac:dyDescent="0.2">
      <c r="A5524">
        <v>7585</v>
      </c>
      <c r="B5524">
        <v>6744</v>
      </c>
      <c r="C5524">
        <v>20</v>
      </c>
      <c r="D5524">
        <v>81</v>
      </c>
      <c r="E5524">
        <v>2.8</v>
      </c>
    </row>
    <row r="5525" spans="1:5" x14ac:dyDescent="0.2">
      <c r="A5525">
        <v>7590</v>
      </c>
      <c r="B5525">
        <v>6752</v>
      </c>
      <c r="C5525">
        <v>21</v>
      </c>
      <c r="D5525">
        <v>80.599999999999994</v>
      </c>
      <c r="E5525">
        <v>2.9</v>
      </c>
    </row>
    <row r="5526" spans="1:5" x14ac:dyDescent="0.2">
      <c r="A5526">
        <v>7595</v>
      </c>
      <c r="B5526">
        <v>6754</v>
      </c>
      <c r="C5526">
        <v>21</v>
      </c>
      <c r="D5526">
        <v>81.099999999999994</v>
      </c>
      <c r="E5526">
        <v>2.8</v>
      </c>
    </row>
    <row r="5527" spans="1:5" x14ac:dyDescent="0.2">
      <c r="A5527">
        <v>7600</v>
      </c>
      <c r="B5527">
        <v>6752</v>
      </c>
      <c r="C5527">
        <v>20</v>
      </c>
      <c r="D5527">
        <v>81.900000000000006</v>
      </c>
      <c r="E5527">
        <v>2.7</v>
      </c>
    </row>
    <row r="5528" spans="1:5" x14ac:dyDescent="0.2">
      <c r="A5528">
        <v>7605</v>
      </c>
      <c r="B5528">
        <v>6754</v>
      </c>
      <c r="C5528">
        <v>22</v>
      </c>
      <c r="D5528">
        <v>82.3</v>
      </c>
      <c r="E5528">
        <v>2.9</v>
      </c>
    </row>
    <row r="5529" spans="1:5" x14ac:dyDescent="0.2">
      <c r="A5529">
        <v>7610</v>
      </c>
      <c r="B5529">
        <v>6764</v>
      </c>
      <c r="C5529">
        <v>21</v>
      </c>
      <c r="D5529">
        <v>81.7</v>
      </c>
      <c r="E5529">
        <v>2.9</v>
      </c>
    </row>
    <row r="5530" spans="1:5" x14ac:dyDescent="0.2">
      <c r="A5530">
        <v>7615</v>
      </c>
      <c r="B5530">
        <v>6779</v>
      </c>
      <c r="C5530">
        <v>20</v>
      </c>
      <c r="D5530">
        <v>80.3</v>
      </c>
      <c r="E5530">
        <v>2.7</v>
      </c>
    </row>
    <row r="5531" spans="1:5" x14ac:dyDescent="0.2">
      <c r="A5531">
        <v>7620</v>
      </c>
      <c r="B5531">
        <v>6793</v>
      </c>
      <c r="C5531">
        <v>21</v>
      </c>
      <c r="D5531">
        <v>79.099999999999994</v>
      </c>
      <c r="E5531">
        <v>2.9</v>
      </c>
    </row>
    <row r="5532" spans="1:5" x14ac:dyDescent="0.2">
      <c r="A5532">
        <v>7625</v>
      </c>
      <c r="B5532">
        <v>6801</v>
      </c>
      <c r="C5532">
        <v>21</v>
      </c>
      <c r="D5532">
        <v>78.7</v>
      </c>
      <c r="E5532">
        <v>2.9</v>
      </c>
    </row>
    <row r="5533" spans="1:5" x14ac:dyDescent="0.2">
      <c r="A5533">
        <v>7630</v>
      </c>
      <c r="B5533">
        <v>6801</v>
      </c>
      <c r="C5533">
        <v>20</v>
      </c>
      <c r="D5533">
        <v>79.3</v>
      </c>
      <c r="E5533">
        <v>2.7</v>
      </c>
    </row>
    <row r="5534" spans="1:5" x14ac:dyDescent="0.2">
      <c r="A5534">
        <v>7635</v>
      </c>
      <c r="B5534">
        <v>6797</v>
      </c>
      <c r="C5534">
        <v>21</v>
      </c>
      <c r="D5534">
        <v>80.5</v>
      </c>
      <c r="E5534">
        <v>2.9</v>
      </c>
    </row>
    <row r="5535" spans="1:5" x14ac:dyDescent="0.2">
      <c r="A5535">
        <v>7640</v>
      </c>
      <c r="B5535">
        <v>6791</v>
      </c>
      <c r="C5535">
        <v>23</v>
      </c>
      <c r="D5535">
        <v>82</v>
      </c>
      <c r="E5535">
        <v>3.1</v>
      </c>
    </row>
    <row r="5536" spans="1:5" x14ac:dyDescent="0.2">
      <c r="A5536">
        <v>7645</v>
      </c>
      <c r="B5536">
        <v>6787</v>
      </c>
      <c r="C5536">
        <v>23</v>
      </c>
      <c r="D5536">
        <v>83.2</v>
      </c>
      <c r="E5536">
        <v>3</v>
      </c>
    </row>
    <row r="5537" spans="1:5" x14ac:dyDescent="0.2">
      <c r="A5537">
        <v>7650</v>
      </c>
      <c r="B5537">
        <v>6785</v>
      </c>
      <c r="C5537">
        <v>21</v>
      </c>
      <c r="D5537">
        <v>84.1</v>
      </c>
      <c r="E5537">
        <v>2.8</v>
      </c>
    </row>
    <row r="5538" spans="1:5" x14ac:dyDescent="0.2">
      <c r="A5538">
        <v>7655</v>
      </c>
      <c r="B5538">
        <v>6788</v>
      </c>
      <c r="C5538">
        <v>21</v>
      </c>
      <c r="D5538">
        <v>84.4</v>
      </c>
      <c r="E5538">
        <v>2.9</v>
      </c>
    </row>
    <row r="5539" spans="1:5" x14ac:dyDescent="0.2">
      <c r="A5539">
        <v>7660</v>
      </c>
      <c r="B5539">
        <v>6796</v>
      </c>
      <c r="C5539">
        <v>22</v>
      </c>
      <c r="D5539">
        <v>83.9</v>
      </c>
      <c r="E5539">
        <v>3</v>
      </c>
    </row>
    <row r="5540" spans="1:5" x14ac:dyDescent="0.2">
      <c r="A5540">
        <v>7665</v>
      </c>
      <c r="B5540">
        <v>6809</v>
      </c>
      <c r="C5540">
        <v>22</v>
      </c>
      <c r="D5540">
        <v>82.7</v>
      </c>
      <c r="E5540">
        <v>3</v>
      </c>
    </row>
    <row r="5541" spans="1:5" x14ac:dyDescent="0.2">
      <c r="A5541">
        <v>7670</v>
      </c>
      <c r="B5541">
        <v>6827</v>
      </c>
      <c r="C5541">
        <v>24</v>
      </c>
      <c r="D5541">
        <v>81.099999999999994</v>
      </c>
      <c r="E5541">
        <v>3.2</v>
      </c>
    </row>
    <row r="5542" spans="1:5" x14ac:dyDescent="0.2">
      <c r="A5542">
        <v>7675</v>
      </c>
      <c r="B5542">
        <v>6846</v>
      </c>
      <c r="C5542">
        <v>26</v>
      </c>
      <c r="D5542">
        <v>79.2</v>
      </c>
      <c r="E5542">
        <v>3.4</v>
      </c>
    </row>
    <row r="5543" spans="1:5" x14ac:dyDescent="0.2">
      <c r="A5543">
        <v>7680</v>
      </c>
      <c r="B5543">
        <v>6863</v>
      </c>
      <c r="C5543">
        <v>24</v>
      </c>
      <c r="D5543">
        <v>77.5</v>
      </c>
      <c r="E5543">
        <v>3.2</v>
      </c>
    </row>
    <row r="5544" spans="1:5" x14ac:dyDescent="0.2">
      <c r="A5544">
        <v>7685</v>
      </c>
      <c r="B5544">
        <v>6878</v>
      </c>
      <c r="C5544">
        <v>22</v>
      </c>
      <c r="D5544">
        <v>76.099999999999994</v>
      </c>
      <c r="E5544">
        <v>3</v>
      </c>
    </row>
    <row r="5545" spans="1:5" x14ac:dyDescent="0.2">
      <c r="A5545">
        <v>7690</v>
      </c>
      <c r="B5545">
        <v>6891</v>
      </c>
      <c r="C5545">
        <v>22</v>
      </c>
      <c r="D5545">
        <v>75.099999999999994</v>
      </c>
      <c r="E5545">
        <v>3</v>
      </c>
    </row>
    <row r="5546" spans="1:5" x14ac:dyDescent="0.2">
      <c r="A5546">
        <v>7695</v>
      </c>
      <c r="B5546">
        <v>6900</v>
      </c>
      <c r="C5546">
        <v>21</v>
      </c>
      <c r="D5546">
        <v>74.5</v>
      </c>
      <c r="E5546">
        <v>2.8</v>
      </c>
    </row>
    <row r="5547" spans="1:5" x14ac:dyDescent="0.2">
      <c r="A5547">
        <v>7700</v>
      </c>
      <c r="B5547">
        <v>6906</v>
      </c>
      <c r="C5547">
        <v>22</v>
      </c>
      <c r="D5547">
        <v>74.3</v>
      </c>
      <c r="E5547">
        <v>2.9</v>
      </c>
    </row>
    <row r="5548" spans="1:5" x14ac:dyDescent="0.2">
      <c r="A5548">
        <v>7705</v>
      </c>
      <c r="B5548">
        <v>6910</v>
      </c>
      <c r="C5548">
        <v>24</v>
      </c>
      <c r="D5548">
        <v>74.400000000000006</v>
      </c>
      <c r="E5548">
        <v>3.2</v>
      </c>
    </row>
    <row r="5549" spans="1:5" x14ac:dyDescent="0.2">
      <c r="A5549">
        <v>7710</v>
      </c>
      <c r="B5549">
        <v>6912</v>
      </c>
      <c r="C5549">
        <v>23</v>
      </c>
      <c r="D5549">
        <v>74.8</v>
      </c>
      <c r="E5549">
        <v>3.1</v>
      </c>
    </row>
    <row r="5550" spans="1:5" x14ac:dyDescent="0.2">
      <c r="A5550">
        <v>7715</v>
      </c>
      <c r="B5550">
        <v>6912</v>
      </c>
      <c r="C5550">
        <v>22</v>
      </c>
      <c r="D5550">
        <v>75.400000000000006</v>
      </c>
      <c r="E5550">
        <v>2.9</v>
      </c>
    </row>
    <row r="5551" spans="1:5" x14ac:dyDescent="0.2">
      <c r="A5551">
        <v>7720</v>
      </c>
      <c r="B5551">
        <v>6913</v>
      </c>
      <c r="C5551">
        <v>22</v>
      </c>
      <c r="D5551">
        <v>76</v>
      </c>
      <c r="E5551">
        <v>3</v>
      </c>
    </row>
    <row r="5552" spans="1:5" x14ac:dyDescent="0.2">
      <c r="A5552">
        <v>7725</v>
      </c>
      <c r="B5552">
        <v>6914</v>
      </c>
      <c r="C5552">
        <v>22</v>
      </c>
      <c r="D5552">
        <v>76.599999999999994</v>
      </c>
      <c r="E5552">
        <v>3</v>
      </c>
    </row>
    <row r="5553" spans="1:5" x14ac:dyDescent="0.2">
      <c r="A5553">
        <v>7730</v>
      </c>
      <c r="B5553">
        <v>6916</v>
      </c>
      <c r="C5553">
        <v>21</v>
      </c>
      <c r="D5553">
        <v>76.900000000000006</v>
      </c>
      <c r="E5553">
        <v>2.8</v>
      </c>
    </row>
    <row r="5554" spans="1:5" x14ac:dyDescent="0.2">
      <c r="A5554">
        <v>7735</v>
      </c>
      <c r="B5554">
        <v>6920</v>
      </c>
      <c r="C5554">
        <v>22</v>
      </c>
      <c r="D5554">
        <v>77.099999999999994</v>
      </c>
      <c r="E5554">
        <v>2.9</v>
      </c>
    </row>
    <row r="5555" spans="1:5" x14ac:dyDescent="0.2">
      <c r="A5555">
        <v>7740</v>
      </c>
      <c r="B5555">
        <v>6924</v>
      </c>
      <c r="C5555">
        <v>23</v>
      </c>
      <c r="D5555">
        <v>77.099999999999994</v>
      </c>
      <c r="E5555">
        <v>3.1</v>
      </c>
    </row>
    <row r="5556" spans="1:5" x14ac:dyDescent="0.2">
      <c r="A5556">
        <v>7745</v>
      </c>
      <c r="B5556">
        <v>6931</v>
      </c>
      <c r="C5556">
        <v>22</v>
      </c>
      <c r="D5556">
        <v>76.900000000000006</v>
      </c>
      <c r="E5556">
        <v>3</v>
      </c>
    </row>
    <row r="5557" spans="1:5" x14ac:dyDescent="0.2">
      <c r="A5557">
        <v>7750</v>
      </c>
      <c r="B5557">
        <v>6937</v>
      </c>
      <c r="C5557">
        <v>21</v>
      </c>
      <c r="D5557">
        <v>76.7</v>
      </c>
      <c r="E5557">
        <v>2.8</v>
      </c>
    </row>
    <row r="5558" spans="1:5" x14ac:dyDescent="0.2">
      <c r="A5558">
        <v>7755</v>
      </c>
      <c r="B5558">
        <v>6942</v>
      </c>
      <c r="C5558">
        <v>22</v>
      </c>
      <c r="D5558">
        <v>76.7</v>
      </c>
      <c r="E5558">
        <v>2.9</v>
      </c>
    </row>
    <row r="5559" spans="1:5" x14ac:dyDescent="0.2">
      <c r="A5559">
        <v>7760</v>
      </c>
      <c r="B5559">
        <v>6943</v>
      </c>
      <c r="C5559">
        <v>22</v>
      </c>
      <c r="D5559">
        <v>77.2</v>
      </c>
      <c r="E5559">
        <v>3</v>
      </c>
    </row>
    <row r="5560" spans="1:5" x14ac:dyDescent="0.2">
      <c r="A5560">
        <v>7765</v>
      </c>
      <c r="B5560">
        <v>6941</v>
      </c>
      <c r="C5560">
        <v>21</v>
      </c>
      <c r="D5560">
        <v>78.099999999999994</v>
      </c>
      <c r="E5560">
        <v>2.8</v>
      </c>
    </row>
    <row r="5561" spans="1:5" x14ac:dyDescent="0.2">
      <c r="A5561">
        <v>7770</v>
      </c>
      <c r="B5561">
        <v>6939</v>
      </c>
      <c r="C5561">
        <v>21</v>
      </c>
      <c r="D5561">
        <v>79.099999999999994</v>
      </c>
      <c r="E5561">
        <v>2.9</v>
      </c>
    </row>
    <row r="5562" spans="1:5" x14ac:dyDescent="0.2">
      <c r="A5562">
        <v>7775</v>
      </c>
      <c r="B5562">
        <v>6938</v>
      </c>
      <c r="C5562">
        <v>22</v>
      </c>
      <c r="D5562">
        <v>79.8</v>
      </c>
      <c r="E5562">
        <v>2.9</v>
      </c>
    </row>
    <row r="5563" spans="1:5" x14ac:dyDescent="0.2">
      <c r="A5563">
        <v>7780</v>
      </c>
      <c r="B5563">
        <v>6942</v>
      </c>
      <c r="C5563">
        <v>20</v>
      </c>
      <c r="D5563">
        <v>80</v>
      </c>
      <c r="E5563">
        <v>2.7</v>
      </c>
    </row>
    <row r="5564" spans="1:5" x14ac:dyDescent="0.2">
      <c r="A5564">
        <v>7785</v>
      </c>
      <c r="B5564">
        <v>6950</v>
      </c>
      <c r="C5564">
        <v>21</v>
      </c>
      <c r="D5564">
        <v>79.5</v>
      </c>
      <c r="E5564">
        <v>2.8</v>
      </c>
    </row>
    <row r="5565" spans="1:5" x14ac:dyDescent="0.2">
      <c r="A5565">
        <v>7790</v>
      </c>
      <c r="B5565">
        <v>6964</v>
      </c>
      <c r="C5565">
        <v>22</v>
      </c>
      <c r="D5565">
        <v>78.2</v>
      </c>
      <c r="E5565">
        <v>2.9</v>
      </c>
    </row>
    <row r="5566" spans="1:5" x14ac:dyDescent="0.2">
      <c r="A5566">
        <v>7795</v>
      </c>
      <c r="B5566">
        <v>6982</v>
      </c>
      <c r="C5566">
        <v>20</v>
      </c>
      <c r="D5566">
        <v>76.5</v>
      </c>
      <c r="E5566">
        <v>2.7</v>
      </c>
    </row>
    <row r="5567" spans="1:5" x14ac:dyDescent="0.2">
      <c r="A5567">
        <v>7800</v>
      </c>
      <c r="B5567">
        <v>6995</v>
      </c>
      <c r="C5567">
        <v>21</v>
      </c>
      <c r="D5567">
        <v>75.5</v>
      </c>
      <c r="E5567">
        <v>2.9</v>
      </c>
    </row>
    <row r="5568" spans="1:5" x14ac:dyDescent="0.2">
      <c r="A5568">
        <v>7805</v>
      </c>
      <c r="B5568">
        <v>6995</v>
      </c>
      <c r="C5568">
        <v>21</v>
      </c>
      <c r="D5568">
        <v>76.099999999999994</v>
      </c>
      <c r="E5568">
        <v>2.8</v>
      </c>
    </row>
    <row r="5569" spans="1:5" x14ac:dyDescent="0.2">
      <c r="A5569">
        <v>7810</v>
      </c>
      <c r="B5569">
        <v>6985</v>
      </c>
      <c r="C5569">
        <v>20</v>
      </c>
      <c r="D5569">
        <v>78.099999999999994</v>
      </c>
      <c r="E5569">
        <v>2.7</v>
      </c>
    </row>
    <row r="5570" spans="1:5" x14ac:dyDescent="0.2">
      <c r="A5570">
        <v>7815</v>
      </c>
      <c r="B5570">
        <v>6973</v>
      </c>
      <c r="C5570">
        <v>21</v>
      </c>
      <c r="D5570">
        <v>80.400000000000006</v>
      </c>
      <c r="E5570">
        <v>2.8</v>
      </c>
    </row>
    <row r="5571" spans="1:5" x14ac:dyDescent="0.2">
      <c r="A5571">
        <v>7820</v>
      </c>
      <c r="B5571">
        <v>6966</v>
      </c>
      <c r="C5571">
        <v>21</v>
      </c>
      <c r="D5571">
        <v>81.900000000000006</v>
      </c>
      <c r="E5571">
        <v>2.8</v>
      </c>
    </row>
    <row r="5572" spans="1:5" x14ac:dyDescent="0.2">
      <c r="A5572">
        <v>7825</v>
      </c>
      <c r="B5572">
        <v>6970</v>
      </c>
      <c r="C5572">
        <v>20</v>
      </c>
      <c r="D5572">
        <v>82.1</v>
      </c>
      <c r="E5572">
        <v>2.7</v>
      </c>
    </row>
    <row r="5573" spans="1:5" x14ac:dyDescent="0.2">
      <c r="A5573">
        <v>7830</v>
      </c>
      <c r="B5573">
        <v>6980</v>
      </c>
      <c r="C5573">
        <v>21</v>
      </c>
      <c r="D5573">
        <v>81.400000000000006</v>
      </c>
      <c r="E5573">
        <v>2.8</v>
      </c>
    </row>
    <row r="5574" spans="1:5" x14ac:dyDescent="0.2">
      <c r="A5574">
        <v>7835</v>
      </c>
      <c r="B5574">
        <v>6993</v>
      </c>
      <c r="C5574">
        <v>21</v>
      </c>
      <c r="D5574">
        <v>80.3</v>
      </c>
      <c r="E5574">
        <v>2.8</v>
      </c>
    </row>
    <row r="5575" spans="1:5" x14ac:dyDescent="0.2">
      <c r="A5575">
        <v>7840</v>
      </c>
      <c r="B5575">
        <v>7006</v>
      </c>
      <c r="C5575">
        <v>20</v>
      </c>
      <c r="D5575">
        <v>79.2</v>
      </c>
      <c r="E5575">
        <v>2.7</v>
      </c>
    </row>
    <row r="5576" spans="1:5" x14ac:dyDescent="0.2">
      <c r="A5576">
        <v>7845</v>
      </c>
      <c r="B5576">
        <v>7016</v>
      </c>
      <c r="C5576">
        <v>21</v>
      </c>
      <c r="D5576">
        <v>78.5</v>
      </c>
      <c r="E5576">
        <v>2.8</v>
      </c>
    </row>
    <row r="5577" spans="1:5" x14ac:dyDescent="0.2">
      <c r="A5577">
        <v>7850</v>
      </c>
      <c r="B5577">
        <v>7022</v>
      </c>
      <c r="C5577">
        <v>20</v>
      </c>
      <c r="D5577">
        <v>78.400000000000006</v>
      </c>
      <c r="E5577">
        <v>2.7</v>
      </c>
    </row>
    <row r="5578" spans="1:5" x14ac:dyDescent="0.2">
      <c r="A5578">
        <v>7855</v>
      </c>
      <c r="B5578">
        <v>7022</v>
      </c>
      <c r="C5578">
        <v>20</v>
      </c>
      <c r="D5578">
        <v>78.900000000000006</v>
      </c>
      <c r="E5578">
        <v>2.7</v>
      </c>
    </row>
    <row r="5579" spans="1:5" x14ac:dyDescent="0.2">
      <c r="A5579">
        <v>7860</v>
      </c>
      <c r="B5579">
        <v>7025</v>
      </c>
      <c r="C5579">
        <v>22</v>
      </c>
      <c r="D5579">
        <v>79.2</v>
      </c>
      <c r="E5579">
        <v>3</v>
      </c>
    </row>
    <row r="5580" spans="1:5" x14ac:dyDescent="0.2">
      <c r="A5580">
        <v>7865</v>
      </c>
      <c r="B5580">
        <v>7036</v>
      </c>
      <c r="C5580">
        <v>22</v>
      </c>
      <c r="D5580">
        <v>78.400000000000006</v>
      </c>
      <c r="E5580">
        <v>3</v>
      </c>
    </row>
    <row r="5581" spans="1:5" x14ac:dyDescent="0.2">
      <c r="A5581">
        <v>7870</v>
      </c>
      <c r="B5581">
        <v>7054</v>
      </c>
      <c r="C5581">
        <v>22</v>
      </c>
      <c r="D5581">
        <v>76.7</v>
      </c>
      <c r="E5581">
        <v>2.9</v>
      </c>
    </row>
    <row r="5582" spans="1:5" x14ac:dyDescent="0.2">
      <c r="A5582">
        <v>7875</v>
      </c>
      <c r="B5582">
        <v>7071</v>
      </c>
      <c r="C5582">
        <v>23</v>
      </c>
      <c r="D5582">
        <v>75</v>
      </c>
      <c r="E5582">
        <v>3.1</v>
      </c>
    </row>
    <row r="5583" spans="1:5" x14ac:dyDescent="0.2">
      <c r="A5583">
        <v>7880</v>
      </c>
      <c r="B5583">
        <v>7082</v>
      </c>
      <c r="C5583">
        <v>23</v>
      </c>
      <c r="D5583">
        <v>74.2</v>
      </c>
      <c r="E5583">
        <v>3.1</v>
      </c>
    </row>
    <row r="5584" spans="1:5" x14ac:dyDescent="0.2">
      <c r="A5584">
        <v>7885</v>
      </c>
      <c r="B5584">
        <v>7083</v>
      </c>
      <c r="C5584">
        <v>22</v>
      </c>
      <c r="D5584">
        <v>74.7</v>
      </c>
      <c r="E5584">
        <v>2.9</v>
      </c>
    </row>
    <row r="5585" spans="1:5" x14ac:dyDescent="0.2">
      <c r="A5585">
        <v>7890</v>
      </c>
      <c r="B5585">
        <v>7073</v>
      </c>
      <c r="C5585">
        <v>22</v>
      </c>
      <c r="D5585">
        <v>76.7</v>
      </c>
      <c r="E5585">
        <v>2.9</v>
      </c>
    </row>
    <row r="5586" spans="1:5" x14ac:dyDescent="0.2">
      <c r="A5586">
        <v>7895</v>
      </c>
      <c r="B5586">
        <v>7053</v>
      </c>
      <c r="C5586">
        <v>20</v>
      </c>
      <c r="D5586">
        <v>80.099999999999994</v>
      </c>
      <c r="E5586">
        <v>2.7</v>
      </c>
    </row>
    <row r="5587" spans="1:5" x14ac:dyDescent="0.2">
      <c r="A5587">
        <v>7900</v>
      </c>
      <c r="B5587">
        <v>7029</v>
      </c>
      <c r="C5587">
        <v>21</v>
      </c>
      <c r="D5587">
        <v>83.9</v>
      </c>
      <c r="E5587">
        <v>2.8</v>
      </c>
    </row>
    <row r="5588" spans="1:5" x14ac:dyDescent="0.2">
      <c r="A5588">
        <v>7905</v>
      </c>
      <c r="B5588">
        <v>7015</v>
      </c>
      <c r="C5588">
        <v>21</v>
      </c>
      <c r="D5588">
        <v>86.5</v>
      </c>
      <c r="E5588">
        <v>2.9</v>
      </c>
    </row>
    <row r="5589" spans="1:5" x14ac:dyDescent="0.2">
      <c r="A5589">
        <v>7910</v>
      </c>
      <c r="B5589">
        <v>7013</v>
      </c>
      <c r="C5589">
        <v>20</v>
      </c>
      <c r="D5589">
        <v>87.4</v>
      </c>
      <c r="E5589">
        <v>2.7</v>
      </c>
    </row>
    <row r="5590" spans="1:5" x14ac:dyDescent="0.2">
      <c r="A5590">
        <v>7915</v>
      </c>
      <c r="B5590">
        <v>7019</v>
      </c>
      <c r="C5590">
        <v>20</v>
      </c>
      <c r="D5590">
        <v>87.3</v>
      </c>
      <c r="E5590">
        <v>2.7</v>
      </c>
    </row>
    <row r="5591" spans="1:5" x14ac:dyDescent="0.2">
      <c r="A5591">
        <v>7920</v>
      </c>
      <c r="B5591">
        <v>7029</v>
      </c>
      <c r="C5591">
        <v>21</v>
      </c>
      <c r="D5591">
        <v>86.6</v>
      </c>
      <c r="E5591">
        <v>2.8</v>
      </c>
    </row>
    <row r="5592" spans="1:5" x14ac:dyDescent="0.2">
      <c r="A5592">
        <v>7925</v>
      </c>
      <c r="B5592">
        <v>7044</v>
      </c>
      <c r="C5592">
        <v>23</v>
      </c>
      <c r="D5592">
        <v>85.2</v>
      </c>
      <c r="E5592">
        <v>3.1</v>
      </c>
    </row>
    <row r="5593" spans="1:5" x14ac:dyDescent="0.2">
      <c r="A5593">
        <v>7930</v>
      </c>
      <c r="B5593">
        <v>7066</v>
      </c>
      <c r="C5593">
        <v>23</v>
      </c>
      <c r="D5593">
        <v>82.8</v>
      </c>
      <c r="E5593">
        <v>3.1</v>
      </c>
    </row>
    <row r="5594" spans="1:5" x14ac:dyDescent="0.2">
      <c r="A5594">
        <v>7935</v>
      </c>
      <c r="B5594">
        <v>7093</v>
      </c>
      <c r="C5594">
        <v>21</v>
      </c>
      <c r="D5594">
        <v>79.900000000000006</v>
      </c>
      <c r="E5594">
        <v>2.8</v>
      </c>
    </row>
    <row r="5595" spans="1:5" x14ac:dyDescent="0.2">
      <c r="A5595">
        <v>7940</v>
      </c>
      <c r="B5595">
        <v>7115</v>
      </c>
      <c r="C5595">
        <v>22</v>
      </c>
      <c r="D5595">
        <v>77.599999999999994</v>
      </c>
      <c r="E5595">
        <v>2.9</v>
      </c>
    </row>
    <row r="5596" spans="1:5" x14ac:dyDescent="0.2">
      <c r="A5596">
        <v>7945</v>
      </c>
      <c r="B5596">
        <v>7124</v>
      </c>
      <c r="C5596">
        <v>22</v>
      </c>
      <c r="D5596">
        <v>77</v>
      </c>
      <c r="E5596">
        <v>2.9</v>
      </c>
    </row>
    <row r="5597" spans="1:5" x14ac:dyDescent="0.2">
      <c r="A5597">
        <v>7950</v>
      </c>
      <c r="B5597">
        <v>7124</v>
      </c>
      <c r="C5597">
        <v>22</v>
      </c>
      <c r="D5597">
        <v>77.7</v>
      </c>
      <c r="E5597">
        <v>3</v>
      </c>
    </row>
    <row r="5598" spans="1:5" x14ac:dyDescent="0.2">
      <c r="A5598">
        <v>7955</v>
      </c>
      <c r="B5598">
        <v>7123</v>
      </c>
      <c r="C5598">
        <v>24</v>
      </c>
      <c r="D5598">
        <v>78.5</v>
      </c>
      <c r="E5598">
        <v>3.2</v>
      </c>
    </row>
    <row r="5599" spans="1:5" x14ac:dyDescent="0.2">
      <c r="A5599">
        <v>7960</v>
      </c>
      <c r="B5599">
        <v>7129</v>
      </c>
      <c r="C5599">
        <v>24</v>
      </c>
      <c r="D5599">
        <v>78.3</v>
      </c>
      <c r="E5599">
        <v>3.2</v>
      </c>
    </row>
    <row r="5600" spans="1:5" x14ac:dyDescent="0.2">
      <c r="A5600">
        <v>7965</v>
      </c>
      <c r="B5600">
        <v>7142</v>
      </c>
      <c r="C5600">
        <v>23</v>
      </c>
      <c r="D5600">
        <v>77.2</v>
      </c>
      <c r="E5600">
        <v>3</v>
      </c>
    </row>
    <row r="5601" spans="1:5" x14ac:dyDescent="0.2">
      <c r="A5601">
        <v>7970</v>
      </c>
      <c r="B5601">
        <v>7158</v>
      </c>
      <c r="C5601">
        <v>21</v>
      </c>
      <c r="D5601">
        <v>75.8</v>
      </c>
      <c r="E5601">
        <v>2.8</v>
      </c>
    </row>
    <row r="5602" spans="1:5" x14ac:dyDescent="0.2">
      <c r="A5602">
        <v>7975</v>
      </c>
      <c r="B5602">
        <v>7173</v>
      </c>
      <c r="C5602">
        <v>20</v>
      </c>
      <c r="D5602">
        <v>74.400000000000006</v>
      </c>
      <c r="E5602">
        <v>2.7</v>
      </c>
    </row>
    <row r="5603" spans="1:5" x14ac:dyDescent="0.2">
      <c r="A5603">
        <v>7980</v>
      </c>
      <c r="B5603">
        <v>7183</v>
      </c>
      <c r="C5603">
        <v>21</v>
      </c>
      <c r="D5603">
        <v>73.8</v>
      </c>
      <c r="E5603">
        <v>2.8</v>
      </c>
    </row>
    <row r="5604" spans="1:5" x14ac:dyDescent="0.2">
      <c r="A5604">
        <v>7985</v>
      </c>
      <c r="B5604">
        <v>7186</v>
      </c>
      <c r="C5604">
        <v>20</v>
      </c>
      <c r="D5604">
        <v>73.900000000000006</v>
      </c>
      <c r="E5604">
        <v>2.7</v>
      </c>
    </row>
    <row r="5605" spans="1:5" x14ac:dyDescent="0.2">
      <c r="A5605">
        <v>7990</v>
      </c>
      <c r="B5605">
        <v>7185</v>
      </c>
      <c r="C5605">
        <v>20</v>
      </c>
      <c r="D5605">
        <v>74.7</v>
      </c>
      <c r="E5605">
        <v>2.7</v>
      </c>
    </row>
    <row r="5606" spans="1:5" x14ac:dyDescent="0.2">
      <c r="A5606">
        <v>7995</v>
      </c>
      <c r="B5606">
        <v>7181</v>
      </c>
      <c r="C5606">
        <v>20</v>
      </c>
      <c r="D5606">
        <v>75.900000000000006</v>
      </c>
      <c r="E5606">
        <v>2.7</v>
      </c>
    </row>
    <row r="5607" spans="1:5" x14ac:dyDescent="0.2">
      <c r="A5607">
        <v>8000</v>
      </c>
      <c r="B5607">
        <v>7178</v>
      </c>
      <c r="C5607">
        <v>22</v>
      </c>
      <c r="D5607">
        <v>76.900000000000006</v>
      </c>
      <c r="E5607">
        <v>3</v>
      </c>
    </row>
    <row r="5608" spans="1:5" x14ac:dyDescent="0.2">
      <c r="A5608">
        <v>8005</v>
      </c>
      <c r="B5608">
        <v>7181</v>
      </c>
      <c r="C5608">
        <v>25</v>
      </c>
      <c r="D5608">
        <v>77.2</v>
      </c>
      <c r="E5608">
        <v>3.3</v>
      </c>
    </row>
    <row r="5609" spans="1:5" x14ac:dyDescent="0.2">
      <c r="A5609">
        <v>8010</v>
      </c>
      <c r="B5609">
        <v>7192</v>
      </c>
      <c r="C5609">
        <v>25</v>
      </c>
      <c r="D5609">
        <v>76.400000000000006</v>
      </c>
      <c r="E5609">
        <v>3.4</v>
      </c>
    </row>
    <row r="5610" spans="1:5" x14ac:dyDescent="0.2">
      <c r="A5610">
        <v>8015</v>
      </c>
      <c r="B5610">
        <v>7209</v>
      </c>
      <c r="C5610">
        <v>24</v>
      </c>
      <c r="D5610">
        <v>74.7</v>
      </c>
      <c r="E5610">
        <v>3.2</v>
      </c>
    </row>
    <row r="5611" spans="1:5" x14ac:dyDescent="0.2">
      <c r="A5611">
        <v>8020</v>
      </c>
      <c r="B5611">
        <v>7230</v>
      </c>
      <c r="C5611">
        <v>23</v>
      </c>
      <c r="D5611">
        <v>72.599999999999994</v>
      </c>
      <c r="E5611">
        <v>3.1</v>
      </c>
    </row>
    <row r="5612" spans="1:5" x14ac:dyDescent="0.2">
      <c r="A5612">
        <v>8025</v>
      </c>
      <c r="B5612">
        <v>7251</v>
      </c>
      <c r="C5612">
        <v>25</v>
      </c>
      <c r="D5612">
        <v>70.400000000000006</v>
      </c>
      <c r="E5612">
        <v>3.3</v>
      </c>
    </row>
    <row r="5613" spans="1:5" x14ac:dyDescent="0.2">
      <c r="A5613">
        <v>8030</v>
      </c>
      <c r="B5613">
        <v>7270</v>
      </c>
      <c r="C5613">
        <v>26</v>
      </c>
      <c r="D5613">
        <v>68.5</v>
      </c>
      <c r="E5613">
        <v>3.5</v>
      </c>
    </row>
    <row r="5614" spans="1:5" x14ac:dyDescent="0.2">
      <c r="A5614">
        <v>8035</v>
      </c>
      <c r="B5614">
        <v>7286</v>
      </c>
      <c r="C5614">
        <v>27</v>
      </c>
      <c r="D5614">
        <v>67.099999999999994</v>
      </c>
      <c r="E5614">
        <v>3.5</v>
      </c>
    </row>
    <row r="5615" spans="1:5" x14ac:dyDescent="0.2">
      <c r="A5615">
        <v>8040</v>
      </c>
      <c r="B5615">
        <v>7299</v>
      </c>
      <c r="C5615">
        <v>26</v>
      </c>
      <c r="D5615">
        <v>66</v>
      </c>
      <c r="E5615">
        <v>3.5</v>
      </c>
    </row>
    <row r="5616" spans="1:5" x14ac:dyDescent="0.2">
      <c r="A5616">
        <v>8045</v>
      </c>
      <c r="B5616">
        <v>7308</v>
      </c>
      <c r="C5616">
        <v>26</v>
      </c>
      <c r="D5616">
        <v>65.400000000000006</v>
      </c>
      <c r="E5616">
        <v>3.4</v>
      </c>
    </row>
    <row r="5617" spans="1:5" x14ac:dyDescent="0.2">
      <c r="A5617">
        <v>8050</v>
      </c>
      <c r="B5617">
        <v>7315</v>
      </c>
      <c r="C5617">
        <v>25</v>
      </c>
      <c r="D5617">
        <v>65.099999999999994</v>
      </c>
      <c r="E5617">
        <v>3.4</v>
      </c>
    </row>
    <row r="5618" spans="1:5" x14ac:dyDescent="0.2">
      <c r="A5618">
        <v>8055</v>
      </c>
      <c r="B5618">
        <v>7320</v>
      </c>
      <c r="C5618">
        <v>26</v>
      </c>
      <c r="D5618">
        <v>65.2</v>
      </c>
      <c r="E5618">
        <v>3.4</v>
      </c>
    </row>
    <row r="5619" spans="1:5" x14ac:dyDescent="0.2">
      <c r="A5619">
        <v>8060</v>
      </c>
      <c r="B5619">
        <v>7322</v>
      </c>
      <c r="C5619">
        <v>27</v>
      </c>
      <c r="D5619">
        <v>65.5</v>
      </c>
      <c r="E5619">
        <v>3.6</v>
      </c>
    </row>
    <row r="5620" spans="1:5" x14ac:dyDescent="0.2">
      <c r="A5620">
        <v>8065</v>
      </c>
      <c r="B5620">
        <v>7323</v>
      </c>
      <c r="C5620">
        <v>28</v>
      </c>
      <c r="D5620">
        <v>66.099999999999994</v>
      </c>
      <c r="E5620">
        <v>3.7</v>
      </c>
    </row>
    <row r="5621" spans="1:5" x14ac:dyDescent="0.2">
      <c r="A5621">
        <v>8070</v>
      </c>
      <c r="B5621">
        <v>7321</v>
      </c>
      <c r="C5621">
        <v>28</v>
      </c>
      <c r="D5621">
        <v>67</v>
      </c>
      <c r="E5621">
        <v>3.7</v>
      </c>
    </row>
    <row r="5622" spans="1:5" x14ac:dyDescent="0.2">
      <c r="A5622">
        <v>8075</v>
      </c>
      <c r="B5622">
        <v>7318</v>
      </c>
      <c r="C5622">
        <v>26</v>
      </c>
      <c r="D5622">
        <v>68</v>
      </c>
      <c r="E5622">
        <v>3.5</v>
      </c>
    </row>
    <row r="5623" spans="1:5" x14ac:dyDescent="0.2">
      <c r="A5623">
        <v>8080</v>
      </c>
      <c r="B5623">
        <v>7313</v>
      </c>
      <c r="C5623">
        <v>24</v>
      </c>
      <c r="D5623">
        <v>69.3</v>
      </c>
      <c r="E5623">
        <v>3.2</v>
      </c>
    </row>
    <row r="5624" spans="1:5" x14ac:dyDescent="0.2">
      <c r="A5624">
        <v>8085</v>
      </c>
      <c r="B5624">
        <v>7308</v>
      </c>
      <c r="C5624">
        <v>22</v>
      </c>
      <c r="D5624">
        <v>70.599999999999994</v>
      </c>
      <c r="E5624">
        <v>3</v>
      </c>
    </row>
    <row r="5625" spans="1:5" x14ac:dyDescent="0.2">
      <c r="A5625">
        <v>8090</v>
      </c>
      <c r="B5625">
        <v>7303</v>
      </c>
      <c r="C5625">
        <v>23</v>
      </c>
      <c r="D5625">
        <v>71.900000000000006</v>
      </c>
      <c r="E5625">
        <v>3</v>
      </c>
    </row>
    <row r="5626" spans="1:5" x14ac:dyDescent="0.2">
      <c r="A5626">
        <v>8095</v>
      </c>
      <c r="B5626">
        <v>7298</v>
      </c>
      <c r="C5626">
        <v>24</v>
      </c>
      <c r="D5626">
        <v>73.2</v>
      </c>
      <c r="E5626">
        <v>3.2</v>
      </c>
    </row>
    <row r="5627" spans="1:5" x14ac:dyDescent="0.2">
      <c r="A5627">
        <v>8100</v>
      </c>
      <c r="B5627">
        <v>7295</v>
      </c>
      <c r="C5627">
        <v>26</v>
      </c>
      <c r="D5627">
        <v>74.3</v>
      </c>
      <c r="E5627">
        <v>3.4</v>
      </c>
    </row>
    <row r="5628" spans="1:5" x14ac:dyDescent="0.2">
      <c r="A5628">
        <v>8105</v>
      </c>
      <c r="B5628">
        <v>7293</v>
      </c>
      <c r="C5628">
        <v>26</v>
      </c>
      <c r="D5628">
        <v>75.2</v>
      </c>
      <c r="E5628">
        <v>3.4</v>
      </c>
    </row>
    <row r="5629" spans="1:5" x14ac:dyDescent="0.2">
      <c r="A5629">
        <v>8110</v>
      </c>
      <c r="B5629">
        <v>7293</v>
      </c>
      <c r="C5629">
        <v>24</v>
      </c>
      <c r="D5629">
        <v>75.900000000000006</v>
      </c>
      <c r="E5629">
        <v>3.2</v>
      </c>
    </row>
    <row r="5630" spans="1:5" x14ac:dyDescent="0.2">
      <c r="A5630">
        <v>8115</v>
      </c>
      <c r="B5630">
        <v>7296</v>
      </c>
      <c r="C5630">
        <v>21</v>
      </c>
      <c r="D5630">
        <v>76.2</v>
      </c>
      <c r="E5630">
        <v>2.9</v>
      </c>
    </row>
    <row r="5631" spans="1:5" x14ac:dyDescent="0.2">
      <c r="A5631">
        <v>8120</v>
      </c>
      <c r="B5631">
        <v>7299</v>
      </c>
      <c r="C5631">
        <v>21</v>
      </c>
      <c r="D5631">
        <v>76.400000000000006</v>
      </c>
      <c r="E5631">
        <v>2.9</v>
      </c>
    </row>
    <row r="5632" spans="1:5" x14ac:dyDescent="0.2">
      <c r="A5632">
        <v>8125</v>
      </c>
      <c r="B5632">
        <v>7301</v>
      </c>
      <c r="C5632">
        <v>22</v>
      </c>
      <c r="D5632">
        <v>76.7</v>
      </c>
      <c r="E5632">
        <v>2.9</v>
      </c>
    </row>
    <row r="5633" spans="1:5" x14ac:dyDescent="0.2">
      <c r="A5633">
        <v>8130</v>
      </c>
      <c r="B5633">
        <v>7301</v>
      </c>
      <c r="C5633">
        <v>20</v>
      </c>
      <c r="D5633">
        <v>77.400000000000006</v>
      </c>
      <c r="E5633">
        <v>2.7</v>
      </c>
    </row>
    <row r="5634" spans="1:5" x14ac:dyDescent="0.2">
      <c r="A5634">
        <v>8135</v>
      </c>
      <c r="B5634">
        <v>7299</v>
      </c>
      <c r="C5634">
        <v>19</v>
      </c>
      <c r="D5634">
        <v>78.400000000000006</v>
      </c>
      <c r="E5634">
        <v>2.6</v>
      </c>
    </row>
    <row r="5635" spans="1:5" x14ac:dyDescent="0.2">
      <c r="A5635">
        <v>8140</v>
      </c>
      <c r="B5635">
        <v>7295</v>
      </c>
      <c r="C5635">
        <v>20</v>
      </c>
      <c r="D5635">
        <v>79.5</v>
      </c>
      <c r="E5635">
        <v>2.7</v>
      </c>
    </row>
    <row r="5636" spans="1:5" x14ac:dyDescent="0.2">
      <c r="A5636">
        <v>8145</v>
      </c>
      <c r="B5636">
        <v>7291</v>
      </c>
      <c r="C5636">
        <v>21</v>
      </c>
      <c r="D5636">
        <v>80.8</v>
      </c>
      <c r="E5636">
        <v>2.8</v>
      </c>
    </row>
    <row r="5637" spans="1:5" x14ac:dyDescent="0.2">
      <c r="A5637">
        <v>8150</v>
      </c>
      <c r="B5637">
        <v>7288</v>
      </c>
      <c r="C5637">
        <v>20</v>
      </c>
      <c r="D5637">
        <v>81.8</v>
      </c>
      <c r="E5637">
        <v>2.7</v>
      </c>
    </row>
    <row r="5638" spans="1:5" x14ac:dyDescent="0.2">
      <c r="A5638">
        <v>8155</v>
      </c>
      <c r="B5638">
        <v>7287</v>
      </c>
      <c r="C5638">
        <v>20</v>
      </c>
      <c r="D5638">
        <v>82.5</v>
      </c>
      <c r="E5638">
        <v>2.7</v>
      </c>
    </row>
    <row r="5639" spans="1:5" x14ac:dyDescent="0.2">
      <c r="A5639">
        <v>8160</v>
      </c>
      <c r="B5639">
        <v>7292</v>
      </c>
      <c r="C5639">
        <v>21</v>
      </c>
      <c r="D5639">
        <v>82.6</v>
      </c>
      <c r="E5639">
        <v>2.9</v>
      </c>
    </row>
    <row r="5640" spans="1:5" x14ac:dyDescent="0.2">
      <c r="A5640">
        <v>8165</v>
      </c>
      <c r="B5640">
        <v>7302</v>
      </c>
      <c r="C5640">
        <v>23</v>
      </c>
      <c r="D5640">
        <v>81.900000000000006</v>
      </c>
      <c r="E5640">
        <v>3</v>
      </c>
    </row>
    <row r="5641" spans="1:5" x14ac:dyDescent="0.2">
      <c r="A5641">
        <v>8170</v>
      </c>
      <c r="B5641">
        <v>7319</v>
      </c>
      <c r="C5641">
        <v>22</v>
      </c>
      <c r="D5641">
        <v>80.2</v>
      </c>
      <c r="E5641">
        <v>2.9</v>
      </c>
    </row>
    <row r="5642" spans="1:5" x14ac:dyDescent="0.2">
      <c r="A5642">
        <v>8175</v>
      </c>
      <c r="B5642">
        <v>7342</v>
      </c>
      <c r="C5642">
        <v>21</v>
      </c>
      <c r="D5642">
        <v>77.8</v>
      </c>
      <c r="E5642">
        <v>2.8</v>
      </c>
    </row>
    <row r="5643" spans="1:5" x14ac:dyDescent="0.2">
      <c r="A5643">
        <v>8180</v>
      </c>
      <c r="B5643">
        <v>7366</v>
      </c>
      <c r="C5643">
        <v>21</v>
      </c>
      <c r="D5643">
        <v>75.3</v>
      </c>
      <c r="E5643">
        <v>2.8</v>
      </c>
    </row>
    <row r="5644" spans="1:5" x14ac:dyDescent="0.2">
      <c r="A5644">
        <v>8185</v>
      </c>
      <c r="B5644">
        <v>7388</v>
      </c>
      <c r="C5644">
        <v>23</v>
      </c>
      <c r="D5644">
        <v>72.900000000000006</v>
      </c>
      <c r="E5644">
        <v>3</v>
      </c>
    </row>
    <row r="5645" spans="1:5" x14ac:dyDescent="0.2">
      <c r="A5645">
        <v>8190</v>
      </c>
      <c r="B5645">
        <v>7407</v>
      </c>
      <c r="C5645">
        <v>23</v>
      </c>
      <c r="D5645">
        <v>71</v>
      </c>
      <c r="E5645">
        <v>3.1</v>
      </c>
    </row>
    <row r="5646" spans="1:5" x14ac:dyDescent="0.2">
      <c r="A5646">
        <v>8195</v>
      </c>
      <c r="B5646">
        <v>7419</v>
      </c>
      <c r="C5646">
        <v>22</v>
      </c>
      <c r="D5646">
        <v>70</v>
      </c>
      <c r="E5646">
        <v>2.9</v>
      </c>
    </row>
    <row r="5647" spans="1:5" x14ac:dyDescent="0.2">
      <c r="A5647">
        <v>8200</v>
      </c>
      <c r="B5647">
        <v>7427</v>
      </c>
      <c r="C5647">
        <v>21</v>
      </c>
      <c r="D5647">
        <v>69.599999999999994</v>
      </c>
      <c r="E5647">
        <v>2.8</v>
      </c>
    </row>
    <row r="5648" spans="1:5" x14ac:dyDescent="0.2">
      <c r="A5648">
        <v>8205</v>
      </c>
      <c r="B5648">
        <v>7433</v>
      </c>
      <c r="C5648">
        <v>22</v>
      </c>
      <c r="D5648">
        <v>69.5</v>
      </c>
      <c r="E5648">
        <v>2.9</v>
      </c>
    </row>
    <row r="5649" spans="1:5" x14ac:dyDescent="0.2">
      <c r="A5649">
        <v>8210</v>
      </c>
      <c r="B5649">
        <v>7439</v>
      </c>
      <c r="C5649">
        <v>22</v>
      </c>
      <c r="D5649">
        <v>69.400000000000006</v>
      </c>
      <c r="E5649">
        <v>3</v>
      </c>
    </row>
    <row r="5650" spans="1:5" x14ac:dyDescent="0.2">
      <c r="A5650">
        <v>8215</v>
      </c>
      <c r="B5650">
        <v>7447</v>
      </c>
      <c r="C5650">
        <v>21</v>
      </c>
      <c r="D5650">
        <v>69</v>
      </c>
      <c r="E5650">
        <v>2.8</v>
      </c>
    </row>
    <row r="5651" spans="1:5" x14ac:dyDescent="0.2">
      <c r="A5651">
        <v>8220</v>
      </c>
      <c r="B5651">
        <v>7456</v>
      </c>
      <c r="C5651">
        <v>21</v>
      </c>
      <c r="D5651">
        <v>68.400000000000006</v>
      </c>
      <c r="E5651">
        <v>2.8</v>
      </c>
    </row>
    <row r="5652" spans="1:5" x14ac:dyDescent="0.2">
      <c r="A5652">
        <v>8225</v>
      </c>
      <c r="B5652">
        <v>7464</v>
      </c>
      <c r="C5652">
        <v>23</v>
      </c>
      <c r="D5652">
        <v>68</v>
      </c>
      <c r="E5652">
        <v>3.1</v>
      </c>
    </row>
    <row r="5653" spans="1:5" x14ac:dyDescent="0.2">
      <c r="A5653">
        <v>8230</v>
      </c>
      <c r="B5653">
        <v>7467</v>
      </c>
      <c r="C5653">
        <v>24</v>
      </c>
      <c r="D5653">
        <v>68.3</v>
      </c>
      <c r="E5653">
        <v>3.2</v>
      </c>
    </row>
    <row r="5654" spans="1:5" x14ac:dyDescent="0.2">
      <c r="A5654">
        <v>8235</v>
      </c>
      <c r="B5654">
        <v>7463</v>
      </c>
      <c r="C5654">
        <v>21</v>
      </c>
      <c r="D5654">
        <v>69.400000000000006</v>
      </c>
      <c r="E5654">
        <v>2.8</v>
      </c>
    </row>
    <row r="5655" spans="1:5" x14ac:dyDescent="0.2">
      <c r="A5655">
        <v>8240</v>
      </c>
      <c r="B5655">
        <v>7457</v>
      </c>
      <c r="C5655">
        <v>21</v>
      </c>
      <c r="D5655">
        <v>70.8</v>
      </c>
      <c r="E5655">
        <v>2.8</v>
      </c>
    </row>
    <row r="5656" spans="1:5" x14ac:dyDescent="0.2">
      <c r="A5656">
        <v>8245</v>
      </c>
      <c r="B5656">
        <v>7452</v>
      </c>
      <c r="C5656">
        <v>22</v>
      </c>
      <c r="D5656">
        <v>72.2</v>
      </c>
      <c r="E5656">
        <v>2.9</v>
      </c>
    </row>
    <row r="5657" spans="1:5" x14ac:dyDescent="0.2">
      <c r="A5657">
        <v>8250</v>
      </c>
      <c r="B5657">
        <v>7449</v>
      </c>
      <c r="C5657">
        <v>20</v>
      </c>
      <c r="D5657">
        <v>73.099999999999994</v>
      </c>
      <c r="E5657">
        <v>2.7</v>
      </c>
    </row>
    <row r="5658" spans="1:5" x14ac:dyDescent="0.2">
      <c r="A5658">
        <v>8255</v>
      </c>
      <c r="B5658">
        <v>7447</v>
      </c>
      <c r="C5658">
        <v>20</v>
      </c>
      <c r="D5658">
        <v>74.099999999999994</v>
      </c>
      <c r="E5658">
        <v>2.6</v>
      </c>
    </row>
    <row r="5659" spans="1:5" x14ac:dyDescent="0.2">
      <c r="A5659">
        <v>8260</v>
      </c>
      <c r="B5659">
        <v>7440</v>
      </c>
      <c r="C5659">
        <v>20</v>
      </c>
      <c r="D5659">
        <v>75.599999999999994</v>
      </c>
      <c r="E5659">
        <v>2.7</v>
      </c>
    </row>
    <row r="5660" spans="1:5" x14ac:dyDescent="0.2">
      <c r="A5660">
        <v>8265</v>
      </c>
      <c r="B5660">
        <v>7428</v>
      </c>
      <c r="C5660">
        <v>19</v>
      </c>
      <c r="D5660">
        <v>77.900000000000006</v>
      </c>
      <c r="E5660">
        <v>2.6</v>
      </c>
    </row>
    <row r="5661" spans="1:5" x14ac:dyDescent="0.2">
      <c r="A5661">
        <v>8270</v>
      </c>
      <c r="B5661">
        <v>7417</v>
      </c>
      <c r="C5661">
        <v>20</v>
      </c>
      <c r="D5661">
        <v>80.099999999999994</v>
      </c>
      <c r="E5661">
        <v>2.7</v>
      </c>
    </row>
    <row r="5662" spans="1:5" x14ac:dyDescent="0.2">
      <c r="A5662">
        <v>8275</v>
      </c>
      <c r="B5662">
        <v>7414</v>
      </c>
      <c r="C5662">
        <v>20</v>
      </c>
      <c r="D5662">
        <v>81.2</v>
      </c>
      <c r="E5662">
        <v>2.7</v>
      </c>
    </row>
    <row r="5663" spans="1:5" x14ac:dyDescent="0.2">
      <c r="A5663">
        <v>8280</v>
      </c>
      <c r="B5663">
        <v>7420</v>
      </c>
      <c r="C5663">
        <v>20</v>
      </c>
      <c r="D5663">
        <v>81</v>
      </c>
      <c r="E5663">
        <v>2.7</v>
      </c>
    </row>
    <row r="5664" spans="1:5" x14ac:dyDescent="0.2">
      <c r="A5664">
        <v>8285</v>
      </c>
      <c r="B5664">
        <v>7430</v>
      </c>
      <c r="C5664">
        <v>21</v>
      </c>
      <c r="D5664">
        <v>80.3</v>
      </c>
      <c r="E5664">
        <v>2.8</v>
      </c>
    </row>
    <row r="5665" spans="1:5" x14ac:dyDescent="0.2">
      <c r="A5665">
        <v>8290</v>
      </c>
      <c r="B5665">
        <v>7436</v>
      </c>
      <c r="C5665">
        <v>20</v>
      </c>
      <c r="D5665">
        <v>80.099999999999994</v>
      </c>
      <c r="E5665">
        <v>2.7</v>
      </c>
    </row>
    <row r="5666" spans="1:5" x14ac:dyDescent="0.2">
      <c r="A5666">
        <v>8295</v>
      </c>
      <c r="B5666">
        <v>7436</v>
      </c>
      <c r="C5666">
        <v>20</v>
      </c>
      <c r="D5666">
        <v>80.8</v>
      </c>
      <c r="E5666">
        <v>2.7</v>
      </c>
    </row>
    <row r="5667" spans="1:5" x14ac:dyDescent="0.2">
      <c r="A5667">
        <v>8300</v>
      </c>
      <c r="B5667">
        <v>7436</v>
      </c>
      <c r="C5667">
        <v>20</v>
      </c>
      <c r="D5667">
        <v>81.400000000000006</v>
      </c>
      <c r="E5667">
        <v>2.7</v>
      </c>
    </row>
    <row r="5668" spans="1:5" x14ac:dyDescent="0.2">
      <c r="A5668">
        <v>8305</v>
      </c>
      <c r="B5668">
        <v>7438</v>
      </c>
      <c r="C5668">
        <v>21</v>
      </c>
      <c r="D5668">
        <v>81.900000000000006</v>
      </c>
      <c r="E5668">
        <v>2.9</v>
      </c>
    </row>
    <row r="5669" spans="1:5" x14ac:dyDescent="0.2">
      <c r="A5669">
        <v>8310</v>
      </c>
      <c r="B5669">
        <v>7441</v>
      </c>
      <c r="C5669">
        <v>21</v>
      </c>
      <c r="D5669">
        <v>82.2</v>
      </c>
      <c r="E5669">
        <v>2.8</v>
      </c>
    </row>
    <row r="5670" spans="1:5" x14ac:dyDescent="0.2">
      <c r="A5670">
        <v>8315</v>
      </c>
      <c r="B5670">
        <v>7445</v>
      </c>
      <c r="C5670">
        <v>19</v>
      </c>
      <c r="D5670">
        <v>82.2</v>
      </c>
      <c r="E5670">
        <v>2.6</v>
      </c>
    </row>
    <row r="5671" spans="1:5" x14ac:dyDescent="0.2">
      <c r="A5671">
        <v>8320</v>
      </c>
      <c r="B5671">
        <v>7453</v>
      </c>
      <c r="C5671">
        <v>19</v>
      </c>
      <c r="D5671">
        <v>81.8</v>
      </c>
      <c r="E5671">
        <v>2.6</v>
      </c>
    </row>
    <row r="5672" spans="1:5" x14ac:dyDescent="0.2">
      <c r="A5672">
        <v>8325</v>
      </c>
      <c r="B5672">
        <v>7463</v>
      </c>
      <c r="C5672">
        <v>19</v>
      </c>
      <c r="D5672">
        <v>81.099999999999994</v>
      </c>
      <c r="E5672">
        <v>2.5</v>
      </c>
    </row>
    <row r="5673" spans="1:5" x14ac:dyDescent="0.2">
      <c r="A5673">
        <v>8330</v>
      </c>
      <c r="B5673">
        <v>7474</v>
      </c>
      <c r="C5673">
        <v>18</v>
      </c>
      <c r="D5673">
        <v>80.2</v>
      </c>
      <c r="E5673">
        <v>2.5</v>
      </c>
    </row>
    <row r="5674" spans="1:5" x14ac:dyDescent="0.2">
      <c r="A5674">
        <v>8335</v>
      </c>
      <c r="B5674">
        <v>7479</v>
      </c>
      <c r="C5674">
        <v>18</v>
      </c>
      <c r="D5674">
        <v>80.3</v>
      </c>
      <c r="E5674">
        <v>2.4</v>
      </c>
    </row>
    <row r="5675" spans="1:5" x14ac:dyDescent="0.2">
      <c r="A5675">
        <v>8340</v>
      </c>
      <c r="B5675">
        <v>7486</v>
      </c>
      <c r="C5675">
        <v>18</v>
      </c>
      <c r="D5675">
        <v>80</v>
      </c>
      <c r="E5675">
        <v>2.4</v>
      </c>
    </row>
    <row r="5676" spans="1:5" x14ac:dyDescent="0.2">
      <c r="A5676">
        <v>8345</v>
      </c>
      <c r="B5676">
        <v>7502</v>
      </c>
      <c r="C5676">
        <v>18</v>
      </c>
      <c r="D5676">
        <v>78.400000000000006</v>
      </c>
      <c r="E5676">
        <v>2.5</v>
      </c>
    </row>
    <row r="5677" spans="1:5" x14ac:dyDescent="0.2">
      <c r="A5677">
        <v>8350</v>
      </c>
      <c r="B5677">
        <v>7514</v>
      </c>
      <c r="C5677">
        <v>18</v>
      </c>
      <c r="D5677">
        <v>77.5</v>
      </c>
      <c r="E5677">
        <v>2.4</v>
      </c>
    </row>
    <row r="5678" spans="1:5" x14ac:dyDescent="0.2">
      <c r="A5678">
        <v>8355</v>
      </c>
      <c r="B5678">
        <v>7514</v>
      </c>
      <c r="C5678">
        <v>18</v>
      </c>
      <c r="D5678">
        <v>78.099999999999994</v>
      </c>
      <c r="E5678">
        <v>2.4</v>
      </c>
    </row>
    <row r="5679" spans="1:5" x14ac:dyDescent="0.2">
      <c r="A5679">
        <v>8360</v>
      </c>
      <c r="B5679">
        <v>7515</v>
      </c>
      <c r="C5679">
        <v>18</v>
      </c>
      <c r="D5679">
        <v>78.7</v>
      </c>
      <c r="E5679">
        <v>2.4</v>
      </c>
    </row>
    <row r="5680" spans="1:5" x14ac:dyDescent="0.2">
      <c r="A5680">
        <v>8365</v>
      </c>
      <c r="B5680">
        <v>7524</v>
      </c>
      <c r="C5680">
        <v>19</v>
      </c>
      <c r="D5680">
        <v>78.099999999999994</v>
      </c>
      <c r="E5680">
        <v>2.5</v>
      </c>
    </row>
    <row r="5681" spans="1:5" x14ac:dyDescent="0.2">
      <c r="A5681">
        <v>8370</v>
      </c>
      <c r="B5681">
        <v>7538</v>
      </c>
      <c r="C5681">
        <v>20</v>
      </c>
      <c r="D5681">
        <v>76.8</v>
      </c>
      <c r="E5681">
        <v>2.7</v>
      </c>
    </row>
    <row r="5682" spans="1:5" x14ac:dyDescent="0.2">
      <c r="A5682">
        <v>8375</v>
      </c>
      <c r="B5682">
        <v>7552</v>
      </c>
      <c r="C5682">
        <v>20</v>
      </c>
      <c r="D5682">
        <v>75.7</v>
      </c>
      <c r="E5682">
        <v>2.7</v>
      </c>
    </row>
    <row r="5683" spans="1:5" x14ac:dyDescent="0.2">
      <c r="A5683">
        <v>8380</v>
      </c>
      <c r="B5683">
        <v>7566</v>
      </c>
      <c r="C5683">
        <v>21</v>
      </c>
      <c r="D5683">
        <v>74.5</v>
      </c>
      <c r="E5683">
        <v>2.8</v>
      </c>
    </row>
    <row r="5684" spans="1:5" x14ac:dyDescent="0.2">
      <c r="A5684">
        <v>8385</v>
      </c>
      <c r="B5684">
        <v>7582</v>
      </c>
      <c r="C5684">
        <v>20</v>
      </c>
      <c r="D5684">
        <v>73</v>
      </c>
      <c r="E5684">
        <v>2.6</v>
      </c>
    </row>
    <row r="5685" spans="1:5" x14ac:dyDescent="0.2">
      <c r="A5685">
        <v>8390</v>
      </c>
      <c r="B5685">
        <v>7596</v>
      </c>
      <c r="C5685">
        <v>20</v>
      </c>
      <c r="D5685">
        <v>71.7</v>
      </c>
      <c r="E5685">
        <v>2.6</v>
      </c>
    </row>
    <row r="5686" spans="1:5" x14ac:dyDescent="0.2">
      <c r="A5686">
        <v>8395</v>
      </c>
      <c r="B5686">
        <v>7602</v>
      </c>
      <c r="C5686">
        <v>19</v>
      </c>
      <c r="D5686">
        <v>71.599999999999994</v>
      </c>
      <c r="E5686">
        <v>2.6</v>
      </c>
    </row>
    <row r="5687" spans="1:5" x14ac:dyDescent="0.2">
      <c r="A5687">
        <v>8400</v>
      </c>
      <c r="B5687">
        <v>7605</v>
      </c>
      <c r="C5687">
        <v>20</v>
      </c>
      <c r="D5687">
        <v>71.8</v>
      </c>
      <c r="E5687">
        <v>2.6</v>
      </c>
    </row>
    <row r="5688" spans="1:5" x14ac:dyDescent="0.2">
      <c r="A5688">
        <v>8405</v>
      </c>
      <c r="B5688">
        <v>7615</v>
      </c>
      <c r="C5688">
        <v>19</v>
      </c>
      <c r="D5688">
        <v>71.2</v>
      </c>
      <c r="E5688">
        <v>2.6</v>
      </c>
    </row>
    <row r="5689" spans="1:5" x14ac:dyDescent="0.2">
      <c r="A5689">
        <v>8410</v>
      </c>
      <c r="B5689">
        <v>7629</v>
      </c>
      <c r="C5689">
        <v>21</v>
      </c>
      <c r="D5689">
        <v>69.900000000000006</v>
      </c>
      <c r="E5689">
        <v>2.7</v>
      </c>
    </row>
    <row r="5690" spans="1:5" x14ac:dyDescent="0.2">
      <c r="A5690">
        <v>8415</v>
      </c>
      <c r="B5690">
        <v>7644</v>
      </c>
      <c r="C5690">
        <v>20</v>
      </c>
      <c r="D5690">
        <v>68.599999999999994</v>
      </c>
      <c r="E5690">
        <v>2.6</v>
      </c>
    </row>
    <row r="5691" spans="1:5" x14ac:dyDescent="0.2">
      <c r="A5691">
        <v>8420</v>
      </c>
      <c r="B5691">
        <v>7660</v>
      </c>
      <c r="C5691">
        <v>20</v>
      </c>
      <c r="D5691">
        <v>67.2</v>
      </c>
      <c r="E5691">
        <v>2.6</v>
      </c>
    </row>
    <row r="5692" spans="1:5" x14ac:dyDescent="0.2">
      <c r="A5692">
        <v>8425</v>
      </c>
      <c r="B5692">
        <v>7677</v>
      </c>
      <c r="C5692">
        <v>19</v>
      </c>
      <c r="D5692">
        <v>65.5</v>
      </c>
      <c r="E5692">
        <v>2.5</v>
      </c>
    </row>
    <row r="5693" spans="1:5" x14ac:dyDescent="0.2">
      <c r="A5693">
        <v>8430</v>
      </c>
      <c r="B5693">
        <v>7688</v>
      </c>
      <c r="C5693">
        <v>21</v>
      </c>
      <c r="D5693">
        <v>64.599999999999994</v>
      </c>
      <c r="E5693">
        <v>2.8</v>
      </c>
    </row>
    <row r="5694" spans="1:5" x14ac:dyDescent="0.2">
      <c r="A5694">
        <v>8435</v>
      </c>
      <c r="B5694">
        <v>7690</v>
      </c>
      <c r="C5694">
        <v>21</v>
      </c>
      <c r="D5694">
        <v>65.099999999999994</v>
      </c>
      <c r="E5694">
        <v>2.8</v>
      </c>
    </row>
    <row r="5695" spans="1:5" x14ac:dyDescent="0.2">
      <c r="A5695">
        <v>8440</v>
      </c>
      <c r="B5695">
        <v>7687</v>
      </c>
      <c r="C5695">
        <v>21</v>
      </c>
      <c r="D5695">
        <v>66.2</v>
      </c>
      <c r="E5695">
        <v>2.9</v>
      </c>
    </row>
    <row r="5696" spans="1:5" x14ac:dyDescent="0.2">
      <c r="A5696">
        <v>8445</v>
      </c>
      <c r="B5696">
        <v>7687</v>
      </c>
      <c r="C5696">
        <v>22</v>
      </c>
      <c r="D5696">
        <v>66.8</v>
      </c>
      <c r="E5696">
        <v>2.9</v>
      </c>
    </row>
    <row r="5697" spans="1:5" x14ac:dyDescent="0.2">
      <c r="A5697">
        <v>8450</v>
      </c>
      <c r="B5697">
        <v>7695</v>
      </c>
      <c r="C5697">
        <v>20</v>
      </c>
      <c r="D5697">
        <v>66.3</v>
      </c>
      <c r="E5697">
        <v>2.7</v>
      </c>
    </row>
    <row r="5698" spans="1:5" x14ac:dyDescent="0.2">
      <c r="A5698">
        <v>8455</v>
      </c>
      <c r="B5698">
        <v>7708</v>
      </c>
      <c r="C5698">
        <v>19</v>
      </c>
      <c r="D5698">
        <v>65.2</v>
      </c>
      <c r="E5698">
        <v>2.6</v>
      </c>
    </row>
    <row r="5699" spans="1:5" x14ac:dyDescent="0.2">
      <c r="A5699">
        <v>8460</v>
      </c>
      <c r="B5699">
        <v>7718</v>
      </c>
      <c r="C5699">
        <v>20</v>
      </c>
      <c r="D5699">
        <v>64.599999999999994</v>
      </c>
      <c r="E5699">
        <v>2.6</v>
      </c>
    </row>
    <row r="5700" spans="1:5" x14ac:dyDescent="0.2">
      <c r="A5700">
        <v>8465</v>
      </c>
      <c r="B5700">
        <v>7721</v>
      </c>
      <c r="C5700">
        <v>19</v>
      </c>
      <c r="D5700">
        <v>64.8</v>
      </c>
      <c r="E5700">
        <v>2.5</v>
      </c>
    </row>
    <row r="5701" spans="1:5" x14ac:dyDescent="0.2">
      <c r="A5701">
        <v>8470</v>
      </c>
      <c r="B5701">
        <v>7721</v>
      </c>
      <c r="C5701">
        <v>19</v>
      </c>
      <c r="D5701">
        <v>65.400000000000006</v>
      </c>
      <c r="E5701">
        <v>2.5</v>
      </c>
    </row>
    <row r="5702" spans="1:5" x14ac:dyDescent="0.2">
      <c r="A5702">
        <v>8475</v>
      </c>
      <c r="B5702">
        <v>7720</v>
      </c>
      <c r="C5702">
        <v>20</v>
      </c>
      <c r="D5702">
        <v>66.2</v>
      </c>
      <c r="E5702">
        <v>2.7</v>
      </c>
    </row>
    <row r="5703" spans="1:5" x14ac:dyDescent="0.2">
      <c r="A5703">
        <v>8480</v>
      </c>
      <c r="B5703">
        <v>7721</v>
      </c>
      <c r="C5703">
        <v>21</v>
      </c>
      <c r="D5703">
        <v>66.8</v>
      </c>
      <c r="E5703">
        <v>2.7</v>
      </c>
    </row>
    <row r="5704" spans="1:5" x14ac:dyDescent="0.2">
      <c r="A5704">
        <v>8485</v>
      </c>
      <c r="B5704">
        <v>7723</v>
      </c>
      <c r="C5704">
        <v>19</v>
      </c>
      <c r="D5704">
        <v>67.099999999999994</v>
      </c>
      <c r="E5704">
        <v>2.6</v>
      </c>
    </row>
    <row r="5705" spans="1:5" x14ac:dyDescent="0.2">
      <c r="A5705">
        <v>8490</v>
      </c>
      <c r="B5705">
        <v>7725</v>
      </c>
      <c r="C5705">
        <v>20</v>
      </c>
      <c r="D5705">
        <v>67.5</v>
      </c>
      <c r="E5705">
        <v>2.7</v>
      </c>
    </row>
    <row r="5706" spans="1:5" x14ac:dyDescent="0.2">
      <c r="A5706">
        <v>8495</v>
      </c>
      <c r="B5706">
        <v>7722</v>
      </c>
      <c r="C5706">
        <v>21</v>
      </c>
      <c r="D5706">
        <v>68.599999999999994</v>
      </c>
      <c r="E5706">
        <v>2.8</v>
      </c>
    </row>
    <row r="5707" spans="1:5" x14ac:dyDescent="0.2">
      <c r="A5707">
        <v>8500</v>
      </c>
      <c r="B5707">
        <v>7712</v>
      </c>
      <c r="C5707">
        <v>19</v>
      </c>
      <c r="D5707">
        <v>70.5</v>
      </c>
      <c r="E5707">
        <v>2.6</v>
      </c>
    </row>
    <row r="5708" spans="1:5" x14ac:dyDescent="0.2">
      <c r="A5708">
        <v>8505</v>
      </c>
      <c r="B5708">
        <v>7703</v>
      </c>
      <c r="C5708">
        <v>20</v>
      </c>
      <c r="D5708">
        <v>72.400000000000006</v>
      </c>
      <c r="E5708">
        <v>2.7</v>
      </c>
    </row>
    <row r="5709" spans="1:5" x14ac:dyDescent="0.2">
      <c r="A5709">
        <v>8510</v>
      </c>
      <c r="B5709">
        <v>7702</v>
      </c>
      <c r="C5709">
        <v>22</v>
      </c>
      <c r="D5709">
        <v>73.099999999999994</v>
      </c>
      <c r="E5709">
        <v>2.9</v>
      </c>
    </row>
    <row r="5710" spans="1:5" x14ac:dyDescent="0.2">
      <c r="A5710">
        <v>8515</v>
      </c>
      <c r="B5710">
        <v>7713</v>
      </c>
      <c r="C5710">
        <v>21</v>
      </c>
      <c r="D5710">
        <v>72.3</v>
      </c>
      <c r="E5710">
        <v>2.8</v>
      </c>
    </row>
    <row r="5711" spans="1:5" x14ac:dyDescent="0.2">
      <c r="A5711">
        <v>8520</v>
      </c>
      <c r="B5711">
        <v>7726</v>
      </c>
      <c r="C5711">
        <v>20</v>
      </c>
      <c r="D5711">
        <v>71.2</v>
      </c>
      <c r="E5711">
        <v>2.7</v>
      </c>
    </row>
    <row r="5712" spans="1:5" x14ac:dyDescent="0.2">
      <c r="A5712">
        <v>8525</v>
      </c>
      <c r="B5712">
        <v>7731</v>
      </c>
      <c r="C5712">
        <v>20</v>
      </c>
      <c r="D5712">
        <v>71.2</v>
      </c>
      <c r="E5712">
        <v>2.6</v>
      </c>
    </row>
    <row r="5713" spans="1:5" x14ac:dyDescent="0.2">
      <c r="A5713">
        <v>8530</v>
      </c>
      <c r="B5713">
        <v>7727</v>
      </c>
      <c r="C5713">
        <v>20</v>
      </c>
      <c r="D5713">
        <v>72.400000000000006</v>
      </c>
      <c r="E5713">
        <v>2.6</v>
      </c>
    </row>
    <row r="5714" spans="1:5" x14ac:dyDescent="0.2">
      <c r="A5714">
        <v>8535</v>
      </c>
      <c r="B5714">
        <v>7726</v>
      </c>
      <c r="C5714">
        <v>21</v>
      </c>
      <c r="D5714">
        <v>73.2</v>
      </c>
      <c r="E5714">
        <v>2.8</v>
      </c>
    </row>
    <row r="5715" spans="1:5" x14ac:dyDescent="0.2">
      <c r="A5715">
        <v>8540</v>
      </c>
      <c r="B5715">
        <v>7737</v>
      </c>
      <c r="C5715">
        <v>20</v>
      </c>
      <c r="D5715">
        <v>72.3</v>
      </c>
      <c r="E5715">
        <v>2.7</v>
      </c>
    </row>
    <row r="5716" spans="1:5" x14ac:dyDescent="0.2">
      <c r="A5716">
        <v>8545</v>
      </c>
      <c r="B5716">
        <v>7763</v>
      </c>
      <c r="C5716">
        <v>19</v>
      </c>
      <c r="D5716">
        <v>69.599999999999994</v>
      </c>
      <c r="E5716">
        <v>2.6</v>
      </c>
    </row>
    <row r="5717" spans="1:5" x14ac:dyDescent="0.2">
      <c r="A5717">
        <v>8550</v>
      </c>
      <c r="B5717">
        <v>7781</v>
      </c>
      <c r="C5717">
        <v>19</v>
      </c>
      <c r="D5717">
        <v>67.8</v>
      </c>
      <c r="E5717">
        <v>2.5</v>
      </c>
    </row>
    <row r="5718" spans="1:5" x14ac:dyDescent="0.2">
      <c r="A5718">
        <v>8555</v>
      </c>
      <c r="B5718">
        <v>7789</v>
      </c>
      <c r="C5718">
        <v>20</v>
      </c>
      <c r="D5718">
        <v>67.400000000000006</v>
      </c>
      <c r="E5718">
        <v>2.7</v>
      </c>
    </row>
    <row r="5719" spans="1:5" x14ac:dyDescent="0.2">
      <c r="A5719">
        <v>8560</v>
      </c>
      <c r="B5719">
        <v>7791</v>
      </c>
      <c r="C5719">
        <v>20</v>
      </c>
      <c r="D5719">
        <v>67.8</v>
      </c>
      <c r="E5719">
        <v>2.7</v>
      </c>
    </row>
    <row r="5720" spans="1:5" x14ac:dyDescent="0.2">
      <c r="A5720">
        <v>8565</v>
      </c>
      <c r="B5720">
        <v>7788</v>
      </c>
      <c r="C5720">
        <v>21</v>
      </c>
      <c r="D5720">
        <v>68.8</v>
      </c>
      <c r="E5720">
        <v>2.7</v>
      </c>
    </row>
    <row r="5721" spans="1:5" x14ac:dyDescent="0.2">
      <c r="A5721">
        <v>8570</v>
      </c>
      <c r="B5721">
        <v>7782</v>
      </c>
      <c r="C5721">
        <v>22</v>
      </c>
      <c r="D5721">
        <v>70.3</v>
      </c>
      <c r="E5721">
        <v>2.9</v>
      </c>
    </row>
    <row r="5722" spans="1:5" x14ac:dyDescent="0.2">
      <c r="A5722">
        <v>8575</v>
      </c>
      <c r="B5722">
        <v>7775</v>
      </c>
      <c r="C5722">
        <v>21</v>
      </c>
      <c r="D5722">
        <v>71.900000000000006</v>
      </c>
      <c r="E5722">
        <v>2.8</v>
      </c>
    </row>
    <row r="5723" spans="1:5" x14ac:dyDescent="0.2">
      <c r="A5723">
        <v>8580</v>
      </c>
      <c r="B5723">
        <v>7771</v>
      </c>
      <c r="C5723">
        <v>20</v>
      </c>
      <c r="D5723">
        <v>73.099999999999994</v>
      </c>
      <c r="E5723">
        <v>2.7</v>
      </c>
    </row>
    <row r="5724" spans="1:5" x14ac:dyDescent="0.2">
      <c r="A5724">
        <v>8585</v>
      </c>
      <c r="B5724">
        <v>7775</v>
      </c>
      <c r="C5724">
        <v>21</v>
      </c>
      <c r="D5724">
        <v>73.099999999999994</v>
      </c>
      <c r="E5724">
        <v>2.8</v>
      </c>
    </row>
    <row r="5725" spans="1:5" x14ac:dyDescent="0.2">
      <c r="A5725">
        <v>8590</v>
      </c>
      <c r="B5725">
        <v>7794</v>
      </c>
      <c r="C5725">
        <v>20</v>
      </c>
      <c r="D5725">
        <v>71.3</v>
      </c>
      <c r="E5725">
        <v>2.6</v>
      </c>
    </row>
    <row r="5726" spans="1:5" x14ac:dyDescent="0.2">
      <c r="A5726">
        <v>8595</v>
      </c>
      <c r="B5726">
        <v>7821</v>
      </c>
      <c r="C5726">
        <v>20</v>
      </c>
      <c r="D5726">
        <v>68.3</v>
      </c>
      <c r="E5726">
        <v>2.7</v>
      </c>
    </row>
    <row r="5727" spans="1:5" x14ac:dyDescent="0.2">
      <c r="A5727">
        <v>8600</v>
      </c>
      <c r="B5727">
        <v>7848</v>
      </c>
      <c r="C5727">
        <v>21</v>
      </c>
      <c r="D5727">
        <v>65.400000000000006</v>
      </c>
      <c r="E5727">
        <v>2.7</v>
      </c>
    </row>
    <row r="5728" spans="1:5" x14ac:dyDescent="0.2">
      <c r="A5728">
        <v>8605</v>
      </c>
      <c r="B5728">
        <v>7867</v>
      </c>
      <c r="C5728">
        <v>23</v>
      </c>
      <c r="D5728">
        <v>63.5</v>
      </c>
      <c r="E5728">
        <v>3.1</v>
      </c>
    </row>
    <row r="5729" spans="1:5" x14ac:dyDescent="0.2">
      <c r="A5729">
        <v>8610</v>
      </c>
      <c r="B5729">
        <v>7873</v>
      </c>
      <c r="C5729">
        <v>23</v>
      </c>
      <c r="D5729">
        <v>63.4</v>
      </c>
      <c r="E5729">
        <v>3</v>
      </c>
    </row>
    <row r="5730" spans="1:5" x14ac:dyDescent="0.2">
      <c r="A5730">
        <v>8615</v>
      </c>
      <c r="B5730">
        <v>7868</v>
      </c>
      <c r="C5730">
        <v>22</v>
      </c>
      <c r="D5730">
        <v>64.599999999999994</v>
      </c>
      <c r="E5730">
        <v>2.9</v>
      </c>
    </row>
    <row r="5731" spans="1:5" x14ac:dyDescent="0.2">
      <c r="A5731">
        <v>8620</v>
      </c>
      <c r="B5731">
        <v>7859</v>
      </c>
      <c r="C5731">
        <v>21</v>
      </c>
      <c r="D5731">
        <v>66.5</v>
      </c>
      <c r="E5731">
        <v>2.8</v>
      </c>
    </row>
    <row r="5732" spans="1:5" x14ac:dyDescent="0.2">
      <c r="A5732">
        <v>8625</v>
      </c>
      <c r="B5732">
        <v>7852</v>
      </c>
      <c r="C5732">
        <v>21</v>
      </c>
      <c r="D5732">
        <v>68.099999999999994</v>
      </c>
      <c r="E5732">
        <v>2.7</v>
      </c>
    </row>
    <row r="5733" spans="1:5" x14ac:dyDescent="0.2">
      <c r="A5733">
        <v>8630</v>
      </c>
      <c r="B5733">
        <v>7854</v>
      </c>
      <c r="C5733">
        <v>22</v>
      </c>
      <c r="D5733">
        <v>68.400000000000006</v>
      </c>
      <c r="E5733">
        <v>3</v>
      </c>
    </row>
    <row r="5734" spans="1:5" x14ac:dyDescent="0.2">
      <c r="A5734">
        <v>8635</v>
      </c>
      <c r="B5734">
        <v>7867</v>
      </c>
      <c r="C5734">
        <v>22</v>
      </c>
      <c r="D5734">
        <v>67.3</v>
      </c>
      <c r="E5734">
        <v>2.9</v>
      </c>
    </row>
    <row r="5735" spans="1:5" x14ac:dyDescent="0.2">
      <c r="A5735">
        <v>8640</v>
      </c>
      <c r="B5735">
        <v>7886</v>
      </c>
      <c r="C5735">
        <v>22</v>
      </c>
      <c r="D5735">
        <v>65.5</v>
      </c>
      <c r="E5735">
        <v>2.9</v>
      </c>
    </row>
    <row r="5736" spans="1:5" x14ac:dyDescent="0.2">
      <c r="A5736">
        <v>8645</v>
      </c>
      <c r="B5736">
        <v>7903</v>
      </c>
      <c r="C5736">
        <v>20</v>
      </c>
      <c r="D5736">
        <v>63.8</v>
      </c>
      <c r="E5736">
        <v>2.7</v>
      </c>
    </row>
    <row r="5737" spans="1:5" x14ac:dyDescent="0.2">
      <c r="A5737">
        <v>8650</v>
      </c>
      <c r="B5737">
        <v>7918</v>
      </c>
      <c r="C5737">
        <v>21</v>
      </c>
      <c r="D5737">
        <v>62.6</v>
      </c>
      <c r="E5737">
        <v>2.8</v>
      </c>
    </row>
    <row r="5738" spans="1:5" x14ac:dyDescent="0.2">
      <c r="A5738">
        <v>8655</v>
      </c>
      <c r="B5738">
        <v>7929</v>
      </c>
      <c r="C5738">
        <v>21</v>
      </c>
      <c r="D5738">
        <v>61.7</v>
      </c>
      <c r="E5738">
        <v>2.8</v>
      </c>
    </row>
    <row r="5739" spans="1:5" x14ac:dyDescent="0.2">
      <c r="A5739">
        <v>8660</v>
      </c>
      <c r="B5739">
        <v>7934</v>
      </c>
      <c r="C5739">
        <v>21</v>
      </c>
      <c r="D5739">
        <v>61.7</v>
      </c>
      <c r="E5739">
        <v>2.8</v>
      </c>
    </row>
    <row r="5740" spans="1:5" x14ac:dyDescent="0.2">
      <c r="A5740">
        <v>8665</v>
      </c>
      <c r="B5740">
        <v>7929</v>
      </c>
      <c r="C5740">
        <v>20</v>
      </c>
      <c r="D5740">
        <v>63</v>
      </c>
      <c r="E5740">
        <v>2.7</v>
      </c>
    </row>
    <row r="5741" spans="1:5" x14ac:dyDescent="0.2">
      <c r="A5741">
        <v>8670</v>
      </c>
      <c r="B5741">
        <v>7919</v>
      </c>
      <c r="C5741">
        <v>22</v>
      </c>
      <c r="D5741">
        <v>65</v>
      </c>
      <c r="E5741">
        <v>2.9</v>
      </c>
    </row>
    <row r="5742" spans="1:5" x14ac:dyDescent="0.2">
      <c r="A5742">
        <v>8675</v>
      </c>
      <c r="B5742">
        <v>7909</v>
      </c>
      <c r="C5742">
        <v>22</v>
      </c>
      <c r="D5742">
        <v>66.900000000000006</v>
      </c>
      <c r="E5742">
        <v>2.9</v>
      </c>
    </row>
    <row r="5743" spans="1:5" x14ac:dyDescent="0.2">
      <c r="A5743">
        <v>8680</v>
      </c>
      <c r="B5743">
        <v>7903</v>
      </c>
      <c r="C5743">
        <v>22</v>
      </c>
      <c r="D5743">
        <v>68.3</v>
      </c>
      <c r="E5743">
        <v>2.9</v>
      </c>
    </row>
    <row r="5744" spans="1:5" x14ac:dyDescent="0.2">
      <c r="A5744">
        <v>8685</v>
      </c>
      <c r="B5744">
        <v>7902</v>
      </c>
      <c r="C5744">
        <v>21</v>
      </c>
      <c r="D5744">
        <v>69.2</v>
      </c>
      <c r="E5744">
        <v>2.8</v>
      </c>
    </row>
    <row r="5745" spans="1:5" x14ac:dyDescent="0.2">
      <c r="A5745">
        <v>8690</v>
      </c>
      <c r="B5745">
        <v>7906</v>
      </c>
      <c r="C5745">
        <v>20</v>
      </c>
      <c r="D5745">
        <v>69.3</v>
      </c>
      <c r="E5745">
        <v>2.7</v>
      </c>
    </row>
    <row r="5746" spans="1:5" x14ac:dyDescent="0.2">
      <c r="A5746">
        <v>8695</v>
      </c>
      <c r="B5746">
        <v>7912</v>
      </c>
      <c r="C5746">
        <v>21</v>
      </c>
      <c r="D5746">
        <v>69.099999999999994</v>
      </c>
      <c r="E5746">
        <v>2.8</v>
      </c>
    </row>
    <row r="5747" spans="1:5" x14ac:dyDescent="0.2">
      <c r="A5747">
        <v>8700</v>
      </c>
      <c r="B5747">
        <v>7920</v>
      </c>
      <c r="C5747">
        <v>20</v>
      </c>
      <c r="D5747">
        <v>68.7</v>
      </c>
      <c r="E5747">
        <v>2.6</v>
      </c>
    </row>
    <row r="5748" spans="1:5" x14ac:dyDescent="0.2">
      <c r="A5748">
        <v>8705</v>
      </c>
      <c r="B5748">
        <v>7921</v>
      </c>
      <c r="C5748">
        <v>19</v>
      </c>
      <c r="D5748">
        <v>69.2</v>
      </c>
      <c r="E5748">
        <v>2.6</v>
      </c>
    </row>
    <row r="5749" spans="1:5" x14ac:dyDescent="0.2">
      <c r="A5749">
        <v>8710</v>
      </c>
      <c r="B5749">
        <v>7917</v>
      </c>
      <c r="C5749">
        <v>20</v>
      </c>
      <c r="D5749">
        <v>70.400000000000006</v>
      </c>
      <c r="E5749">
        <v>2.7</v>
      </c>
    </row>
    <row r="5750" spans="1:5" x14ac:dyDescent="0.2">
      <c r="A5750">
        <v>8715</v>
      </c>
      <c r="B5750">
        <v>7916</v>
      </c>
      <c r="C5750">
        <v>20</v>
      </c>
      <c r="D5750">
        <v>71.2</v>
      </c>
      <c r="E5750">
        <v>2.6</v>
      </c>
    </row>
    <row r="5751" spans="1:5" x14ac:dyDescent="0.2">
      <c r="A5751">
        <v>8720</v>
      </c>
      <c r="B5751">
        <v>7925</v>
      </c>
      <c r="C5751">
        <v>20</v>
      </c>
      <c r="D5751">
        <v>70.7</v>
      </c>
      <c r="E5751">
        <v>2.6</v>
      </c>
    </row>
    <row r="5752" spans="1:5" x14ac:dyDescent="0.2">
      <c r="A5752">
        <v>8725</v>
      </c>
      <c r="B5752">
        <v>7937</v>
      </c>
      <c r="C5752">
        <v>21</v>
      </c>
      <c r="D5752">
        <v>69.7</v>
      </c>
      <c r="E5752">
        <v>2.8</v>
      </c>
    </row>
    <row r="5753" spans="1:5" x14ac:dyDescent="0.2">
      <c r="A5753">
        <v>8730</v>
      </c>
      <c r="B5753">
        <v>7944</v>
      </c>
      <c r="C5753">
        <v>21</v>
      </c>
      <c r="D5753">
        <v>69.400000000000006</v>
      </c>
      <c r="E5753">
        <v>2.9</v>
      </c>
    </row>
    <row r="5754" spans="1:5" x14ac:dyDescent="0.2">
      <c r="A5754">
        <v>8735</v>
      </c>
      <c r="B5754">
        <v>7941</v>
      </c>
      <c r="C5754">
        <v>21</v>
      </c>
      <c r="D5754">
        <v>70.400000000000006</v>
      </c>
      <c r="E5754">
        <v>2.7</v>
      </c>
    </row>
    <row r="5755" spans="1:5" x14ac:dyDescent="0.2">
      <c r="A5755">
        <v>8740</v>
      </c>
      <c r="B5755">
        <v>7935</v>
      </c>
      <c r="C5755">
        <v>22</v>
      </c>
      <c r="D5755">
        <v>71.900000000000006</v>
      </c>
      <c r="E5755">
        <v>2.9</v>
      </c>
    </row>
    <row r="5756" spans="1:5" x14ac:dyDescent="0.2">
      <c r="A5756">
        <v>8745</v>
      </c>
      <c r="B5756">
        <v>7932</v>
      </c>
      <c r="C5756">
        <v>21</v>
      </c>
      <c r="D5756">
        <v>72.900000000000006</v>
      </c>
      <c r="E5756">
        <v>2.8</v>
      </c>
    </row>
    <row r="5757" spans="1:5" x14ac:dyDescent="0.2">
      <c r="A5757">
        <v>8750</v>
      </c>
      <c r="B5757">
        <v>7933</v>
      </c>
      <c r="C5757">
        <v>21</v>
      </c>
      <c r="D5757">
        <v>73.400000000000006</v>
      </c>
      <c r="E5757">
        <v>2.8</v>
      </c>
    </row>
    <row r="5758" spans="1:5" x14ac:dyDescent="0.2">
      <c r="A5758">
        <v>8755</v>
      </c>
      <c r="B5758">
        <v>7934</v>
      </c>
      <c r="C5758">
        <v>20</v>
      </c>
      <c r="D5758">
        <v>74</v>
      </c>
      <c r="E5758">
        <v>2.7</v>
      </c>
    </row>
    <row r="5759" spans="1:5" x14ac:dyDescent="0.2">
      <c r="A5759">
        <v>8760</v>
      </c>
      <c r="B5759">
        <v>7934</v>
      </c>
      <c r="C5759">
        <v>21</v>
      </c>
      <c r="D5759">
        <v>74.599999999999994</v>
      </c>
      <c r="E5759">
        <v>2.8</v>
      </c>
    </row>
    <row r="5760" spans="1:5" x14ac:dyDescent="0.2">
      <c r="A5760">
        <v>8765</v>
      </c>
      <c r="B5760">
        <v>7935</v>
      </c>
      <c r="C5760">
        <v>21</v>
      </c>
      <c r="D5760">
        <v>75.099999999999994</v>
      </c>
      <c r="E5760">
        <v>2.8</v>
      </c>
    </row>
    <row r="5761" spans="1:5" x14ac:dyDescent="0.2">
      <c r="A5761">
        <v>8770</v>
      </c>
      <c r="B5761">
        <v>7942</v>
      </c>
      <c r="C5761">
        <v>22</v>
      </c>
      <c r="D5761">
        <v>74.900000000000006</v>
      </c>
      <c r="E5761">
        <v>3</v>
      </c>
    </row>
    <row r="5762" spans="1:5" x14ac:dyDescent="0.2">
      <c r="A5762">
        <v>8775</v>
      </c>
      <c r="B5762">
        <v>7955</v>
      </c>
      <c r="C5762">
        <v>21</v>
      </c>
      <c r="D5762">
        <v>73.7</v>
      </c>
      <c r="E5762">
        <v>2.8</v>
      </c>
    </row>
    <row r="5763" spans="1:5" x14ac:dyDescent="0.2">
      <c r="A5763">
        <v>8780</v>
      </c>
      <c r="B5763">
        <v>7971</v>
      </c>
      <c r="C5763">
        <v>21</v>
      </c>
      <c r="D5763">
        <v>72.3</v>
      </c>
      <c r="E5763">
        <v>2.8</v>
      </c>
    </row>
    <row r="5764" spans="1:5" x14ac:dyDescent="0.2">
      <c r="A5764">
        <v>8785</v>
      </c>
      <c r="B5764">
        <v>7981</v>
      </c>
      <c r="C5764">
        <v>21</v>
      </c>
      <c r="D5764">
        <v>71.599999999999994</v>
      </c>
      <c r="E5764">
        <v>2.9</v>
      </c>
    </row>
    <row r="5765" spans="1:5" x14ac:dyDescent="0.2">
      <c r="A5765">
        <v>8790</v>
      </c>
      <c r="B5765">
        <v>7986</v>
      </c>
      <c r="C5765">
        <v>23</v>
      </c>
      <c r="D5765">
        <v>71.5</v>
      </c>
      <c r="E5765">
        <v>3</v>
      </c>
    </row>
    <row r="5766" spans="1:5" x14ac:dyDescent="0.2">
      <c r="A5766">
        <v>8795</v>
      </c>
      <c r="B5766">
        <v>7987</v>
      </c>
      <c r="C5766">
        <v>24</v>
      </c>
      <c r="D5766">
        <v>72.099999999999994</v>
      </c>
      <c r="E5766">
        <v>3.2</v>
      </c>
    </row>
    <row r="5767" spans="1:5" x14ac:dyDescent="0.2">
      <c r="A5767">
        <v>8800</v>
      </c>
      <c r="B5767">
        <v>7985</v>
      </c>
      <c r="C5767">
        <v>23</v>
      </c>
      <c r="D5767">
        <v>72.900000000000006</v>
      </c>
      <c r="E5767">
        <v>3</v>
      </c>
    </row>
    <row r="5768" spans="1:5" x14ac:dyDescent="0.2">
      <c r="A5768">
        <v>8805</v>
      </c>
      <c r="B5768">
        <v>7984</v>
      </c>
      <c r="C5768">
        <v>23</v>
      </c>
      <c r="D5768">
        <v>73.7</v>
      </c>
      <c r="E5768">
        <v>3.1</v>
      </c>
    </row>
    <row r="5769" spans="1:5" x14ac:dyDescent="0.2">
      <c r="A5769">
        <v>8810</v>
      </c>
      <c r="B5769">
        <v>7987</v>
      </c>
      <c r="C5769">
        <v>23</v>
      </c>
      <c r="D5769">
        <v>74</v>
      </c>
      <c r="E5769">
        <v>3.1</v>
      </c>
    </row>
    <row r="5770" spans="1:5" x14ac:dyDescent="0.2">
      <c r="A5770">
        <v>8815</v>
      </c>
      <c r="B5770">
        <v>7995</v>
      </c>
      <c r="C5770">
        <v>21</v>
      </c>
      <c r="D5770">
        <v>73.599999999999994</v>
      </c>
      <c r="E5770">
        <v>2.8</v>
      </c>
    </row>
    <row r="5771" spans="1:5" x14ac:dyDescent="0.2">
      <c r="A5771">
        <v>8820</v>
      </c>
      <c r="B5771">
        <v>7999</v>
      </c>
      <c r="C5771">
        <v>21</v>
      </c>
      <c r="D5771">
        <v>73.8</v>
      </c>
      <c r="E5771">
        <v>2.8</v>
      </c>
    </row>
    <row r="5772" spans="1:5" x14ac:dyDescent="0.2">
      <c r="A5772">
        <v>8825</v>
      </c>
      <c r="B5772">
        <v>7991</v>
      </c>
      <c r="C5772">
        <v>21</v>
      </c>
      <c r="D5772">
        <v>75.400000000000006</v>
      </c>
      <c r="E5772">
        <v>2.8</v>
      </c>
    </row>
    <row r="5773" spans="1:5" x14ac:dyDescent="0.2">
      <c r="A5773">
        <v>8830</v>
      </c>
      <c r="B5773">
        <v>7976</v>
      </c>
      <c r="C5773">
        <v>22</v>
      </c>
      <c r="D5773">
        <v>78.099999999999994</v>
      </c>
      <c r="E5773">
        <v>3</v>
      </c>
    </row>
    <row r="5774" spans="1:5" x14ac:dyDescent="0.2">
      <c r="A5774">
        <v>8835</v>
      </c>
      <c r="B5774">
        <v>7959</v>
      </c>
      <c r="C5774">
        <v>21</v>
      </c>
      <c r="D5774">
        <v>81</v>
      </c>
      <c r="E5774">
        <v>2.9</v>
      </c>
    </row>
    <row r="5775" spans="1:5" x14ac:dyDescent="0.2">
      <c r="A5775">
        <v>8840</v>
      </c>
      <c r="B5775">
        <v>7949</v>
      </c>
      <c r="C5775">
        <v>20</v>
      </c>
      <c r="D5775">
        <v>83</v>
      </c>
      <c r="E5775">
        <v>2.7</v>
      </c>
    </row>
    <row r="5776" spans="1:5" x14ac:dyDescent="0.2">
      <c r="A5776">
        <v>8845</v>
      </c>
      <c r="B5776">
        <v>7947</v>
      </c>
      <c r="C5776">
        <v>20</v>
      </c>
      <c r="D5776">
        <v>84</v>
      </c>
      <c r="E5776">
        <v>2.7</v>
      </c>
    </row>
    <row r="5777" spans="1:5" x14ac:dyDescent="0.2">
      <c r="A5777">
        <v>8850</v>
      </c>
      <c r="B5777">
        <v>7950</v>
      </c>
      <c r="C5777">
        <v>21</v>
      </c>
      <c r="D5777">
        <v>84.2</v>
      </c>
      <c r="E5777">
        <v>2.8</v>
      </c>
    </row>
    <row r="5778" spans="1:5" x14ac:dyDescent="0.2">
      <c r="A5778">
        <v>8855</v>
      </c>
      <c r="B5778">
        <v>7957</v>
      </c>
      <c r="C5778">
        <v>22</v>
      </c>
      <c r="D5778">
        <v>83.9</v>
      </c>
      <c r="E5778">
        <v>2.9</v>
      </c>
    </row>
    <row r="5779" spans="1:5" x14ac:dyDescent="0.2">
      <c r="A5779">
        <v>8860</v>
      </c>
      <c r="B5779">
        <v>7968</v>
      </c>
      <c r="C5779">
        <v>23</v>
      </c>
      <c r="D5779">
        <v>83.1</v>
      </c>
      <c r="E5779">
        <v>3.1</v>
      </c>
    </row>
    <row r="5780" spans="1:5" x14ac:dyDescent="0.2">
      <c r="A5780">
        <v>8865</v>
      </c>
      <c r="B5780">
        <v>7982</v>
      </c>
      <c r="C5780">
        <v>22</v>
      </c>
      <c r="D5780">
        <v>81.900000000000006</v>
      </c>
      <c r="E5780">
        <v>2.9</v>
      </c>
    </row>
    <row r="5781" spans="1:5" x14ac:dyDescent="0.2">
      <c r="A5781">
        <v>8870</v>
      </c>
      <c r="B5781">
        <v>7993</v>
      </c>
      <c r="C5781">
        <v>21</v>
      </c>
      <c r="D5781">
        <v>81.099999999999994</v>
      </c>
      <c r="E5781">
        <v>2.8</v>
      </c>
    </row>
    <row r="5782" spans="1:5" x14ac:dyDescent="0.2">
      <c r="A5782">
        <v>8875</v>
      </c>
      <c r="B5782">
        <v>7991</v>
      </c>
      <c r="C5782">
        <v>20</v>
      </c>
      <c r="D5782">
        <v>81.900000000000006</v>
      </c>
      <c r="E5782">
        <v>2.6</v>
      </c>
    </row>
    <row r="5783" spans="1:5" x14ac:dyDescent="0.2">
      <c r="A5783">
        <v>8880</v>
      </c>
      <c r="B5783">
        <v>7981</v>
      </c>
      <c r="C5783">
        <v>21</v>
      </c>
      <c r="D5783">
        <v>84</v>
      </c>
      <c r="E5783">
        <v>2.8</v>
      </c>
    </row>
    <row r="5784" spans="1:5" x14ac:dyDescent="0.2">
      <c r="A5784">
        <v>8885</v>
      </c>
      <c r="B5784">
        <v>7969</v>
      </c>
      <c r="C5784">
        <v>21</v>
      </c>
      <c r="D5784">
        <v>86.3</v>
      </c>
      <c r="E5784">
        <v>2.9</v>
      </c>
    </row>
    <row r="5785" spans="1:5" x14ac:dyDescent="0.2">
      <c r="A5785">
        <v>8890</v>
      </c>
      <c r="B5785">
        <v>7966</v>
      </c>
      <c r="C5785">
        <v>22</v>
      </c>
      <c r="D5785">
        <v>87.3</v>
      </c>
      <c r="E5785">
        <v>3</v>
      </c>
    </row>
    <row r="5786" spans="1:5" x14ac:dyDescent="0.2">
      <c r="A5786">
        <v>8895</v>
      </c>
      <c r="B5786">
        <v>7978</v>
      </c>
      <c r="C5786">
        <v>21</v>
      </c>
      <c r="D5786">
        <v>86.4</v>
      </c>
      <c r="E5786">
        <v>2.9</v>
      </c>
    </row>
    <row r="5787" spans="1:5" x14ac:dyDescent="0.2">
      <c r="A5787">
        <v>8900</v>
      </c>
      <c r="B5787">
        <v>7991</v>
      </c>
      <c r="C5787">
        <v>21</v>
      </c>
      <c r="D5787">
        <v>85.2</v>
      </c>
      <c r="E5787">
        <v>2.9</v>
      </c>
    </row>
    <row r="5788" spans="1:5" x14ac:dyDescent="0.2">
      <c r="A5788">
        <v>8905</v>
      </c>
      <c r="B5788">
        <v>7996</v>
      </c>
      <c r="C5788">
        <v>20</v>
      </c>
      <c r="D5788">
        <v>85.2</v>
      </c>
      <c r="E5788">
        <v>2.7</v>
      </c>
    </row>
    <row r="5789" spans="1:5" x14ac:dyDescent="0.2">
      <c r="A5789">
        <v>8910</v>
      </c>
      <c r="B5789">
        <v>7992</v>
      </c>
      <c r="C5789">
        <v>20</v>
      </c>
      <c r="D5789">
        <v>86.5</v>
      </c>
      <c r="E5789">
        <v>2.7</v>
      </c>
    </row>
    <row r="5790" spans="1:5" x14ac:dyDescent="0.2">
      <c r="A5790">
        <v>8915</v>
      </c>
      <c r="B5790">
        <v>7979</v>
      </c>
      <c r="C5790">
        <v>20</v>
      </c>
      <c r="D5790">
        <v>88.9</v>
      </c>
      <c r="E5790">
        <v>2.7</v>
      </c>
    </row>
    <row r="5791" spans="1:5" x14ac:dyDescent="0.2">
      <c r="A5791">
        <v>8920</v>
      </c>
      <c r="B5791">
        <v>7964</v>
      </c>
      <c r="C5791">
        <v>22</v>
      </c>
      <c r="D5791">
        <v>91.5</v>
      </c>
      <c r="E5791">
        <v>3</v>
      </c>
    </row>
    <row r="5792" spans="1:5" x14ac:dyDescent="0.2">
      <c r="A5792">
        <v>8925</v>
      </c>
      <c r="B5792">
        <v>7957</v>
      </c>
      <c r="C5792">
        <v>24</v>
      </c>
      <c r="D5792">
        <v>93.1</v>
      </c>
      <c r="E5792">
        <v>3.2</v>
      </c>
    </row>
    <row r="5793" spans="1:5" x14ac:dyDescent="0.2">
      <c r="A5793">
        <v>8930</v>
      </c>
      <c r="B5793">
        <v>7960</v>
      </c>
      <c r="C5793">
        <v>22</v>
      </c>
      <c r="D5793">
        <v>93.5</v>
      </c>
      <c r="E5793">
        <v>3</v>
      </c>
    </row>
    <row r="5794" spans="1:5" x14ac:dyDescent="0.2">
      <c r="A5794">
        <v>8935</v>
      </c>
      <c r="B5794">
        <v>7965</v>
      </c>
      <c r="C5794">
        <v>22</v>
      </c>
      <c r="D5794">
        <v>93.4</v>
      </c>
      <c r="E5794">
        <v>3</v>
      </c>
    </row>
    <row r="5795" spans="1:5" x14ac:dyDescent="0.2">
      <c r="A5795">
        <v>8940</v>
      </c>
      <c r="B5795">
        <v>7969</v>
      </c>
      <c r="C5795">
        <v>21</v>
      </c>
      <c r="D5795">
        <v>93.5</v>
      </c>
      <c r="E5795">
        <v>2.9</v>
      </c>
    </row>
    <row r="5796" spans="1:5" x14ac:dyDescent="0.2">
      <c r="A5796">
        <v>8945</v>
      </c>
      <c r="B5796">
        <v>7970</v>
      </c>
      <c r="C5796">
        <v>22</v>
      </c>
      <c r="D5796">
        <v>94</v>
      </c>
      <c r="E5796">
        <v>3</v>
      </c>
    </row>
    <row r="5797" spans="1:5" x14ac:dyDescent="0.2">
      <c r="A5797">
        <v>8950</v>
      </c>
      <c r="B5797">
        <v>7971</v>
      </c>
      <c r="C5797">
        <v>21</v>
      </c>
      <c r="D5797">
        <v>94.5</v>
      </c>
      <c r="E5797">
        <v>2.9</v>
      </c>
    </row>
    <row r="5798" spans="1:5" x14ac:dyDescent="0.2">
      <c r="A5798">
        <v>8955</v>
      </c>
      <c r="B5798">
        <v>7971</v>
      </c>
      <c r="C5798">
        <v>20</v>
      </c>
      <c r="D5798">
        <v>95.2</v>
      </c>
      <c r="E5798">
        <v>2.7</v>
      </c>
    </row>
    <row r="5799" spans="1:5" x14ac:dyDescent="0.2">
      <c r="A5799">
        <v>8960</v>
      </c>
      <c r="B5799">
        <v>7964</v>
      </c>
      <c r="C5799">
        <v>19</v>
      </c>
      <c r="D5799">
        <v>96.8</v>
      </c>
      <c r="E5799">
        <v>2.6</v>
      </c>
    </row>
    <row r="5800" spans="1:5" x14ac:dyDescent="0.2">
      <c r="A5800">
        <v>8965</v>
      </c>
      <c r="B5800">
        <v>7958</v>
      </c>
      <c r="C5800">
        <v>20</v>
      </c>
      <c r="D5800">
        <v>98.3</v>
      </c>
      <c r="E5800">
        <v>2.7</v>
      </c>
    </row>
    <row r="5801" spans="1:5" x14ac:dyDescent="0.2">
      <c r="A5801">
        <v>8970</v>
      </c>
      <c r="B5801">
        <v>7961</v>
      </c>
      <c r="C5801">
        <v>19</v>
      </c>
      <c r="D5801">
        <v>98.6</v>
      </c>
      <c r="E5801">
        <v>2.7</v>
      </c>
    </row>
    <row r="5802" spans="1:5" x14ac:dyDescent="0.2">
      <c r="A5802">
        <v>8975</v>
      </c>
      <c r="B5802">
        <v>7970</v>
      </c>
      <c r="C5802">
        <v>20</v>
      </c>
      <c r="D5802">
        <v>98</v>
      </c>
      <c r="E5802">
        <v>2.8</v>
      </c>
    </row>
    <row r="5803" spans="1:5" x14ac:dyDescent="0.2">
      <c r="A5803">
        <v>8980</v>
      </c>
      <c r="B5803">
        <v>7983</v>
      </c>
      <c r="C5803">
        <v>21</v>
      </c>
      <c r="D5803">
        <v>96.9</v>
      </c>
      <c r="E5803">
        <v>2.9</v>
      </c>
    </row>
    <row r="5804" spans="1:5" x14ac:dyDescent="0.2">
      <c r="A5804">
        <v>8985</v>
      </c>
      <c r="B5804">
        <v>7998</v>
      </c>
      <c r="C5804">
        <v>21</v>
      </c>
      <c r="D5804">
        <v>95.6</v>
      </c>
      <c r="E5804">
        <v>2.9</v>
      </c>
    </row>
    <row r="5805" spans="1:5" x14ac:dyDescent="0.2">
      <c r="A5805">
        <v>8990</v>
      </c>
      <c r="B5805">
        <v>8016</v>
      </c>
      <c r="C5805">
        <v>22</v>
      </c>
      <c r="D5805">
        <v>93.7</v>
      </c>
      <c r="E5805">
        <v>3</v>
      </c>
    </row>
    <row r="5806" spans="1:5" x14ac:dyDescent="0.2">
      <c r="A5806">
        <v>8995</v>
      </c>
      <c r="B5806">
        <v>8041</v>
      </c>
      <c r="C5806">
        <v>20</v>
      </c>
      <c r="D5806">
        <v>91</v>
      </c>
      <c r="E5806">
        <v>2.7</v>
      </c>
    </row>
    <row r="5807" spans="1:5" x14ac:dyDescent="0.2">
      <c r="A5807">
        <v>9000</v>
      </c>
      <c r="B5807">
        <v>8063</v>
      </c>
      <c r="C5807">
        <v>19</v>
      </c>
      <c r="D5807">
        <v>88.6</v>
      </c>
      <c r="E5807">
        <v>2.5</v>
      </c>
    </row>
    <row r="5808" spans="1:5" x14ac:dyDescent="0.2">
      <c r="A5808">
        <v>9005</v>
      </c>
      <c r="B5808">
        <v>8075</v>
      </c>
      <c r="C5808">
        <v>19</v>
      </c>
      <c r="D5808">
        <v>87.7</v>
      </c>
      <c r="E5808">
        <v>2.6</v>
      </c>
    </row>
    <row r="5809" spans="1:5" x14ac:dyDescent="0.2">
      <c r="A5809">
        <v>9010</v>
      </c>
      <c r="B5809">
        <v>8092</v>
      </c>
      <c r="C5809">
        <v>19</v>
      </c>
      <c r="D5809">
        <v>86</v>
      </c>
      <c r="E5809">
        <v>2.6</v>
      </c>
    </row>
    <row r="5810" spans="1:5" x14ac:dyDescent="0.2">
      <c r="A5810">
        <v>9015</v>
      </c>
      <c r="B5810">
        <v>8111</v>
      </c>
      <c r="C5810">
        <v>19</v>
      </c>
      <c r="D5810">
        <v>84.1</v>
      </c>
      <c r="E5810">
        <v>2.6</v>
      </c>
    </row>
    <row r="5811" spans="1:5" x14ac:dyDescent="0.2">
      <c r="A5811">
        <v>9020</v>
      </c>
      <c r="B5811">
        <v>8124</v>
      </c>
      <c r="C5811">
        <v>19</v>
      </c>
      <c r="D5811">
        <v>83</v>
      </c>
      <c r="E5811">
        <v>2.6</v>
      </c>
    </row>
    <row r="5812" spans="1:5" x14ac:dyDescent="0.2">
      <c r="A5812">
        <v>9025</v>
      </c>
      <c r="B5812">
        <v>8142</v>
      </c>
      <c r="C5812">
        <v>19</v>
      </c>
      <c r="D5812">
        <v>81.3</v>
      </c>
      <c r="E5812">
        <v>2.6</v>
      </c>
    </row>
    <row r="5813" spans="1:5" x14ac:dyDescent="0.2">
      <c r="A5813">
        <v>9030</v>
      </c>
      <c r="B5813">
        <v>8165</v>
      </c>
      <c r="C5813">
        <v>20</v>
      </c>
      <c r="D5813">
        <v>78.8</v>
      </c>
      <c r="E5813">
        <v>2.7</v>
      </c>
    </row>
    <row r="5814" spans="1:5" x14ac:dyDescent="0.2">
      <c r="A5814">
        <v>9035</v>
      </c>
      <c r="B5814">
        <v>8183</v>
      </c>
      <c r="C5814">
        <v>20</v>
      </c>
      <c r="D5814">
        <v>77</v>
      </c>
      <c r="E5814">
        <v>2.7</v>
      </c>
    </row>
    <row r="5815" spans="1:5" x14ac:dyDescent="0.2">
      <c r="A5815">
        <v>9040</v>
      </c>
      <c r="B5815">
        <v>8191</v>
      </c>
      <c r="C5815">
        <v>21</v>
      </c>
      <c r="D5815">
        <v>76.7</v>
      </c>
      <c r="E5815">
        <v>2.8</v>
      </c>
    </row>
    <row r="5816" spans="1:5" x14ac:dyDescent="0.2">
      <c r="A5816">
        <v>9045</v>
      </c>
      <c r="B5816">
        <v>8186</v>
      </c>
      <c r="C5816">
        <v>23</v>
      </c>
      <c r="D5816">
        <v>77.900000000000006</v>
      </c>
      <c r="E5816">
        <v>3</v>
      </c>
    </row>
    <row r="5817" spans="1:5" x14ac:dyDescent="0.2">
      <c r="A5817">
        <v>9050</v>
      </c>
      <c r="B5817">
        <v>8173</v>
      </c>
      <c r="C5817">
        <v>23</v>
      </c>
      <c r="D5817">
        <v>80.3</v>
      </c>
      <c r="E5817">
        <v>3</v>
      </c>
    </row>
    <row r="5818" spans="1:5" x14ac:dyDescent="0.2">
      <c r="A5818">
        <v>9055</v>
      </c>
      <c r="B5818">
        <v>8159</v>
      </c>
      <c r="C5818">
        <v>23</v>
      </c>
      <c r="D5818">
        <v>82.9</v>
      </c>
      <c r="E5818">
        <v>3.1</v>
      </c>
    </row>
    <row r="5819" spans="1:5" x14ac:dyDescent="0.2">
      <c r="A5819">
        <v>9060</v>
      </c>
      <c r="B5819">
        <v>8149</v>
      </c>
      <c r="C5819">
        <v>21</v>
      </c>
      <c r="D5819">
        <v>84.9</v>
      </c>
      <c r="E5819">
        <v>2.8</v>
      </c>
    </row>
    <row r="5820" spans="1:5" x14ac:dyDescent="0.2">
      <c r="A5820">
        <v>9065</v>
      </c>
      <c r="B5820">
        <v>8146</v>
      </c>
      <c r="C5820">
        <v>21</v>
      </c>
      <c r="D5820">
        <v>86</v>
      </c>
      <c r="E5820">
        <v>2.8</v>
      </c>
    </row>
    <row r="5821" spans="1:5" x14ac:dyDescent="0.2">
      <c r="A5821">
        <v>9070</v>
      </c>
      <c r="B5821">
        <v>8143</v>
      </c>
      <c r="C5821">
        <v>22</v>
      </c>
      <c r="D5821">
        <v>87</v>
      </c>
      <c r="E5821">
        <v>2.9</v>
      </c>
    </row>
    <row r="5822" spans="1:5" x14ac:dyDescent="0.2">
      <c r="A5822">
        <v>9075</v>
      </c>
      <c r="B5822">
        <v>8143</v>
      </c>
      <c r="C5822">
        <v>22</v>
      </c>
      <c r="D5822">
        <v>87.7</v>
      </c>
      <c r="E5822">
        <v>3</v>
      </c>
    </row>
    <row r="5823" spans="1:5" x14ac:dyDescent="0.2">
      <c r="A5823">
        <v>9080</v>
      </c>
      <c r="B5823">
        <v>8148</v>
      </c>
      <c r="C5823">
        <v>23</v>
      </c>
      <c r="D5823">
        <v>87.7</v>
      </c>
      <c r="E5823">
        <v>3.1</v>
      </c>
    </row>
    <row r="5824" spans="1:5" x14ac:dyDescent="0.2">
      <c r="A5824">
        <v>9085</v>
      </c>
      <c r="B5824">
        <v>8160</v>
      </c>
      <c r="C5824">
        <v>21</v>
      </c>
      <c r="D5824">
        <v>86.7</v>
      </c>
      <c r="E5824">
        <v>2.9</v>
      </c>
    </row>
    <row r="5825" spans="1:5" x14ac:dyDescent="0.2">
      <c r="A5825">
        <v>9090</v>
      </c>
      <c r="B5825">
        <v>8174</v>
      </c>
      <c r="C5825">
        <v>22</v>
      </c>
      <c r="D5825">
        <v>85.5</v>
      </c>
      <c r="E5825">
        <v>3</v>
      </c>
    </row>
    <row r="5826" spans="1:5" x14ac:dyDescent="0.2">
      <c r="A5826">
        <v>9095</v>
      </c>
      <c r="B5826">
        <v>8182</v>
      </c>
      <c r="C5826">
        <v>21</v>
      </c>
      <c r="D5826">
        <v>85</v>
      </c>
      <c r="E5826">
        <v>2.9</v>
      </c>
    </row>
    <row r="5827" spans="1:5" x14ac:dyDescent="0.2">
      <c r="A5827">
        <v>9100</v>
      </c>
      <c r="B5827">
        <v>8184</v>
      </c>
      <c r="C5827">
        <v>21</v>
      </c>
      <c r="D5827">
        <v>85.4</v>
      </c>
      <c r="E5827">
        <v>2.9</v>
      </c>
    </row>
    <row r="5828" spans="1:5" x14ac:dyDescent="0.2">
      <c r="A5828">
        <v>9105</v>
      </c>
      <c r="B5828">
        <v>8181</v>
      </c>
      <c r="C5828">
        <v>21</v>
      </c>
      <c r="D5828">
        <v>86.5</v>
      </c>
      <c r="E5828">
        <v>2.8</v>
      </c>
    </row>
    <row r="5829" spans="1:5" x14ac:dyDescent="0.2">
      <c r="A5829">
        <v>9110</v>
      </c>
      <c r="B5829">
        <v>8175</v>
      </c>
      <c r="C5829">
        <v>21</v>
      </c>
      <c r="D5829">
        <v>87.9</v>
      </c>
      <c r="E5829">
        <v>2.8</v>
      </c>
    </row>
    <row r="5830" spans="1:5" x14ac:dyDescent="0.2">
      <c r="A5830">
        <v>9115</v>
      </c>
      <c r="B5830">
        <v>8171</v>
      </c>
      <c r="C5830">
        <v>20</v>
      </c>
      <c r="D5830">
        <v>89.2</v>
      </c>
      <c r="E5830">
        <v>2.8</v>
      </c>
    </row>
    <row r="5831" spans="1:5" x14ac:dyDescent="0.2">
      <c r="A5831">
        <v>9120</v>
      </c>
      <c r="B5831">
        <v>8173</v>
      </c>
      <c r="C5831">
        <v>21</v>
      </c>
      <c r="D5831">
        <v>89.5</v>
      </c>
      <c r="E5831">
        <v>2.9</v>
      </c>
    </row>
    <row r="5832" spans="1:5" x14ac:dyDescent="0.2">
      <c r="A5832">
        <v>9125</v>
      </c>
      <c r="B5832">
        <v>8188</v>
      </c>
      <c r="C5832">
        <v>20</v>
      </c>
      <c r="D5832">
        <v>88.2</v>
      </c>
      <c r="E5832">
        <v>2.8</v>
      </c>
    </row>
    <row r="5833" spans="1:5" x14ac:dyDescent="0.2">
      <c r="A5833">
        <v>9130</v>
      </c>
      <c r="B5833">
        <v>8205</v>
      </c>
      <c r="C5833">
        <v>21</v>
      </c>
      <c r="D5833">
        <v>86.6</v>
      </c>
      <c r="E5833">
        <v>2.8</v>
      </c>
    </row>
    <row r="5834" spans="1:5" x14ac:dyDescent="0.2">
      <c r="A5834">
        <v>9135</v>
      </c>
      <c r="B5834">
        <v>8217</v>
      </c>
      <c r="C5834">
        <v>20</v>
      </c>
      <c r="D5834">
        <v>85.5</v>
      </c>
      <c r="E5834">
        <v>2.8</v>
      </c>
    </row>
    <row r="5835" spans="1:5" x14ac:dyDescent="0.2">
      <c r="A5835">
        <v>9140</v>
      </c>
      <c r="B5835">
        <v>8228</v>
      </c>
      <c r="C5835">
        <v>21</v>
      </c>
      <c r="D5835">
        <v>84.7</v>
      </c>
      <c r="E5835">
        <v>2.9</v>
      </c>
    </row>
    <row r="5836" spans="1:5" x14ac:dyDescent="0.2">
      <c r="A5836">
        <v>9145</v>
      </c>
      <c r="B5836">
        <v>8241</v>
      </c>
      <c r="C5836">
        <v>21</v>
      </c>
      <c r="D5836">
        <v>83.7</v>
      </c>
      <c r="E5836">
        <v>2.8</v>
      </c>
    </row>
    <row r="5837" spans="1:5" x14ac:dyDescent="0.2">
      <c r="A5837">
        <v>9150</v>
      </c>
      <c r="B5837">
        <v>8252</v>
      </c>
      <c r="C5837">
        <v>24</v>
      </c>
      <c r="D5837">
        <v>82.8</v>
      </c>
      <c r="E5837">
        <v>3.2</v>
      </c>
    </row>
    <row r="5838" spans="1:5" x14ac:dyDescent="0.2">
      <c r="A5838">
        <v>9155</v>
      </c>
      <c r="B5838">
        <v>8259</v>
      </c>
      <c r="C5838">
        <v>25</v>
      </c>
      <c r="D5838">
        <v>82.5</v>
      </c>
      <c r="E5838">
        <v>3.4</v>
      </c>
    </row>
    <row r="5839" spans="1:5" x14ac:dyDescent="0.2">
      <c r="A5839">
        <v>9160</v>
      </c>
      <c r="B5839">
        <v>8261</v>
      </c>
      <c r="C5839">
        <v>25</v>
      </c>
      <c r="D5839">
        <v>82.9</v>
      </c>
      <c r="E5839">
        <v>3.3</v>
      </c>
    </row>
    <row r="5840" spans="1:5" x14ac:dyDescent="0.2">
      <c r="A5840">
        <v>9165</v>
      </c>
      <c r="B5840">
        <v>8258</v>
      </c>
      <c r="C5840">
        <v>25</v>
      </c>
      <c r="D5840">
        <v>84</v>
      </c>
      <c r="E5840">
        <v>3.4</v>
      </c>
    </row>
    <row r="5841" spans="1:5" x14ac:dyDescent="0.2">
      <c r="A5841">
        <v>9170</v>
      </c>
      <c r="B5841">
        <v>8249</v>
      </c>
      <c r="C5841">
        <v>26</v>
      </c>
      <c r="D5841">
        <v>85.9</v>
      </c>
      <c r="E5841">
        <v>3.5</v>
      </c>
    </row>
    <row r="5842" spans="1:5" x14ac:dyDescent="0.2">
      <c r="A5842">
        <v>9175</v>
      </c>
      <c r="B5842">
        <v>8235</v>
      </c>
      <c r="C5842">
        <v>24</v>
      </c>
      <c r="D5842">
        <v>88.4</v>
      </c>
      <c r="E5842">
        <v>3.3</v>
      </c>
    </row>
    <row r="5843" spans="1:5" x14ac:dyDescent="0.2">
      <c r="A5843">
        <v>9180</v>
      </c>
      <c r="B5843">
        <v>8221</v>
      </c>
      <c r="C5843">
        <v>23</v>
      </c>
      <c r="D5843">
        <v>90.9</v>
      </c>
      <c r="E5843">
        <v>3.2</v>
      </c>
    </row>
    <row r="5844" spans="1:5" x14ac:dyDescent="0.2">
      <c r="A5844">
        <v>9185</v>
      </c>
      <c r="B5844">
        <v>8211</v>
      </c>
      <c r="C5844">
        <v>25</v>
      </c>
      <c r="D5844">
        <v>93</v>
      </c>
      <c r="E5844">
        <v>3.4</v>
      </c>
    </row>
    <row r="5845" spans="1:5" x14ac:dyDescent="0.2">
      <c r="A5845">
        <v>9190</v>
      </c>
      <c r="B5845">
        <v>8209</v>
      </c>
      <c r="C5845">
        <v>25</v>
      </c>
      <c r="D5845">
        <v>93.9</v>
      </c>
      <c r="E5845">
        <v>3.4</v>
      </c>
    </row>
    <row r="5846" spans="1:5" x14ac:dyDescent="0.2">
      <c r="A5846">
        <v>9195</v>
      </c>
      <c r="B5846">
        <v>8215</v>
      </c>
      <c r="C5846">
        <v>24</v>
      </c>
      <c r="D5846">
        <v>93.7</v>
      </c>
      <c r="E5846">
        <v>3.2</v>
      </c>
    </row>
    <row r="5847" spans="1:5" x14ac:dyDescent="0.2">
      <c r="A5847">
        <v>9200</v>
      </c>
      <c r="B5847">
        <v>8225</v>
      </c>
      <c r="C5847">
        <v>24</v>
      </c>
      <c r="D5847">
        <v>93</v>
      </c>
      <c r="E5847">
        <v>3.3</v>
      </c>
    </row>
    <row r="5848" spans="1:5" x14ac:dyDescent="0.2">
      <c r="A5848">
        <v>9205</v>
      </c>
      <c r="B5848">
        <v>8233</v>
      </c>
      <c r="C5848">
        <v>25</v>
      </c>
      <c r="D5848">
        <v>92.6</v>
      </c>
      <c r="E5848">
        <v>3.4</v>
      </c>
    </row>
    <row r="5849" spans="1:5" x14ac:dyDescent="0.2">
      <c r="A5849">
        <v>9210</v>
      </c>
      <c r="B5849">
        <v>8236</v>
      </c>
      <c r="C5849">
        <v>23</v>
      </c>
      <c r="D5849">
        <v>92.8</v>
      </c>
      <c r="E5849">
        <v>3.1</v>
      </c>
    </row>
    <row r="5850" spans="1:5" x14ac:dyDescent="0.2">
      <c r="A5850">
        <v>9215</v>
      </c>
      <c r="B5850">
        <v>8236</v>
      </c>
      <c r="C5850">
        <v>24</v>
      </c>
      <c r="D5850">
        <v>93.6</v>
      </c>
      <c r="E5850">
        <v>3.2</v>
      </c>
    </row>
    <row r="5851" spans="1:5" x14ac:dyDescent="0.2">
      <c r="A5851">
        <v>9220</v>
      </c>
      <c r="B5851">
        <v>8234</v>
      </c>
      <c r="C5851">
        <v>26</v>
      </c>
      <c r="D5851">
        <v>94.5</v>
      </c>
      <c r="E5851">
        <v>3.6</v>
      </c>
    </row>
    <row r="5852" spans="1:5" x14ac:dyDescent="0.2">
      <c r="A5852">
        <v>9225</v>
      </c>
      <c r="B5852">
        <v>8231</v>
      </c>
      <c r="C5852">
        <v>27</v>
      </c>
      <c r="D5852">
        <v>95.5</v>
      </c>
      <c r="E5852">
        <v>3.7</v>
      </c>
    </row>
    <row r="5853" spans="1:5" x14ac:dyDescent="0.2">
      <c r="A5853">
        <v>9230</v>
      </c>
      <c r="B5853">
        <v>8228</v>
      </c>
      <c r="C5853">
        <v>28</v>
      </c>
      <c r="D5853">
        <v>96.5</v>
      </c>
      <c r="E5853">
        <v>3.8</v>
      </c>
    </row>
    <row r="5854" spans="1:5" x14ac:dyDescent="0.2">
      <c r="A5854">
        <v>9235</v>
      </c>
      <c r="B5854">
        <v>8226</v>
      </c>
      <c r="C5854">
        <v>28</v>
      </c>
      <c r="D5854">
        <v>97.6</v>
      </c>
      <c r="E5854">
        <v>3.8</v>
      </c>
    </row>
    <row r="5855" spans="1:5" x14ac:dyDescent="0.2">
      <c r="A5855">
        <v>9240</v>
      </c>
      <c r="B5855">
        <v>8224</v>
      </c>
      <c r="C5855">
        <v>28</v>
      </c>
      <c r="D5855">
        <v>98.5</v>
      </c>
      <c r="E5855">
        <v>3.9</v>
      </c>
    </row>
    <row r="5856" spans="1:5" x14ac:dyDescent="0.2">
      <c r="A5856">
        <v>9245</v>
      </c>
      <c r="B5856">
        <v>8223</v>
      </c>
      <c r="C5856">
        <v>30</v>
      </c>
      <c r="D5856">
        <v>99.2</v>
      </c>
      <c r="E5856">
        <v>4</v>
      </c>
    </row>
    <row r="5857" spans="1:5" x14ac:dyDescent="0.2">
      <c r="A5857">
        <v>9250</v>
      </c>
      <c r="B5857">
        <v>8224</v>
      </c>
      <c r="C5857">
        <v>31</v>
      </c>
      <c r="D5857">
        <v>99.8</v>
      </c>
      <c r="E5857">
        <v>4.3</v>
      </c>
    </row>
    <row r="5858" spans="1:5" x14ac:dyDescent="0.2">
      <c r="A5858">
        <v>9255</v>
      </c>
      <c r="B5858">
        <v>8227</v>
      </c>
      <c r="C5858">
        <v>32</v>
      </c>
      <c r="D5858">
        <v>100.1</v>
      </c>
      <c r="E5858">
        <v>4.4000000000000004</v>
      </c>
    </row>
    <row r="5859" spans="1:5" x14ac:dyDescent="0.2">
      <c r="A5859">
        <v>9260</v>
      </c>
      <c r="B5859">
        <v>8231</v>
      </c>
      <c r="C5859">
        <v>32</v>
      </c>
      <c r="D5859">
        <v>100.1</v>
      </c>
      <c r="E5859">
        <v>4.3</v>
      </c>
    </row>
    <row r="5860" spans="1:5" x14ac:dyDescent="0.2">
      <c r="A5860">
        <v>9265</v>
      </c>
      <c r="B5860">
        <v>8239</v>
      </c>
      <c r="C5860">
        <v>29</v>
      </c>
      <c r="D5860">
        <v>99.8</v>
      </c>
      <c r="E5860">
        <v>4</v>
      </c>
    </row>
    <row r="5861" spans="1:5" x14ac:dyDescent="0.2">
      <c r="A5861">
        <v>9270</v>
      </c>
      <c r="B5861">
        <v>8249</v>
      </c>
      <c r="C5861">
        <v>26</v>
      </c>
      <c r="D5861">
        <v>99.1</v>
      </c>
      <c r="E5861">
        <v>3.5</v>
      </c>
    </row>
    <row r="5862" spans="1:5" x14ac:dyDescent="0.2">
      <c r="A5862">
        <v>9275</v>
      </c>
      <c r="B5862">
        <v>8260</v>
      </c>
      <c r="C5862">
        <v>25</v>
      </c>
      <c r="D5862">
        <v>98.2</v>
      </c>
      <c r="E5862">
        <v>3.4</v>
      </c>
    </row>
    <row r="5863" spans="1:5" x14ac:dyDescent="0.2">
      <c r="A5863">
        <v>9280</v>
      </c>
      <c r="B5863">
        <v>8271</v>
      </c>
      <c r="C5863">
        <v>26</v>
      </c>
      <c r="D5863">
        <v>97.3</v>
      </c>
      <c r="E5863">
        <v>3.5</v>
      </c>
    </row>
    <row r="5864" spans="1:5" x14ac:dyDescent="0.2">
      <c r="A5864">
        <v>9285</v>
      </c>
      <c r="B5864">
        <v>8281</v>
      </c>
      <c r="C5864">
        <v>25</v>
      </c>
      <c r="D5864">
        <v>96.6</v>
      </c>
      <c r="E5864">
        <v>3.4</v>
      </c>
    </row>
    <row r="5865" spans="1:5" x14ac:dyDescent="0.2">
      <c r="A5865">
        <v>9290</v>
      </c>
      <c r="B5865">
        <v>8290</v>
      </c>
      <c r="C5865">
        <v>23</v>
      </c>
      <c r="D5865">
        <v>96.1</v>
      </c>
      <c r="E5865">
        <v>3.2</v>
      </c>
    </row>
    <row r="5866" spans="1:5" x14ac:dyDescent="0.2">
      <c r="A5866">
        <v>9295</v>
      </c>
      <c r="B5866">
        <v>8297</v>
      </c>
      <c r="C5866">
        <v>24</v>
      </c>
      <c r="D5866">
        <v>95.8</v>
      </c>
      <c r="E5866">
        <v>3.3</v>
      </c>
    </row>
    <row r="5867" spans="1:5" x14ac:dyDescent="0.2">
      <c r="A5867">
        <v>9300</v>
      </c>
      <c r="B5867">
        <v>8303</v>
      </c>
      <c r="C5867">
        <v>25</v>
      </c>
      <c r="D5867">
        <v>95.7</v>
      </c>
      <c r="E5867">
        <v>3.4</v>
      </c>
    </row>
    <row r="5868" spans="1:5" x14ac:dyDescent="0.2">
      <c r="A5868">
        <v>9305</v>
      </c>
      <c r="B5868">
        <v>8308</v>
      </c>
      <c r="C5868">
        <v>24</v>
      </c>
      <c r="D5868">
        <v>95.6</v>
      </c>
      <c r="E5868">
        <v>3.3</v>
      </c>
    </row>
    <row r="5869" spans="1:5" x14ac:dyDescent="0.2">
      <c r="A5869">
        <v>9310</v>
      </c>
      <c r="B5869">
        <v>8314</v>
      </c>
      <c r="C5869">
        <v>25</v>
      </c>
      <c r="D5869">
        <v>95.5</v>
      </c>
      <c r="E5869">
        <v>3.4</v>
      </c>
    </row>
    <row r="5870" spans="1:5" x14ac:dyDescent="0.2">
      <c r="A5870">
        <v>9315</v>
      </c>
      <c r="B5870">
        <v>8320</v>
      </c>
      <c r="C5870">
        <v>27</v>
      </c>
      <c r="D5870">
        <v>95.3</v>
      </c>
      <c r="E5870">
        <v>3.7</v>
      </c>
    </row>
    <row r="5871" spans="1:5" x14ac:dyDescent="0.2">
      <c r="A5871">
        <v>9320</v>
      </c>
      <c r="B5871">
        <v>8328</v>
      </c>
      <c r="C5871">
        <v>28</v>
      </c>
      <c r="D5871">
        <v>94.9</v>
      </c>
      <c r="E5871">
        <v>3.9</v>
      </c>
    </row>
    <row r="5872" spans="1:5" x14ac:dyDescent="0.2">
      <c r="A5872">
        <v>9325</v>
      </c>
      <c r="B5872">
        <v>8338</v>
      </c>
      <c r="C5872">
        <v>26</v>
      </c>
      <c r="D5872">
        <v>94.2</v>
      </c>
      <c r="E5872">
        <v>3.5</v>
      </c>
    </row>
    <row r="5873" spans="1:5" x14ac:dyDescent="0.2">
      <c r="A5873">
        <v>9330</v>
      </c>
      <c r="B5873">
        <v>8347</v>
      </c>
      <c r="C5873">
        <v>24</v>
      </c>
      <c r="D5873">
        <v>93.6</v>
      </c>
      <c r="E5873">
        <v>3.2</v>
      </c>
    </row>
    <row r="5874" spans="1:5" x14ac:dyDescent="0.2">
      <c r="A5874">
        <v>9335</v>
      </c>
      <c r="B5874">
        <v>8352</v>
      </c>
      <c r="C5874">
        <v>23</v>
      </c>
      <c r="D5874">
        <v>93.7</v>
      </c>
      <c r="E5874">
        <v>3.1</v>
      </c>
    </row>
    <row r="5875" spans="1:5" x14ac:dyDescent="0.2">
      <c r="A5875">
        <v>9340</v>
      </c>
      <c r="B5875">
        <v>8350</v>
      </c>
      <c r="C5875">
        <v>22</v>
      </c>
      <c r="D5875">
        <v>94.6</v>
      </c>
      <c r="E5875">
        <v>3</v>
      </c>
    </row>
    <row r="5876" spans="1:5" x14ac:dyDescent="0.2">
      <c r="A5876">
        <v>9345</v>
      </c>
      <c r="B5876">
        <v>8344</v>
      </c>
      <c r="C5876">
        <v>23</v>
      </c>
      <c r="D5876">
        <v>96.1</v>
      </c>
      <c r="E5876">
        <v>3.2</v>
      </c>
    </row>
    <row r="5877" spans="1:5" x14ac:dyDescent="0.2">
      <c r="A5877">
        <v>9350</v>
      </c>
      <c r="B5877">
        <v>8336</v>
      </c>
      <c r="C5877">
        <v>25</v>
      </c>
      <c r="D5877">
        <v>97.8</v>
      </c>
      <c r="E5877">
        <v>3.4</v>
      </c>
    </row>
    <row r="5878" spans="1:5" x14ac:dyDescent="0.2">
      <c r="A5878">
        <v>9355</v>
      </c>
      <c r="B5878">
        <v>8329</v>
      </c>
      <c r="C5878">
        <v>23</v>
      </c>
      <c r="D5878">
        <v>99.4</v>
      </c>
      <c r="E5878">
        <v>3.2</v>
      </c>
    </row>
    <row r="5879" spans="1:5" x14ac:dyDescent="0.2">
      <c r="A5879">
        <v>9360</v>
      </c>
      <c r="B5879">
        <v>8320</v>
      </c>
      <c r="C5879">
        <v>23</v>
      </c>
      <c r="D5879">
        <v>101.3</v>
      </c>
      <c r="E5879">
        <v>3.2</v>
      </c>
    </row>
    <row r="5880" spans="1:5" x14ac:dyDescent="0.2">
      <c r="A5880">
        <v>9365</v>
      </c>
      <c r="B5880">
        <v>8310</v>
      </c>
      <c r="C5880">
        <v>21</v>
      </c>
      <c r="D5880">
        <v>103.3</v>
      </c>
      <c r="E5880">
        <v>3</v>
      </c>
    </row>
    <row r="5881" spans="1:5" x14ac:dyDescent="0.2">
      <c r="A5881">
        <v>9370</v>
      </c>
      <c r="B5881">
        <v>8306</v>
      </c>
      <c r="C5881">
        <v>21</v>
      </c>
      <c r="D5881">
        <v>104.5</v>
      </c>
      <c r="E5881">
        <v>2.9</v>
      </c>
    </row>
    <row r="5882" spans="1:5" x14ac:dyDescent="0.2">
      <c r="A5882">
        <v>9375</v>
      </c>
      <c r="B5882">
        <v>8310</v>
      </c>
      <c r="C5882">
        <v>23</v>
      </c>
      <c r="D5882">
        <v>104.7</v>
      </c>
      <c r="E5882">
        <v>3.1</v>
      </c>
    </row>
    <row r="5883" spans="1:5" x14ac:dyDescent="0.2">
      <c r="A5883">
        <v>9380</v>
      </c>
      <c r="B5883">
        <v>8308</v>
      </c>
      <c r="C5883">
        <v>24</v>
      </c>
      <c r="D5883">
        <v>105.5</v>
      </c>
      <c r="E5883">
        <v>3.3</v>
      </c>
    </row>
    <row r="5884" spans="1:5" x14ac:dyDescent="0.2">
      <c r="A5884">
        <v>9385</v>
      </c>
      <c r="B5884">
        <v>8300</v>
      </c>
      <c r="C5884">
        <v>24</v>
      </c>
      <c r="D5884">
        <v>107.4</v>
      </c>
      <c r="E5884">
        <v>3.3</v>
      </c>
    </row>
    <row r="5885" spans="1:5" x14ac:dyDescent="0.2">
      <c r="A5885">
        <v>9390</v>
      </c>
      <c r="B5885">
        <v>8294</v>
      </c>
      <c r="C5885">
        <v>26</v>
      </c>
      <c r="D5885">
        <v>108.9</v>
      </c>
      <c r="E5885">
        <v>3.6</v>
      </c>
    </row>
    <row r="5886" spans="1:5" x14ac:dyDescent="0.2">
      <c r="A5886">
        <v>9395</v>
      </c>
      <c r="B5886">
        <v>8297</v>
      </c>
      <c r="C5886">
        <v>26</v>
      </c>
      <c r="D5886">
        <v>109.1</v>
      </c>
      <c r="E5886">
        <v>3.5</v>
      </c>
    </row>
    <row r="5887" spans="1:5" x14ac:dyDescent="0.2">
      <c r="A5887">
        <v>9400</v>
      </c>
      <c r="B5887">
        <v>8311</v>
      </c>
      <c r="C5887">
        <v>23</v>
      </c>
      <c r="D5887">
        <v>107.9</v>
      </c>
      <c r="E5887">
        <v>3.2</v>
      </c>
    </row>
    <row r="5888" spans="1:5" x14ac:dyDescent="0.2">
      <c r="A5888">
        <v>9405</v>
      </c>
      <c r="B5888">
        <v>8327</v>
      </c>
      <c r="C5888">
        <v>22</v>
      </c>
      <c r="D5888">
        <v>106.3</v>
      </c>
      <c r="E5888">
        <v>3</v>
      </c>
    </row>
    <row r="5889" spans="1:5" x14ac:dyDescent="0.2">
      <c r="A5889">
        <v>9410</v>
      </c>
      <c r="B5889">
        <v>8339</v>
      </c>
      <c r="C5889">
        <v>21</v>
      </c>
      <c r="D5889">
        <v>105.4</v>
      </c>
      <c r="E5889">
        <v>2.9</v>
      </c>
    </row>
    <row r="5890" spans="1:5" x14ac:dyDescent="0.2">
      <c r="A5890">
        <v>9415</v>
      </c>
      <c r="B5890">
        <v>8344</v>
      </c>
      <c r="C5890">
        <v>21</v>
      </c>
      <c r="D5890">
        <v>105.3</v>
      </c>
      <c r="E5890">
        <v>3</v>
      </c>
    </row>
    <row r="5891" spans="1:5" x14ac:dyDescent="0.2">
      <c r="A5891">
        <v>9420</v>
      </c>
      <c r="B5891">
        <v>8351</v>
      </c>
      <c r="C5891">
        <v>23</v>
      </c>
      <c r="D5891">
        <v>105</v>
      </c>
      <c r="E5891">
        <v>3.1</v>
      </c>
    </row>
    <row r="5892" spans="1:5" x14ac:dyDescent="0.2">
      <c r="A5892">
        <v>9425</v>
      </c>
      <c r="B5892">
        <v>8363</v>
      </c>
      <c r="C5892">
        <v>22</v>
      </c>
      <c r="D5892">
        <v>104</v>
      </c>
      <c r="E5892">
        <v>3.1</v>
      </c>
    </row>
    <row r="5893" spans="1:5" x14ac:dyDescent="0.2">
      <c r="A5893">
        <v>9430</v>
      </c>
      <c r="B5893">
        <v>8376</v>
      </c>
      <c r="C5893">
        <v>24</v>
      </c>
      <c r="D5893">
        <v>102.9</v>
      </c>
      <c r="E5893">
        <v>3.3</v>
      </c>
    </row>
    <row r="5894" spans="1:5" x14ac:dyDescent="0.2">
      <c r="A5894">
        <v>9435</v>
      </c>
      <c r="B5894">
        <v>8386</v>
      </c>
      <c r="C5894">
        <v>25</v>
      </c>
      <c r="D5894">
        <v>102.3</v>
      </c>
      <c r="E5894">
        <v>3.4</v>
      </c>
    </row>
    <row r="5895" spans="1:5" x14ac:dyDescent="0.2">
      <c r="A5895">
        <v>9440</v>
      </c>
      <c r="B5895">
        <v>8391</v>
      </c>
      <c r="C5895">
        <v>24</v>
      </c>
      <c r="D5895">
        <v>102.2</v>
      </c>
      <c r="E5895">
        <v>3.3</v>
      </c>
    </row>
    <row r="5896" spans="1:5" x14ac:dyDescent="0.2">
      <c r="A5896">
        <v>9445</v>
      </c>
      <c r="B5896">
        <v>8394</v>
      </c>
      <c r="C5896">
        <v>25</v>
      </c>
      <c r="D5896">
        <v>102.5</v>
      </c>
      <c r="E5896">
        <v>3.4</v>
      </c>
    </row>
    <row r="5897" spans="1:5" x14ac:dyDescent="0.2">
      <c r="A5897">
        <v>9450</v>
      </c>
      <c r="B5897">
        <v>8396</v>
      </c>
      <c r="C5897">
        <v>26</v>
      </c>
      <c r="D5897">
        <v>102.8</v>
      </c>
      <c r="E5897">
        <v>3.6</v>
      </c>
    </row>
    <row r="5898" spans="1:5" x14ac:dyDescent="0.2">
      <c r="A5898">
        <v>9455</v>
      </c>
      <c r="B5898">
        <v>8401</v>
      </c>
      <c r="C5898">
        <v>24</v>
      </c>
      <c r="D5898">
        <v>102.9</v>
      </c>
      <c r="E5898">
        <v>3.4</v>
      </c>
    </row>
    <row r="5899" spans="1:5" x14ac:dyDescent="0.2">
      <c r="A5899">
        <v>9460</v>
      </c>
      <c r="B5899">
        <v>8407</v>
      </c>
      <c r="C5899">
        <v>22</v>
      </c>
      <c r="D5899">
        <v>102.7</v>
      </c>
      <c r="E5899">
        <v>3</v>
      </c>
    </row>
    <row r="5900" spans="1:5" x14ac:dyDescent="0.2">
      <c r="A5900">
        <v>9465</v>
      </c>
      <c r="B5900">
        <v>8416</v>
      </c>
      <c r="C5900">
        <v>21</v>
      </c>
      <c r="D5900">
        <v>102.2</v>
      </c>
      <c r="E5900">
        <v>2.9</v>
      </c>
    </row>
    <row r="5901" spans="1:5" x14ac:dyDescent="0.2">
      <c r="A5901">
        <v>9470</v>
      </c>
      <c r="B5901">
        <v>8426</v>
      </c>
      <c r="C5901">
        <v>22</v>
      </c>
      <c r="D5901">
        <v>101.4</v>
      </c>
      <c r="E5901">
        <v>3</v>
      </c>
    </row>
    <row r="5902" spans="1:5" x14ac:dyDescent="0.2">
      <c r="A5902">
        <v>9475</v>
      </c>
      <c r="B5902">
        <v>8438</v>
      </c>
      <c r="C5902">
        <v>21</v>
      </c>
      <c r="D5902">
        <v>100.4</v>
      </c>
      <c r="E5902">
        <v>2.9</v>
      </c>
    </row>
    <row r="5903" spans="1:5" x14ac:dyDescent="0.2">
      <c r="A5903">
        <v>9480</v>
      </c>
      <c r="B5903">
        <v>8452</v>
      </c>
      <c r="C5903">
        <v>22</v>
      </c>
      <c r="D5903">
        <v>99.2</v>
      </c>
      <c r="E5903">
        <v>3</v>
      </c>
    </row>
    <row r="5904" spans="1:5" x14ac:dyDescent="0.2">
      <c r="A5904">
        <v>9485</v>
      </c>
      <c r="B5904">
        <v>8467</v>
      </c>
      <c r="C5904">
        <v>23</v>
      </c>
      <c r="D5904">
        <v>97.8</v>
      </c>
      <c r="E5904">
        <v>3.1</v>
      </c>
    </row>
    <row r="5905" spans="1:5" x14ac:dyDescent="0.2">
      <c r="A5905">
        <v>9490</v>
      </c>
      <c r="B5905">
        <v>8482</v>
      </c>
      <c r="C5905">
        <v>23</v>
      </c>
      <c r="D5905">
        <v>96.5</v>
      </c>
      <c r="E5905">
        <v>3.1</v>
      </c>
    </row>
    <row r="5906" spans="1:5" x14ac:dyDescent="0.2">
      <c r="A5906">
        <v>9495</v>
      </c>
      <c r="B5906">
        <v>8493</v>
      </c>
      <c r="C5906">
        <v>24</v>
      </c>
      <c r="D5906">
        <v>95.6</v>
      </c>
      <c r="E5906">
        <v>3.3</v>
      </c>
    </row>
    <row r="5907" spans="1:5" x14ac:dyDescent="0.2">
      <c r="A5907">
        <v>9500</v>
      </c>
      <c r="B5907">
        <v>8498</v>
      </c>
      <c r="C5907">
        <v>23</v>
      </c>
      <c r="D5907">
        <v>95.6</v>
      </c>
      <c r="E5907">
        <v>3.1</v>
      </c>
    </row>
    <row r="5908" spans="1:5" x14ac:dyDescent="0.2">
      <c r="A5908">
        <v>9505</v>
      </c>
      <c r="B5908">
        <v>8496</v>
      </c>
      <c r="C5908">
        <v>22</v>
      </c>
      <c r="D5908">
        <v>96.5</v>
      </c>
      <c r="E5908">
        <v>3.1</v>
      </c>
    </row>
    <row r="5909" spans="1:5" x14ac:dyDescent="0.2">
      <c r="A5909">
        <v>9510</v>
      </c>
      <c r="B5909">
        <v>8487</v>
      </c>
      <c r="C5909">
        <v>23</v>
      </c>
      <c r="D5909">
        <v>98.4</v>
      </c>
      <c r="E5909">
        <v>3.1</v>
      </c>
    </row>
    <row r="5910" spans="1:5" x14ac:dyDescent="0.2">
      <c r="A5910">
        <v>9515</v>
      </c>
      <c r="B5910">
        <v>8475</v>
      </c>
      <c r="C5910">
        <v>23</v>
      </c>
      <c r="D5910">
        <v>100.6</v>
      </c>
      <c r="E5910">
        <v>3.1</v>
      </c>
    </row>
    <row r="5911" spans="1:5" x14ac:dyDescent="0.2">
      <c r="A5911">
        <v>9520</v>
      </c>
      <c r="B5911">
        <v>8475</v>
      </c>
      <c r="C5911">
        <v>22</v>
      </c>
      <c r="D5911">
        <v>101.4</v>
      </c>
      <c r="E5911">
        <v>3</v>
      </c>
    </row>
    <row r="5912" spans="1:5" x14ac:dyDescent="0.2">
      <c r="A5912">
        <v>9525</v>
      </c>
      <c r="B5912">
        <v>8489</v>
      </c>
      <c r="C5912">
        <v>22</v>
      </c>
      <c r="D5912">
        <v>100.1</v>
      </c>
      <c r="E5912">
        <v>3</v>
      </c>
    </row>
    <row r="5913" spans="1:5" x14ac:dyDescent="0.2">
      <c r="A5913">
        <v>9530</v>
      </c>
      <c r="B5913">
        <v>8514</v>
      </c>
      <c r="C5913">
        <v>22</v>
      </c>
      <c r="D5913">
        <v>97.4</v>
      </c>
      <c r="E5913">
        <v>3</v>
      </c>
    </row>
    <row r="5914" spans="1:5" x14ac:dyDescent="0.2">
      <c r="A5914">
        <v>9535</v>
      </c>
      <c r="B5914">
        <v>8547</v>
      </c>
      <c r="C5914">
        <v>21</v>
      </c>
      <c r="D5914">
        <v>93.5</v>
      </c>
      <c r="E5914">
        <v>2.9</v>
      </c>
    </row>
    <row r="5915" spans="1:5" x14ac:dyDescent="0.2">
      <c r="A5915">
        <v>9540</v>
      </c>
      <c r="B5915">
        <v>8585</v>
      </c>
      <c r="C5915">
        <v>21</v>
      </c>
      <c r="D5915">
        <v>89</v>
      </c>
      <c r="E5915">
        <v>2.8</v>
      </c>
    </row>
    <row r="5916" spans="1:5" x14ac:dyDescent="0.2">
      <c r="A5916">
        <v>9545</v>
      </c>
      <c r="B5916">
        <v>8623</v>
      </c>
      <c r="C5916">
        <v>22</v>
      </c>
      <c r="D5916">
        <v>84.5</v>
      </c>
      <c r="E5916">
        <v>3</v>
      </c>
    </row>
    <row r="5917" spans="1:5" x14ac:dyDescent="0.2">
      <c r="A5917">
        <v>9550</v>
      </c>
      <c r="B5917">
        <v>8655</v>
      </c>
      <c r="C5917">
        <v>22</v>
      </c>
      <c r="D5917">
        <v>80.900000000000006</v>
      </c>
      <c r="E5917">
        <v>3</v>
      </c>
    </row>
    <row r="5918" spans="1:5" x14ac:dyDescent="0.2">
      <c r="A5918">
        <v>9555</v>
      </c>
      <c r="B5918">
        <v>8679</v>
      </c>
      <c r="C5918">
        <v>22</v>
      </c>
      <c r="D5918">
        <v>78.3</v>
      </c>
      <c r="E5918">
        <v>3</v>
      </c>
    </row>
    <row r="5919" spans="1:5" x14ac:dyDescent="0.2">
      <c r="A5919">
        <v>9560</v>
      </c>
      <c r="B5919">
        <v>8696</v>
      </c>
      <c r="C5919">
        <v>21</v>
      </c>
      <c r="D5919">
        <v>76.7</v>
      </c>
      <c r="E5919">
        <v>2.8</v>
      </c>
    </row>
    <row r="5920" spans="1:5" x14ac:dyDescent="0.2">
      <c r="A5920">
        <v>9565</v>
      </c>
      <c r="B5920">
        <v>8702</v>
      </c>
      <c r="C5920">
        <v>21</v>
      </c>
      <c r="D5920">
        <v>76.599999999999994</v>
      </c>
      <c r="E5920">
        <v>2.8</v>
      </c>
    </row>
    <row r="5921" spans="1:5" x14ac:dyDescent="0.2">
      <c r="A5921">
        <v>9570</v>
      </c>
      <c r="B5921">
        <v>8696</v>
      </c>
      <c r="C5921">
        <v>21</v>
      </c>
      <c r="D5921">
        <v>77.900000000000006</v>
      </c>
      <c r="E5921">
        <v>2.9</v>
      </c>
    </row>
    <row r="5922" spans="1:5" x14ac:dyDescent="0.2">
      <c r="A5922">
        <v>9575</v>
      </c>
      <c r="B5922">
        <v>8687</v>
      </c>
      <c r="C5922">
        <v>23</v>
      </c>
      <c r="D5922">
        <v>79.8</v>
      </c>
      <c r="E5922">
        <v>3.1</v>
      </c>
    </row>
    <row r="5923" spans="1:5" x14ac:dyDescent="0.2">
      <c r="A5923">
        <v>9580</v>
      </c>
      <c r="B5923">
        <v>8682</v>
      </c>
      <c r="C5923">
        <v>23</v>
      </c>
      <c r="D5923">
        <v>81.2</v>
      </c>
      <c r="E5923">
        <v>3</v>
      </c>
    </row>
    <row r="5924" spans="1:5" x14ac:dyDescent="0.2">
      <c r="A5924">
        <v>9585</v>
      </c>
      <c r="B5924">
        <v>8679</v>
      </c>
      <c r="C5924">
        <v>23</v>
      </c>
      <c r="D5924">
        <v>82.2</v>
      </c>
      <c r="E5924">
        <v>3.1</v>
      </c>
    </row>
    <row r="5925" spans="1:5" x14ac:dyDescent="0.2">
      <c r="A5925">
        <v>9590</v>
      </c>
      <c r="B5925">
        <v>8680</v>
      </c>
      <c r="C5925">
        <v>23</v>
      </c>
      <c r="D5925">
        <v>82.7</v>
      </c>
      <c r="E5925">
        <v>3.2</v>
      </c>
    </row>
    <row r="5926" spans="1:5" x14ac:dyDescent="0.2">
      <c r="A5926">
        <v>9595</v>
      </c>
      <c r="B5926">
        <v>8684</v>
      </c>
      <c r="C5926">
        <v>23</v>
      </c>
      <c r="D5926">
        <v>82.9</v>
      </c>
      <c r="E5926">
        <v>3.1</v>
      </c>
    </row>
    <row r="5927" spans="1:5" x14ac:dyDescent="0.2">
      <c r="A5927">
        <v>9600</v>
      </c>
      <c r="B5927">
        <v>8691</v>
      </c>
      <c r="C5927">
        <v>22</v>
      </c>
      <c r="D5927">
        <v>82.6</v>
      </c>
      <c r="E5927">
        <v>3</v>
      </c>
    </row>
    <row r="5928" spans="1:5" x14ac:dyDescent="0.2">
      <c r="A5928">
        <v>9605</v>
      </c>
      <c r="B5928">
        <v>8699</v>
      </c>
      <c r="C5928">
        <v>22</v>
      </c>
      <c r="D5928">
        <v>82.2</v>
      </c>
      <c r="E5928">
        <v>2.9</v>
      </c>
    </row>
    <row r="5929" spans="1:5" x14ac:dyDescent="0.2">
      <c r="A5929">
        <v>9610</v>
      </c>
      <c r="B5929">
        <v>8704</v>
      </c>
      <c r="C5929">
        <v>24</v>
      </c>
      <c r="D5929">
        <v>82.2</v>
      </c>
      <c r="E5929">
        <v>3.2</v>
      </c>
    </row>
    <row r="5930" spans="1:5" x14ac:dyDescent="0.2">
      <c r="A5930">
        <v>9615</v>
      </c>
      <c r="B5930">
        <v>8702</v>
      </c>
      <c r="C5930">
        <v>23</v>
      </c>
      <c r="D5930">
        <v>83</v>
      </c>
      <c r="E5930">
        <v>3.2</v>
      </c>
    </row>
    <row r="5931" spans="1:5" x14ac:dyDescent="0.2">
      <c r="A5931">
        <v>9620</v>
      </c>
      <c r="B5931">
        <v>8699</v>
      </c>
      <c r="C5931">
        <v>24</v>
      </c>
      <c r="D5931">
        <v>84.1</v>
      </c>
      <c r="E5931">
        <v>3.2</v>
      </c>
    </row>
    <row r="5932" spans="1:5" x14ac:dyDescent="0.2">
      <c r="A5932">
        <v>9625</v>
      </c>
      <c r="B5932">
        <v>8701</v>
      </c>
      <c r="C5932">
        <v>23</v>
      </c>
      <c r="D5932">
        <v>84.6</v>
      </c>
      <c r="E5932">
        <v>3.1</v>
      </c>
    </row>
    <row r="5933" spans="1:5" x14ac:dyDescent="0.2">
      <c r="A5933">
        <v>9630</v>
      </c>
      <c r="B5933">
        <v>8706</v>
      </c>
      <c r="C5933">
        <v>24</v>
      </c>
      <c r="D5933">
        <v>84.5</v>
      </c>
      <c r="E5933">
        <v>3.2</v>
      </c>
    </row>
    <row r="5934" spans="1:5" x14ac:dyDescent="0.2">
      <c r="A5934">
        <v>9635</v>
      </c>
      <c r="B5934">
        <v>8708</v>
      </c>
      <c r="C5934">
        <v>23</v>
      </c>
      <c r="D5934">
        <v>84.9</v>
      </c>
      <c r="E5934">
        <v>3.1</v>
      </c>
    </row>
    <row r="5935" spans="1:5" x14ac:dyDescent="0.2">
      <c r="A5935">
        <v>9640</v>
      </c>
      <c r="B5935">
        <v>8705</v>
      </c>
      <c r="C5935">
        <v>22</v>
      </c>
      <c r="D5935">
        <v>85.9</v>
      </c>
      <c r="E5935">
        <v>3</v>
      </c>
    </row>
    <row r="5936" spans="1:5" x14ac:dyDescent="0.2">
      <c r="A5936">
        <v>9645</v>
      </c>
      <c r="B5936">
        <v>8698</v>
      </c>
      <c r="C5936">
        <v>22</v>
      </c>
      <c r="D5936">
        <v>87.5</v>
      </c>
      <c r="E5936">
        <v>3</v>
      </c>
    </row>
    <row r="5937" spans="1:5" x14ac:dyDescent="0.2">
      <c r="A5937">
        <v>9650</v>
      </c>
      <c r="B5937">
        <v>8693</v>
      </c>
      <c r="C5937">
        <v>23</v>
      </c>
      <c r="D5937">
        <v>88.8</v>
      </c>
      <c r="E5937">
        <v>3.1</v>
      </c>
    </row>
    <row r="5938" spans="1:5" x14ac:dyDescent="0.2">
      <c r="A5938">
        <v>9655</v>
      </c>
      <c r="B5938">
        <v>8695</v>
      </c>
      <c r="C5938">
        <v>23</v>
      </c>
      <c r="D5938">
        <v>89.2</v>
      </c>
      <c r="E5938">
        <v>3.1</v>
      </c>
    </row>
    <row r="5939" spans="1:5" x14ac:dyDescent="0.2">
      <c r="A5939">
        <v>9660</v>
      </c>
      <c r="B5939">
        <v>8702</v>
      </c>
      <c r="C5939">
        <v>22</v>
      </c>
      <c r="D5939">
        <v>88.9</v>
      </c>
      <c r="E5939">
        <v>3</v>
      </c>
    </row>
    <row r="5940" spans="1:5" x14ac:dyDescent="0.2">
      <c r="A5940">
        <v>9665</v>
      </c>
      <c r="B5940">
        <v>8707</v>
      </c>
      <c r="C5940">
        <v>23</v>
      </c>
      <c r="D5940">
        <v>88.9</v>
      </c>
      <c r="E5940">
        <v>3.2</v>
      </c>
    </row>
    <row r="5941" spans="1:5" x14ac:dyDescent="0.2">
      <c r="A5941">
        <v>9670</v>
      </c>
      <c r="B5941">
        <v>8708</v>
      </c>
      <c r="C5941">
        <v>24</v>
      </c>
      <c r="D5941">
        <v>89.4</v>
      </c>
      <c r="E5941">
        <v>3.2</v>
      </c>
    </row>
    <row r="5942" spans="1:5" x14ac:dyDescent="0.2">
      <c r="A5942">
        <v>9675</v>
      </c>
      <c r="B5942">
        <v>8709</v>
      </c>
      <c r="C5942">
        <v>26</v>
      </c>
      <c r="D5942">
        <v>90</v>
      </c>
      <c r="E5942">
        <v>3.5</v>
      </c>
    </row>
    <row r="5943" spans="1:5" x14ac:dyDescent="0.2">
      <c r="A5943">
        <v>9680</v>
      </c>
      <c r="B5943">
        <v>8714</v>
      </c>
      <c r="C5943">
        <v>27</v>
      </c>
      <c r="D5943">
        <v>89.9</v>
      </c>
      <c r="E5943">
        <v>3.6</v>
      </c>
    </row>
    <row r="5944" spans="1:5" x14ac:dyDescent="0.2">
      <c r="A5944">
        <v>9685</v>
      </c>
      <c r="B5944">
        <v>8724</v>
      </c>
      <c r="C5944">
        <v>25</v>
      </c>
      <c r="D5944">
        <v>89.2</v>
      </c>
      <c r="E5944">
        <v>3.4</v>
      </c>
    </row>
    <row r="5945" spans="1:5" x14ac:dyDescent="0.2">
      <c r="A5945">
        <v>9690</v>
      </c>
      <c r="B5945">
        <v>8736</v>
      </c>
      <c r="C5945">
        <v>25</v>
      </c>
      <c r="D5945">
        <v>88.3</v>
      </c>
      <c r="E5945">
        <v>3.5</v>
      </c>
    </row>
    <row r="5946" spans="1:5" x14ac:dyDescent="0.2">
      <c r="A5946">
        <v>9695</v>
      </c>
      <c r="B5946">
        <v>8747</v>
      </c>
      <c r="C5946">
        <v>26</v>
      </c>
      <c r="D5946">
        <v>87.5</v>
      </c>
      <c r="E5946">
        <v>3.5</v>
      </c>
    </row>
    <row r="5947" spans="1:5" x14ac:dyDescent="0.2">
      <c r="A5947">
        <v>9700</v>
      </c>
      <c r="B5947">
        <v>8754</v>
      </c>
      <c r="C5947">
        <v>24</v>
      </c>
      <c r="D5947">
        <v>87.2</v>
      </c>
      <c r="E5947">
        <v>3.2</v>
      </c>
    </row>
    <row r="5948" spans="1:5" x14ac:dyDescent="0.2">
      <c r="A5948">
        <v>9705</v>
      </c>
      <c r="B5948">
        <v>8759</v>
      </c>
      <c r="C5948">
        <v>21</v>
      </c>
      <c r="D5948">
        <v>87.2</v>
      </c>
      <c r="E5948">
        <v>2.9</v>
      </c>
    </row>
    <row r="5949" spans="1:5" x14ac:dyDescent="0.2">
      <c r="A5949">
        <v>9710</v>
      </c>
      <c r="B5949">
        <v>8762</v>
      </c>
      <c r="C5949">
        <v>21</v>
      </c>
      <c r="D5949">
        <v>87.4</v>
      </c>
      <c r="E5949">
        <v>2.8</v>
      </c>
    </row>
    <row r="5950" spans="1:5" x14ac:dyDescent="0.2">
      <c r="A5950">
        <v>9715</v>
      </c>
      <c r="B5950">
        <v>8765</v>
      </c>
      <c r="C5950">
        <v>22</v>
      </c>
      <c r="D5950">
        <v>87.7</v>
      </c>
      <c r="E5950">
        <v>2.9</v>
      </c>
    </row>
    <row r="5951" spans="1:5" x14ac:dyDescent="0.2">
      <c r="A5951">
        <v>9720</v>
      </c>
      <c r="B5951">
        <v>8767</v>
      </c>
      <c r="C5951">
        <v>22</v>
      </c>
      <c r="D5951">
        <v>88.1</v>
      </c>
      <c r="E5951">
        <v>3</v>
      </c>
    </row>
    <row r="5952" spans="1:5" x14ac:dyDescent="0.2">
      <c r="A5952">
        <v>9725</v>
      </c>
      <c r="B5952">
        <v>8769</v>
      </c>
      <c r="C5952">
        <v>21</v>
      </c>
      <c r="D5952">
        <v>88.5</v>
      </c>
      <c r="E5952">
        <v>2.9</v>
      </c>
    </row>
    <row r="5953" spans="1:5" x14ac:dyDescent="0.2">
      <c r="A5953">
        <v>9730</v>
      </c>
      <c r="B5953">
        <v>8770</v>
      </c>
      <c r="C5953">
        <v>21</v>
      </c>
      <c r="D5953">
        <v>89</v>
      </c>
      <c r="E5953">
        <v>2.9</v>
      </c>
    </row>
    <row r="5954" spans="1:5" x14ac:dyDescent="0.2">
      <c r="A5954">
        <v>9735</v>
      </c>
      <c r="B5954">
        <v>8771</v>
      </c>
      <c r="C5954">
        <v>22</v>
      </c>
      <c r="D5954">
        <v>89.5</v>
      </c>
      <c r="E5954">
        <v>3</v>
      </c>
    </row>
    <row r="5955" spans="1:5" x14ac:dyDescent="0.2">
      <c r="A5955">
        <v>9740</v>
      </c>
      <c r="B5955">
        <v>8772</v>
      </c>
      <c r="C5955">
        <v>23</v>
      </c>
      <c r="D5955">
        <v>90</v>
      </c>
      <c r="E5955">
        <v>3.1</v>
      </c>
    </row>
    <row r="5956" spans="1:5" x14ac:dyDescent="0.2">
      <c r="A5956">
        <v>9745</v>
      </c>
      <c r="B5956">
        <v>8773</v>
      </c>
      <c r="C5956">
        <v>22</v>
      </c>
      <c r="D5956">
        <v>90.5</v>
      </c>
      <c r="E5956">
        <v>2.9</v>
      </c>
    </row>
    <row r="5957" spans="1:5" x14ac:dyDescent="0.2">
      <c r="A5957">
        <v>9750</v>
      </c>
      <c r="B5957">
        <v>8774</v>
      </c>
      <c r="C5957">
        <v>20</v>
      </c>
      <c r="D5957">
        <v>91</v>
      </c>
      <c r="E5957">
        <v>2.7</v>
      </c>
    </row>
    <row r="5958" spans="1:5" x14ac:dyDescent="0.2">
      <c r="A5958">
        <v>9755</v>
      </c>
      <c r="B5958">
        <v>8775</v>
      </c>
      <c r="C5958">
        <v>20</v>
      </c>
      <c r="D5958">
        <v>91.5</v>
      </c>
      <c r="E5958">
        <v>2.7</v>
      </c>
    </row>
    <row r="5959" spans="1:5" x14ac:dyDescent="0.2">
      <c r="A5959">
        <v>9760</v>
      </c>
      <c r="B5959">
        <v>8778</v>
      </c>
      <c r="C5959">
        <v>20</v>
      </c>
      <c r="D5959">
        <v>91.9</v>
      </c>
      <c r="E5959">
        <v>2.8</v>
      </c>
    </row>
    <row r="5960" spans="1:5" x14ac:dyDescent="0.2">
      <c r="A5960">
        <v>9765</v>
      </c>
      <c r="B5960">
        <v>8781</v>
      </c>
      <c r="C5960">
        <v>20</v>
      </c>
      <c r="D5960">
        <v>92.1</v>
      </c>
      <c r="E5960">
        <v>2.8</v>
      </c>
    </row>
    <row r="5961" spans="1:5" x14ac:dyDescent="0.2">
      <c r="A5961">
        <v>9770</v>
      </c>
      <c r="B5961">
        <v>8786</v>
      </c>
      <c r="C5961">
        <v>19</v>
      </c>
      <c r="D5961">
        <v>92.1</v>
      </c>
      <c r="E5961">
        <v>2.6</v>
      </c>
    </row>
    <row r="5962" spans="1:5" x14ac:dyDescent="0.2">
      <c r="A5962">
        <v>9775</v>
      </c>
      <c r="B5962">
        <v>8791</v>
      </c>
      <c r="C5962">
        <v>19</v>
      </c>
      <c r="D5962">
        <v>92</v>
      </c>
      <c r="E5962">
        <v>2.5</v>
      </c>
    </row>
    <row r="5963" spans="1:5" x14ac:dyDescent="0.2">
      <c r="A5963">
        <v>9780</v>
      </c>
      <c r="B5963">
        <v>8796</v>
      </c>
      <c r="C5963">
        <v>20</v>
      </c>
      <c r="D5963">
        <v>92</v>
      </c>
      <c r="E5963">
        <v>2.7</v>
      </c>
    </row>
    <row r="5964" spans="1:5" x14ac:dyDescent="0.2">
      <c r="A5964">
        <v>9785</v>
      </c>
      <c r="B5964">
        <v>8800</v>
      </c>
      <c r="C5964">
        <v>21</v>
      </c>
      <c r="D5964">
        <v>92.1</v>
      </c>
      <c r="E5964">
        <v>2.9</v>
      </c>
    </row>
    <row r="5965" spans="1:5" x14ac:dyDescent="0.2">
      <c r="A5965">
        <v>9790</v>
      </c>
      <c r="B5965">
        <v>8803</v>
      </c>
      <c r="C5965">
        <v>22</v>
      </c>
      <c r="D5965">
        <v>92.4</v>
      </c>
      <c r="E5965">
        <v>3</v>
      </c>
    </row>
    <row r="5966" spans="1:5" x14ac:dyDescent="0.2">
      <c r="A5966">
        <v>9795</v>
      </c>
      <c r="B5966">
        <v>8804</v>
      </c>
      <c r="C5966">
        <v>22</v>
      </c>
      <c r="D5966">
        <v>93</v>
      </c>
      <c r="E5966">
        <v>3</v>
      </c>
    </row>
    <row r="5967" spans="1:5" x14ac:dyDescent="0.2">
      <c r="A5967">
        <v>9800</v>
      </c>
      <c r="B5967">
        <v>8804</v>
      </c>
      <c r="C5967">
        <v>23</v>
      </c>
      <c r="D5967">
        <v>93.6</v>
      </c>
      <c r="E5967">
        <v>3.1</v>
      </c>
    </row>
    <row r="5968" spans="1:5" x14ac:dyDescent="0.2">
      <c r="A5968">
        <v>9805</v>
      </c>
      <c r="B5968">
        <v>8804</v>
      </c>
      <c r="C5968">
        <v>25</v>
      </c>
      <c r="D5968">
        <v>94.3</v>
      </c>
      <c r="E5968">
        <v>3.3</v>
      </c>
    </row>
    <row r="5969" spans="1:5" x14ac:dyDescent="0.2">
      <c r="A5969">
        <v>9810</v>
      </c>
      <c r="B5969">
        <v>8805</v>
      </c>
      <c r="C5969">
        <v>26</v>
      </c>
      <c r="D5969">
        <v>94.8</v>
      </c>
      <c r="E5969">
        <v>3.5</v>
      </c>
    </row>
    <row r="5970" spans="1:5" x14ac:dyDescent="0.2">
      <c r="A5970">
        <v>9815</v>
      </c>
      <c r="B5970">
        <v>8807</v>
      </c>
      <c r="C5970">
        <v>24</v>
      </c>
      <c r="D5970">
        <v>95.2</v>
      </c>
      <c r="E5970">
        <v>3.3</v>
      </c>
    </row>
    <row r="5971" spans="1:5" x14ac:dyDescent="0.2">
      <c r="A5971">
        <v>9820</v>
      </c>
      <c r="B5971">
        <v>8809</v>
      </c>
      <c r="C5971">
        <v>22</v>
      </c>
      <c r="D5971">
        <v>95.5</v>
      </c>
      <c r="E5971">
        <v>2.9</v>
      </c>
    </row>
    <row r="5972" spans="1:5" x14ac:dyDescent="0.2">
      <c r="A5972">
        <v>9825</v>
      </c>
      <c r="B5972">
        <v>8812</v>
      </c>
      <c r="C5972">
        <v>21</v>
      </c>
      <c r="D5972">
        <v>95.8</v>
      </c>
      <c r="E5972">
        <v>2.8</v>
      </c>
    </row>
    <row r="5973" spans="1:5" x14ac:dyDescent="0.2">
      <c r="A5973">
        <v>9830</v>
      </c>
      <c r="B5973">
        <v>8813</v>
      </c>
      <c r="C5973">
        <v>22</v>
      </c>
      <c r="D5973">
        <v>96.3</v>
      </c>
      <c r="E5973">
        <v>3</v>
      </c>
    </row>
    <row r="5974" spans="1:5" x14ac:dyDescent="0.2">
      <c r="A5974">
        <v>9835</v>
      </c>
      <c r="B5974">
        <v>8811</v>
      </c>
      <c r="C5974">
        <v>21</v>
      </c>
      <c r="D5974">
        <v>97.3</v>
      </c>
      <c r="E5974">
        <v>2.9</v>
      </c>
    </row>
    <row r="5975" spans="1:5" x14ac:dyDescent="0.2">
      <c r="A5975">
        <v>9840</v>
      </c>
      <c r="B5975">
        <v>8806</v>
      </c>
      <c r="C5975">
        <v>20</v>
      </c>
      <c r="D5975">
        <v>98.6</v>
      </c>
      <c r="E5975">
        <v>2.7</v>
      </c>
    </row>
    <row r="5976" spans="1:5" x14ac:dyDescent="0.2">
      <c r="A5976">
        <v>9845</v>
      </c>
      <c r="B5976">
        <v>8800</v>
      </c>
      <c r="C5976">
        <v>21</v>
      </c>
      <c r="D5976">
        <v>100.1</v>
      </c>
      <c r="E5976">
        <v>2.8</v>
      </c>
    </row>
    <row r="5977" spans="1:5" x14ac:dyDescent="0.2">
      <c r="A5977">
        <v>9850</v>
      </c>
      <c r="B5977">
        <v>8796</v>
      </c>
      <c r="C5977">
        <v>21</v>
      </c>
      <c r="D5977">
        <v>101.3</v>
      </c>
      <c r="E5977">
        <v>2.9</v>
      </c>
    </row>
    <row r="5978" spans="1:5" x14ac:dyDescent="0.2">
      <c r="A5978">
        <v>9855</v>
      </c>
      <c r="B5978">
        <v>8794</v>
      </c>
      <c r="C5978">
        <v>20</v>
      </c>
      <c r="D5978">
        <v>102.2</v>
      </c>
      <c r="E5978">
        <v>2.8</v>
      </c>
    </row>
    <row r="5979" spans="1:5" x14ac:dyDescent="0.2">
      <c r="A5979">
        <v>9860</v>
      </c>
      <c r="B5979">
        <v>8793</v>
      </c>
      <c r="C5979">
        <v>21</v>
      </c>
      <c r="D5979">
        <v>103.1</v>
      </c>
      <c r="E5979">
        <v>2.9</v>
      </c>
    </row>
    <row r="5980" spans="1:5" x14ac:dyDescent="0.2">
      <c r="A5980">
        <v>9865</v>
      </c>
      <c r="B5980">
        <v>8790</v>
      </c>
      <c r="C5980">
        <v>22</v>
      </c>
      <c r="D5980">
        <v>104.2</v>
      </c>
      <c r="E5980">
        <v>3.1</v>
      </c>
    </row>
    <row r="5981" spans="1:5" x14ac:dyDescent="0.2">
      <c r="A5981">
        <v>9870</v>
      </c>
      <c r="B5981">
        <v>8785</v>
      </c>
      <c r="C5981">
        <v>21</v>
      </c>
      <c r="D5981">
        <v>105.5</v>
      </c>
      <c r="E5981">
        <v>2.9</v>
      </c>
    </row>
    <row r="5982" spans="1:5" x14ac:dyDescent="0.2">
      <c r="A5982">
        <v>9875</v>
      </c>
      <c r="B5982">
        <v>8781</v>
      </c>
      <c r="C5982">
        <v>22</v>
      </c>
      <c r="D5982">
        <v>106.7</v>
      </c>
      <c r="E5982">
        <v>3</v>
      </c>
    </row>
    <row r="5983" spans="1:5" x14ac:dyDescent="0.2">
      <c r="A5983">
        <v>9880</v>
      </c>
      <c r="B5983">
        <v>8784</v>
      </c>
      <c r="C5983">
        <v>21</v>
      </c>
      <c r="D5983">
        <v>107</v>
      </c>
      <c r="E5983">
        <v>2.9</v>
      </c>
    </row>
    <row r="5984" spans="1:5" x14ac:dyDescent="0.2">
      <c r="A5984">
        <v>9885</v>
      </c>
      <c r="B5984">
        <v>8792</v>
      </c>
      <c r="C5984">
        <v>21</v>
      </c>
      <c r="D5984">
        <v>106.5</v>
      </c>
      <c r="E5984">
        <v>2.9</v>
      </c>
    </row>
    <row r="5985" spans="1:5" x14ac:dyDescent="0.2">
      <c r="A5985">
        <v>9890</v>
      </c>
      <c r="B5985">
        <v>8805</v>
      </c>
      <c r="C5985">
        <v>21</v>
      </c>
      <c r="D5985">
        <v>105.4</v>
      </c>
      <c r="E5985">
        <v>2.9</v>
      </c>
    </row>
    <row r="5986" spans="1:5" x14ac:dyDescent="0.2">
      <c r="A5986">
        <v>9895</v>
      </c>
      <c r="B5986">
        <v>8820</v>
      </c>
      <c r="C5986">
        <v>21</v>
      </c>
      <c r="D5986">
        <v>104</v>
      </c>
      <c r="E5986">
        <v>2.8</v>
      </c>
    </row>
    <row r="5987" spans="1:5" x14ac:dyDescent="0.2">
      <c r="A5987">
        <v>9900</v>
      </c>
      <c r="B5987">
        <v>8836</v>
      </c>
      <c r="C5987">
        <v>21</v>
      </c>
      <c r="D5987">
        <v>102.5</v>
      </c>
      <c r="E5987">
        <v>2.9</v>
      </c>
    </row>
    <row r="5988" spans="1:5" x14ac:dyDescent="0.2">
      <c r="A5988">
        <v>9905</v>
      </c>
      <c r="B5988">
        <v>8851</v>
      </c>
      <c r="C5988">
        <v>21</v>
      </c>
      <c r="D5988">
        <v>101.1</v>
      </c>
      <c r="E5988">
        <v>2.9</v>
      </c>
    </row>
    <row r="5989" spans="1:5" x14ac:dyDescent="0.2">
      <c r="A5989">
        <v>9910</v>
      </c>
      <c r="B5989">
        <v>8864</v>
      </c>
      <c r="C5989">
        <v>21</v>
      </c>
      <c r="D5989">
        <v>99.9</v>
      </c>
      <c r="E5989">
        <v>2.9</v>
      </c>
    </row>
    <row r="5990" spans="1:5" x14ac:dyDescent="0.2">
      <c r="A5990">
        <v>9915</v>
      </c>
      <c r="B5990">
        <v>8875</v>
      </c>
      <c r="C5990">
        <v>24</v>
      </c>
      <c r="D5990">
        <v>99.2</v>
      </c>
      <c r="E5990">
        <v>3.2</v>
      </c>
    </row>
    <row r="5991" spans="1:5" x14ac:dyDescent="0.2">
      <c r="A5991">
        <v>9920</v>
      </c>
      <c r="B5991">
        <v>8881</v>
      </c>
      <c r="C5991">
        <v>24</v>
      </c>
      <c r="D5991">
        <v>98.9</v>
      </c>
      <c r="E5991">
        <v>3.3</v>
      </c>
    </row>
    <row r="5992" spans="1:5" x14ac:dyDescent="0.2">
      <c r="A5992">
        <v>9925</v>
      </c>
      <c r="B5992">
        <v>8885</v>
      </c>
      <c r="C5992">
        <v>24</v>
      </c>
      <c r="D5992">
        <v>99.2</v>
      </c>
      <c r="E5992">
        <v>3.2</v>
      </c>
    </row>
    <row r="5993" spans="1:5" x14ac:dyDescent="0.2">
      <c r="A5993">
        <v>9930</v>
      </c>
      <c r="B5993">
        <v>8885</v>
      </c>
      <c r="C5993">
        <v>24</v>
      </c>
      <c r="D5993">
        <v>99.8</v>
      </c>
      <c r="E5993">
        <v>3.3</v>
      </c>
    </row>
    <row r="5994" spans="1:5" x14ac:dyDescent="0.2">
      <c r="A5994">
        <v>9935</v>
      </c>
      <c r="B5994">
        <v>8883</v>
      </c>
      <c r="C5994">
        <v>26</v>
      </c>
      <c r="D5994">
        <v>100.7</v>
      </c>
      <c r="E5994">
        <v>3.5</v>
      </c>
    </row>
    <row r="5995" spans="1:5" x14ac:dyDescent="0.2">
      <c r="A5995">
        <v>9940</v>
      </c>
      <c r="B5995">
        <v>8879</v>
      </c>
      <c r="C5995">
        <v>26</v>
      </c>
      <c r="D5995">
        <v>101.9</v>
      </c>
      <c r="E5995">
        <v>3.5</v>
      </c>
    </row>
    <row r="5996" spans="1:5" x14ac:dyDescent="0.2">
      <c r="A5996">
        <v>9945</v>
      </c>
      <c r="B5996">
        <v>8875</v>
      </c>
      <c r="C5996">
        <v>25</v>
      </c>
      <c r="D5996">
        <v>103.2</v>
      </c>
      <c r="E5996">
        <v>3.4</v>
      </c>
    </row>
    <row r="5997" spans="1:5" x14ac:dyDescent="0.2">
      <c r="A5997">
        <v>9950</v>
      </c>
      <c r="B5997">
        <v>8873</v>
      </c>
      <c r="C5997">
        <v>25</v>
      </c>
      <c r="D5997">
        <v>104.1</v>
      </c>
      <c r="E5997">
        <v>3.4</v>
      </c>
    </row>
    <row r="5998" spans="1:5" x14ac:dyDescent="0.2">
      <c r="A5998">
        <v>9955</v>
      </c>
      <c r="B5998">
        <v>8876</v>
      </c>
      <c r="C5998">
        <v>24</v>
      </c>
      <c r="D5998">
        <v>104.3</v>
      </c>
      <c r="E5998">
        <v>3.3</v>
      </c>
    </row>
    <row r="5999" spans="1:5" x14ac:dyDescent="0.2">
      <c r="A5999">
        <v>9960</v>
      </c>
      <c r="B5999">
        <v>8887</v>
      </c>
      <c r="C5999">
        <v>20</v>
      </c>
      <c r="D5999">
        <v>103.4</v>
      </c>
      <c r="E5999">
        <v>2.8</v>
      </c>
    </row>
    <row r="6000" spans="1:5" x14ac:dyDescent="0.2">
      <c r="A6000">
        <v>9965</v>
      </c>
      <c r="B6000">
        <v>8905</v>
      </c>
      <c r="C6000">
        <v>19</v>
      </c>
      <c r="D6000">
        <v>101.7</v>
      </c>
      <c r="E6000">
        <v>2.6</v>
      </c>
    </row>
    <row r="6001" spans="1:5" x14ac:dyDescent="0.2">
      <c r="A6001">
        <v>9970</v>
      </c>
      <c r="B6001">
        <v>8922</v>
      </c>
      <c r="C6001">
        <v>19</v>
      </c>
      <c r="D6001">
        <v>100</v>
      </c>
      <c r="E6001">
        <v>2.6</v>
      </c>
    </row>
    <row r="6002" spans="1:5" x14ac:dyDescent="0.2">
      <c r="A6002">
        <v>9975</v>
      </c>
      <c r="B6002">
        <v>8929</v>
      </c>
      <c r="C6002">
        <v>20</v>
      </c>
      <c r="D6002">
        <v>99.8</v>
      </c>
      <c r="E6002">
        <v>2.8</v>
      </c>
    </row>
    <row r="6003" spans="1:5" x14ac:dyDescent="0.2">
      <c r="A6003">
        <v>9980</v>
      </c>
      <c r="B6003">
        <v>8921</v>
      </c>
      <c r="C6003">
        <v>20</v>
      </c>
      <c r="D6003">
        <v>101.5</v>
      </c>
      <c r="E6003">
        <v>2.7</v>
      </c>
    </row>
    <row r="6004" spans="1:5" x14ac:dyDescent="0.2">
      <c r="A6004">
        <v>9985</v>
      </c>
      <c r="B6004">
        <v>8905</v>
      </c>
      <c r="C6004">
        <v>20</v>
      </c>
      <c r="D6004">
        <v>104.4</v>
      </c>
      <c r="E6004">
        <v>2.8</v>
      </c>
    </row>
    <row r="6005" spans="1:5" x14ac:dyDescent="0.2">
      <c r="A6005">
        <v>9990</v>
      </c>
      <c r="B6005">
        <v>8888</v>
      </c>
      <c r="C6005">
        <v>21</v>
      </c>
      <c r="D6005">
        <v>107.4</v>
      </c>
      <c r="E6005">
        <v>3</v>
      </c>
    </row>
    <row r="6006" spans="1:5" x14ac:dyDescent="0.2">
      <c r="A6006">
        <v>9995</v>
      </c>
      <c r="B6006">
        <v>8876</v>
      </c>
      <c r="C6006">
        <v>20</v>
      </c>
      <c r="D6006">
        <v>109.7</v>
      </c>
      <c r="E6006">
        <v>2.8</v>
      </c>
    </row>
    <row r="6007" spans="1:5" x14ac:dyDescent="0.2">
      <c r="A6007">
        <v>10000</v>
      </c>
      <c r="B6007">
        <v>8872</v>
      </c>
      <c r="C6007">
        <v>21</v>
      </c>
      <c r="D6007">
        <v>111</v>
      </c>
      <c r="E6007">
        <v>2.9</v>
      </c>
    </row>
    <row r="6008" spans="1:5" x14ac:dyDescent="0.2">
      <c r="A6008">
        <v>10005</v>
      </c>
      <c r="B6008">
        <v>8875</v>
      </c>
      <c r="C6008">
        <v>23</v>
      </c>
      <c r="D6008">
        <v>111.2</v>
      </c>
      <c r="E6008">
        <v>3.1</v>
      </c>
    </row>
    <row r="6009" spans="1:5" x14ac:dyDescent="0.2">
      <c r="A6009">
        <v>10010</v>
      </c>
      <c r="B6009">
        <v>8887</v>
      </c>
      <c r="C6009">
        <v>22</v>
      </c>
      <c r="D6009">
        <v>110.2</v>
      </c>
      <c r="E6009">
        <v>3</v>
      </c>
    </row>
    <row r="6010" spans="1:5" x14ac:dyDescent="0.2">
      <c r="A6010">
        <v>10015</v>
      </c>
      <c r="B6010">
        <v>8901</v>
      </c>
      <c r="C6010">
        <v>20</v>
      </c>
      <c r="D6010">
        <v>108.9</v>
      </c>
      <c r="E6010">
        <v>2.8</v>
      </c>
    </row>
    <row r="6011" spans="1:5" x14ac:dyDescent="0.2">
      <c r="A6011">
        <v>10020</v>
      </c>
      <c r="B6011">
        <v>8900</v>
      </c>
      <c r="C6011">
        <v>20</v>
      </c>
      <c r="D6011">
        <v>109.8</v>
      </c>
      <c r="E6011">
        <v>2.7</v>
      </c>
    </row>
    <row r="6012" spans="1:5" x14ac:dyDescent="0.2">
      <c r="A6012">
        <v>10025</v>
      </c>
      <c r="B6012">
        <v>8890</v>
      </c>
      <c r="C6012">
        <v>22</v>
      </c>
      <c r="D6012">
        <v>111.7</v>
      </c>
      <c r="E6012">
        <v>3</v>
      </c>
    </row>
    <row r="6013" spans="1:5" x14ac:dyDescent="0.2">
      <c r="A6013">
        <v>10030</v>
      </c>
      <c r="B6013">
        <v>8883</v>
      </c>
      <c r="C6013">
        <v>23</v>
      </c>
      <c r="D6013">
        <v>113.4</v>
      </c>
      <c r="E6013">
        <v>3.2</v>
      </c>
    </row>
    <row r="6014" spans="1:5" x14ac:dyDescent="0.2">
      <c r="A6014">
        <v>10035</v>
      </c>
      <c r="B6014">
        <v>8884</v>
      </c>
      <c r="C6014">
        <v>22</v>
      </c>
      <c r="D6014">
        <v>113.9</v>
      </c>
      <c r="E6014">
        <v>3</v>
      </c>
    </row>
    <row r="6015" spans="1:5" x14ac:dyDescent="0.2">
      <c r="A6015">
        <v>10040</v>
      </c>
      <c r="B6015">
        <v>8892</v>
      </c>
      <c r="C6015">
        <v>21</v>
      </c>
      <c r="D6015">
        <v>113.5</v>
      </c>
      <c r="E6015">
        <v>2.9</v>
      </c>
    </row>
    <row r="6016" spans="1:5" x14ac:dyDescent="0.2">
      <c r="A6016">
        <v>10045</v>
      </c>
      <c r="B6016">
        <v>8906</v>
      </c>
      <c r="C6016">
        <v>19</v>
      </c>
      <c r="D6016">
        <v>112.3</v>
      </c>
      <c r="E6016">
        <v>2.7</v>
      </c>
    </row>
    <row r="6017" spans="1:5" x14ac:dyDescent="0.2">
      <c r="A6017">
        <v>10050</v>
      </c>
      <c r="B6017">
        <v>8917</v>
      </c>
      <c r="C6017">
        <v>19</v>
      </c>
      <c r="D6017">
        <v>111.5</v>
      </c>
      <c r="E6017">
        <v>2.6</v>
      </c>
    </row>
    <row r="6018" spans="1:5" x14ac:dyDescent="0.2">
      <c r="A6018">
        <v>10055</v>
      </c>
      <c r="B6018">
        <v>8915</v>
      </c>
      <c r="C6018">
        <v>20</v>
      </c>
      <c r="D6018">
        <v>112.4</v>
      </c>
      <c r="E6018">
        <v>2.7</v>
      </c>
    </row>
    <row r="6019" spans="1:5" x14ac:dyDescent="0.2">
      <c r="A6019">
        <v>10060</v>
      </c>
      <c r="B6019">
        <v>8900</v>
      </c>
      <c r="C6019">
        <v>20</v>
      </c>
      <c r="D6019">
        <v>115.1</v>
      </c>
      <c r="E6019">
        <v>2.7</v>
      </c>
    </row>
    <row r="6020" spans="1:5" x14ac:dyDescent="0.2">
      <c r="A6020">
        <v>10065</v>
      </c>
      <c r="B6020">
        <v>8882</v>
      </c>
      <c r="C6020">
        <v>20</v>
      </c>
      <c r="D6020">
        <v>118.3</v>
      </c>
      <c r="E6020">
        <v>2.8</v>
      </c>
    </row>
    <row r="6021" spans="1:5" x14ac:dyDescent="0.2">
      <c r="A6021">
        <v>10070</v>
      </c>
      <c r="B6021">
        <v>8868</v>
      </c>
      <c r="C6021">
        <v>21</v>
      </c>
      <c r="D6021">
        <v>120.9</v>
      </c>
      <c r="E6021">
        <v>2.9</v>
      </c>
    </row>
    <row r="6022" spans="1:5" x14ac:dyDescent="0.2">
      <c r="A6022">
        <v>10075</v>
      </c>
      <c r="B6022">
        <v>8862</v>
      </c>
      <c r="C6022">
        <v>21</v>
      </c>
      <c r="D6022">
        <v>122.4</v>
      </c>
      <c r="E6022">
        <v>2.9</v>
      </c>
    </row>
    <row r="6023" spans="1:5" x14ac:dyDescent="0.2">
      <c r="A6023">
        <v>10080</v>
      </c>
      <c r="B6023">
        <v>8861</v>
      </c>
      <c r="C6023">
        <v>22</v>
      </c>
      <c r="D6023">
        <v>123.3</v>
      </c>
      <c r="E6023">
        <v>3.1</v>
      </c>
    </row>
    <row r="6024" spans="1:5" x14ac:dyDescent="0.2">
      <c r="A6024">
        <v>10085</v>
      </c>
      <c r="B6024">
        <v>8861</v>
      </c>
      <c r="C6024">
        <v>22</v>
      </c>
      <c r="D6024">
        <v>123.9</v>
      </c>
      <c r="E6024">
        <v>3</v>
      </c>
    </row>
    <row r="6025" spans="1:5" x14ac:dyDescent="0.2">
      <c r="A6025">
        <v>10090</v>
      </c>
      <c r="B6025">
        <v>8861</v>
      </c>
      <c r="C6025">
        <v>21</v>
      </c>
      <c r="D6025">
        <v>124.6</v>
      </c>
      <c r="E6025">
        <v>2.9</v>
      </c>
    </row>
    <row r="6026" spans="1:5" x14ac:dyDescent="0.2">
      <c r="A6026">
        <v>10095</v>
      </c>
      <c r="B6026">
        <v>8857</v>
      </c>
      <c r="C6026">
        <v>20</v>
      </c>
      <c r="D6026">
        <v>125.8</v>
      </c>
      <c r="E6026">
        <v>2.8</v>
      </c>
    </row>
    <row r="6027" spans="1:5" x14ac:dyDescent="0.2">
      <c r="A6027">
        <v>10100</v>
      </c>
      <c r="B6027">
        <v>8852</v>
      </c>
      <c r="C6027">
        <v>20</v>
      </c>
      <c r="D6027">
        <v>127.3</v>
      </c>
      <c r="E6027">
        <v>2.8</v>
      </c>
    </row>
    <row r="6028" spans="1:5" x14ac:dyDescent="0.2">
      <c r="A6028">
        <v>10105</v>
      </c>
      <c r="B6028">
        <v>8852</v>
      </c>
      <c r="C6028">
        <v>23</v>
      </c>
      <c r="D6028">
        <v>127.9</v>
      </c>
      <c r="E6028">
        <v>3.2</v>
      </c>
    </row>
    <row r="6029" spans="1:5" x14ac:dyDescent="0.2">
      <c r="A6029">
        <v>10110</v>
      </c>
      <c r="B6029">
        <v>8861</v>
      </c>
      <c r="C6029">
        <v>22</v>
      </c>
      <c r="D6029">
        <v>127.3</v>
      </c>
      <c r="E6029">
        <v>3.1</v>
      </c>
    </row>
    <row r="6030" spans="1:5" x14ac:dyDescent="0.2">
      <c r="A6030">
        <v>10115</v>
      </c>
      <c r="B6030">
        <v>8875</v>
      </c>
      <c r="C6030">
        <v>22</v>
      </c>
      <c r="D6030">
        <v>126.1</v>
      </c>
      <c r="E6030">
        <v>3.1</v>
      </c>
    </row>
    <row r="6031" spans="1:5" x14ac:dyDescent="0.2">
      <c r="A6031">
        <v>10120</v>
      </c>
      <c r="B6031">
        <v>8887</v>
      </c>
      <c r="C6031">
        <v>22</v>
      </c>
      <c r="D6031">
        <v>125.1</v>
      </c>
      <c r="E6031">
        <v>3.1</v>
      </c>
    </row>
    <row r="6032" spans="1:5" x14ac:dyDescent="0.2">
      <c r="A6032">
        <v>10125</v>
      </c>
      <c r="B6032">
        <v>8895</v>
      </c>
      <c r="C6032">
        <v>22</v>
      </c>
      <c r="D6032">
        <v>124.6</v>
      </c>
      <c r="E6032">
        <v>3.1</v>
      </c>
    </row>
    <row r="6033" spans="1:5" x14ac:dyDescent="0.2">
      <c r="A6033">
        <v>10130</v>
      </c>
      <c r="B6033">
        <v>8899</v>
      </c>
      <c r="C6033">
        <v>21</v>
      </c>
      <c r="D6033">
        <v>124.7</v>
      </c>
      <c r="E6033">
        <v>2.9</v>
      </c>
    </row>
    <row r="6034" spans="1:5" x14ac:dyDescent="0.2">
      <c r="A6034">
        <v>10135</v>
      </c>
      <c r="B6034">
        <v>8900</v>
      </c>
      <c r="C6034">
        <v>20</v>
      </c>
      <c r="D6034">
        <v>125.2</v>
      </c>
      <c r="E6034">
        <v>2.8</v>
      </c>
    </row>
    <row r="6035" spans="1:5" x14ac:dyDescent="0.2">
      <c r="A6035">
        <v>10140</v>
      </c>
      <c r="B6035">
        <v>8899</v>
      </c>
      <c r="C6035">
        <v>20</v>
      </c>
      <c r="D6035">
        <v>126.1</v>
      </c>
      <c r="E6035">
        <v>2.9</v>
      </c>
    </row>
    <row r="6036" spans="1:5" x14ac:dyDescent="0.2">
      <c r="A6036">
        <v>10145</v>
      </c>
      <c r="B6036">
        <v>8901</v>
      </c>
      <c r="C6036">
        <v>23</v>
      </c>
      <c r="D6036">
        <v>126.6</v>
      </c>
      <c r="E6036">
        <v>3.2</v>
      </c>
    </row>
    <row r="6037" spans="1:5" x14ac:dyDescent="0.2">
      <c r="A6037">
        <v>10150</v>
      </c>
      <c r="B6037">
        <v>8910</v>
      </c>
      <c r="C6037">
        <v>22</v>
      </c>
      <c r="D6037">
        <v>126</v>
      </c>
      <c r="E6037">
        <v>3.1</v>
      </c>
    </row>
    <row r="6038" spans="1:5" x14ac:dyDescent="0.2">
      <c r="A6038">
        <v>10155</v>
      </c>
      <c r="B6038">
        <v>8922</v>
      </c>
      <c r="C6038">
        <v>21</v>
      </c>
      <c r="D6038">
        <v>124.9</v>
      </c>
      <c r="E6038">
        <v>2.9</v>
      </c>
    </row>
    <row r="6039" spans="1:5" x14ac:dyDescent="0.2">
      <c r="A6039">
        <v>10160</v>
      </c>
      <c r="B6039">
        <v>8929</v>
      </c>
      <c r="C6039">
        <v>20</v>
      </c>
      <c r="D6039">
        <v>124.6</v>
      </c>
      <c r="E6039">
        <v>2.8</v>
      </c>
    </row>
    <row r="6040" spans="1:5" x14ac:dyDescent="0.2">
      <c r="A6040">
        <v>10165</v>
      </c>
      <c r="B6040">
        <v>8932</v>
      </c>
      <c r="C6040">
        <v>22</v>
      </c>
      <c r="D6040">
        <v>124.9</v>
      </c>
      <c r="E6040">
        <v>3</v>
      </c>
    </row>
    <row r="6041" spans="1:5" x14ac:dyDescent="0.2">
      <c r="A6041">
        <v>10170</v>
      </c>
      <c r="B6041">
        <v>8936</v>
      </c>
      <c r="C6041">
        <v>21</v>
      </c>
      <c r="D6041">
        <v>125</v>
      </c>
      <c r="E6041">
        <v>2.9</v>
      </c>
    </row>
    <row r="6042" spans="1:5" x14ac:dyDescent="0.2">
      <c r="A6042">
        <v>10175</v>
      </c>
      <c r="B6042">
        <v>8945</v>
      </c>
      <c r="C6042">
        <v>20</v>
      </c>
      <c r="D6042">
        <v>124.4</v>
      </c>
      <c r="E6042">
        <v>2.8</v>
      </c>
    </row>
    <row r="6043" spans="1:5" x14ac:dyDescent="0.2">
      <c r="A6043">
        <v>10180</v>
      </c>
      <c r="B6043">
        <v>8959</v>
      </c>
      <c r="C6043">
        <v>21</v>
      </c>
      <c r="D6043">
        <v>123.1</v>
      </c>
      <c r="E6043">
        <v>2.9</v>
      </c>
    </row>
    <row r="6044" spans="1:5" x14ac:dyDescent="0.2">
      <c r="A6044">
        <v>10185</v>
      </c>
      <c r="B6044">
        <v>8973</v>
      </c>
      <c r="C6044">
        <v>22</v>
      </c>
      <c r="D6044">
        <v>121.9</v>
      </c>
      <c r="E6044">
        <v>3.1</v>
      </c>
    </row>
    <row r="6045" spans="1:5" x14ac:dyDescent="0.2">
      <c r="A6045">
        <v>10190</v>
      </c>
      <c r="B6045">
        <v>8986</v>
      </c>
      <c r="C6045">
        <v>23</v>
      </c>
      <c r="D6045">
        <v>120.8</v>
      </c>
      <c r="E6045">
        <v>3.2</v>
      </c>
    </row>
    <row r="6046" spans="1:5" x14ac:dyDescent="0.2">
      <c r="A6046">
        <v>10195</v>
      </c>
      <c r="B6046">
        <v>8998</v>
      </c>
      <c r="C6046">
        <v>22</v>
      </c>
      <c r="D6046">
        <v>119.7</v>
      </c>
      <c r="E6046">
        <v>3.1</v>
      </c>
    </row>
    <row r="6047" spans="1:5" x14ac:dyDescent="0.2">
      <c r="A6047">
        <v>10200</v>
      </c>
      <c r="B6047">
        <v>9011</v>
      </c>
      <c r="C6047">
        <v>21</v>
      </c>
      <c r="D6047">
        <v>118.6</v>
      </c>
      <c r="E6047">
        <v>3</v>
      </c>
    </row>
    <row r="6048" spans="1:5" x14ac:dyDescent="0.2">
      <c r="A6048">
        <v>10205</v>
      </c>
      <c r="B6048">
        <v>9021</v>
      </c>
      <c r="C6048">
        <v>22</v>
      </c>
      <c r="D6048">
        <v>117.9</v>
      </c>
      <c r="E6048">
        <v>3.1</v>
      </c>
    </row>
    <row r="6049" spans="1:5" x14ac:dyDescent="0.2">
      <c r="A6049">
        <v>10210</v>
      </c>
      <c r="B6049">
        <v>9026</v>
      </c>
      <c r="C6049">
        <v>21</v>
      </c>
      <c r="D6049">
        <v>117.9</v>
      </c>
      <c r="E6049">
        <v>2.9</v>
      </c>
    </row>
    <row r="6050" spans="1:5" x14ac:dyDescent="0.2">
      <c r="A6050">
        <v>10215</v>
      </c>
      <c r="B6050">
        <v>9027</v>
      </c>
      <c r="C6050">
        <v>20</v>
      </c>
      <c r="D6050">
        <v>118.4</v>
      </c>
      <c r="E6050">
        <v>2.7</v>
      </c>
    </row>
    <row r="6051" spans="1:5" x14ac:dyDescent="0.2">
      <c r="A6051">
        <v>10220</v>
      </c>
      <c r="B6051">
        <v>9030</v>
      </c>
      <c r="C6051">
        <v>20</v>
      </c>
      <c r="D6051">
        <v>118.7</v>
      </c>
      <c r="E6051">
        <v>2.8</v>
      </c>
    </row>
    <row r="6052" spans="1:5" x14ac:dyDescent="0.2">
      <c r="A6052">
        <v>10225</v>
      </c>
      <c r="B6052">
        <v>9040</v>
      </c>
      <c r="C6052">
        <v>21</v>
      </c>
      <c r="D6052">
        <v>117.9</v>
      </c>
      <c r="E6052">
        <v>2.9</v>
      </c>
    </row>
    <row r="6053" spans="1:5" x14ac:dyDescent="0.2">
      <c r="A6053">
        <v>10230</v>
      </c>
      <c r="B6053">
        <v>9058</v>
      </c>
      <c r="C6053">
        <v>21</v>
      </c>
      <c r="D6053">
        <v>116.1</v>
      </c>
      <c r="E6053">
        <v>3</v>
      </c>
    </row>
    <row r="6054" spans="1:5" x14ac:dyDescent="0.2">
      <c r="A6054">
        <v>10235</v>
      </c>
      <c r="B6054">
        <v>9077</v>
      </c>
      <c r="C6054">
        <v>21</v>
      </c>
      <c r="D6054">
        <v>114.1</v>
      </c>
      <c r="E6054">
        <v>2.9</v>
      </c>
    </row>
    <row r="6055" spans="1:5" x14ac:dyDescent="0.2">
      <c r="A6055">
        <v>10240</v>
      </c>
      <c r="B6055">
        <v>9099</v>
      </c>
      <c r="C6055">
        <v>21</v>
      </c>
      <c r="D6055">
        <v>111.8</v>
      </c>
      <c r="E6055">
        <v>2.9</v>
      </c>
    </row>
    <row r="6056" spans="1:5" x14ac:dyDescent="0.2">
      <c r="A6056">
        <v>10245</v>
      </c>
      <c r="B6056">
        <v>9124</v>
      </c>
      <c r="C6056">
        <v>20</v>
      </c>
      <c r="D6056">
        <v>109</v>
      </c>
      <c r="E6056">
        <v>2.8</v>
      </c>
    </row>
    <row r="6057" spans="1:5" x14ac:dyDescent="0.2">
      <c r="A6057">
        <v>10250</v>
      </c>
      <c r="B6057">
        <v>9150</v>
      </c>
      <c r="C6057">
        <v>21</v>
      </c>
      <c r="D6057">
        <v>106.1</v>
      </c>
      <c r="E6057">
        <v>2.8</v>
      </c>
    </row>
    <row r="6058" spans="1:5" x14ac:dyDescent="0.2">
      <c r="A6058">
        <v>10255</v>
      </c>
      <c r="B6058">
        <v>9166</v>
      </c>
      <c r="C6058">
        <v>20</v>
      </c>
      <c r="D6058">
        <v>104.5</v>
      </c>
      <c r="E6058">
        <v>2.8</v>
      </c>
    </row>
    <row r="6059" spans="1:5" x14ac:dyDescent="0.2">
      <c r="A6059">
        <v>10260</v>
      </c>
      <c r="B6059">
        <v>9173</v>
      </c>
      <c r="C6059">
        <v>20</v>
      </c>
      <c r="D6059">
        <v>104.3</v>
      </c>
      <c r="E6059">
        <v>2.8</v>
      </c>
    </row>
    <row r="6060" spans="1:5" x14ac:dyDescent="0.2">
      <c r="A6060">
        <v>10265</v>
      </c>
      <c r="B6060">
        <v>9174</v>
      </c>
      <c r="C6060">
        <v>20</v>
      </c>
      <c r="D6060">
        <v>104.8</v>
      </c>
      <c r="E6060">
        <v>2.8</v>
      </c>
    </row>
    <row r="6061" spans="1:5" x14ac:dyDescent="0.2">
      <c r="A6061">
        <v>10270</v>
      </c>
      <c r="B6061">
        <v>9173</v>
      </c>
      <c r="C6061">
        <v>21</v>
      </c>
      <c r="D6061">
        <v>105.5</v>
      </c>
      <c r="E6061">
        <v>2.9</v>
      </c>
    </row>
    <row r="6062" spans="1:5" x14ac:dyDescent="0.2">
      <c r="A6062">
        <v>10275</v>
      </c>
      <c r="B6062">
        <v>9174</v>
      </c>
      <c r="C6062">
        <v>21</v>
      </c>
      <c r="D6062">
        <v>106.1</v>
      </c>
      <c r="E6062">
        <v>2.9</v>
      </c>
    </row>
    <row r="6063" spans="1:5" x14ac:dyDescent="0.2">
      <c r="A6063">
        <v>10280</v>
      </c>
      <c r="B6063">
        <v>9176</v>
      </c>
      <c r="C6063">
        <v>23</v>
      </c>
      <c r="D6063">
        <v>106.5</v>
      </c>
      <c r="E6063">
        <v>3.2</v>
      </c>
    </row>
    <row r="6064" spans="1:5" x14ac:dyDescent="0.2">
      <c r="A6064">
        <v>10285</v>
      </c>
      <c r="B6064">
        <v>9180</v>
      </c>
      <c r="C6064">
        <v>24</v>
      </c>
      <c r="D6064">
        <v>106.7</v>
      </c>
      <c r="E6064">
        <v>3.3</v>
      </c>
    </row>
    <row r="6065" spans="1:5" x14ac:dyDescent="0.2">
      <c r="A6065">
        <v>10290</v>
      </c>
      <c r="B6065">
        <v>9186</v>
      </c>
      <c r="C6065">
        <v>22</v>
      </c>
      <c r="D6065">
        <v>106.5</v>
      </c>
      <c r="E6065">
        <v>3</v>
      </c>
    </row>
    <row r="6066" spans="1:5" x14ac:dyDescent="0.2">
      <c r="A6066">
        <v>10295</v>
      </c>
      <c r="B6066">
        <v>9194</v>
      </c>
      <c r="C6066">
        <v>21</v>
      </c>
      <c r="D6066">
        <v>106.1</v>
      </c>
      <c r="E6066">
        <v>2.8</v>
      </c>
    </row>
    <row r="6067" spans="1:5" x14ac:dyDescent="0.2">
      <c r="A6067">
        <v>10300</v>
      </c>
      <c r="B6067">
        <v>9203</v>
      </c>
      <c r="C6067">
        <v>20</v>
      </c>
      <c r="D6067">
        <v>105.5</v>
      </c>
      <c r="E6067">
        <v>2.8</v>
      </c>
    </row>
    <row r="6068" spans="1:5" x14ac:dyDescent="0.2">
      <c r="A6068">
        <v>10305</v>
      </c>
      <c r="B6068">
        <v>9211</v>
      </c>
      <c r="C6068">
        <v>21</v>
      </c>
      <c r="D6068">
        <v>105</v>
      </c>
      <c r="E6068">
        <v>2.9</v>
      </c>
    </row>
    <row r="6069" spans="1:5" x14ac:dyDescent="0.2">
      <c r="A6069">
        <v>10310</v>
      </c>
      <c r="B6069">
        <v>9215</v>
      </c>
      <c r="C6069">
        <v>24</v>
      </c>
      <c r="D6069">
        <v>105.1</v>
      </c>
      <c r="E6069">
        <v>3.3</v>
      </c>
    </row>
    <row r="6070" spans="1:5" x14ac:dyDescent="0.2">
      <c r="A6070">
        <v>10315</v>
      </c>
      <c r="B6070">
        <v>9213</v>
      </c>
      <c r="C6070">
        <v>25</v>
      </c>
      <c r="D6070">
        <v>106.1</v>
      </c>
      <c r="E6070">
        <v>3.5</v>
      </c>
    </row>
    <row r="6071" spans="1:5" x14ac:dyDescent="0.2">
      <c r="A6071">
        <v>10320</v>
      </c>
      <c r="B6071">
        <v>9203</v>
      </c>
      <c r="C6071">
        <v>23</v>
      </c>
      <c r="D6071">
        <v>108.1</v>
      </c>
      <c r="E6071">
        <v>3.2</v>
      </c>
    </row>
    <row r="6072" spans="1:5" x14ac:dyDescent="0.2">
      <c r="A6072">
        <v>10325</v>
      </c>
      <c r="B6072">
        <v>9192</v>
      </c>
      <c r="C6072">
        <v>22</v>
      </c>
      <c r="D6072">
        <v>110.3</v>
      </c>
      <c r="E6072">
        <v>3</v>
      </c>
    </row>
    <row r="6073" spans="1:5" x14ac:dyDescent="0.2">
      <c r="A6073">
        <v>10330</v>
      </c>
      <c r="B6073">
        <v>9187</v>
      </c>
      <c r="C6073">
        <v>22</v>
      </c>
      <c r="D6073">
        <v>111.7</v>
      </c>
      <c r="E6073">
        <v>3</v>
      </c>
    </row>
    <row r="6074" spans="1:5" x14ac:dyDescent="0.2">
      <c r="A6074">
        <v>10335</v>
      </c>
      <c r="B6074">
        <v>9194</v>
      </c>
      <c r="C6074">
        <v>21</v>
      </c>
      <c r="D6074">
        <v>111.4</v>
      </c>
      <c r="E6074">
        <v>2.9</v>
      </c>
    </row>
    <row r="6075" spans="1:5" x14ac:dyDescent="0.2">
      <c r="A6075">
        <v>10340</v>
      </c>
      <c r="B6075">
        <v>9207</v>
      </c>
      <c r="C6075">
        <v>22</v>
      </c>
      <c r="D6075">
        <v>110.3</v>
      </c>
      <c r="E6075">
        <v>3.1</v>
      </c>
    </row>
    <row r="6076" spans="1:5" x14ac:dyDescent="0.2">
      <c r="A6076">
        <v>10345</v>
      </c>
      <c r="B6076">
        <v>9214</v>
      </c>
      <c r="C6076">
        <v>23</v>
      </c>
      <c r="D6076">
        <v>110</v>
      </c>
      <c r="E6076">
        <v>3.2</v>
      </c>
    </row>
    <row r="6077" spans="1:5" x14ac:dyDescent="0.2">
      <c r="A6077">
        <v>10350</v>
      </c>
      <c r="B6077">
        <v>9211</v>
      </c>
      <c r="C6077">
        <v>22</v>
      </c>
      <c r="D6077">
        <v>111.1</v>
      </c>
      <c r="E6077">
        <v>3</v>
      </c>
    </row>
    <row r="6078" spans="1:5" x14ac:dyDescent="0.2">
      <c r="A6078">
        <v>10355</v>
      </c>
      <c r="B6078">
        <v>9204</v>
      </c>
      <c r="C6078">
        <v>24</v>
      </c>
      <c r="D6078">
        <v>112.7</v>
      </c>
      <c r="E6078">
        <v>3.3</v>
      </c>
    </row>
    <row r="6079" spans="1:5" x14ac:dyDescent="0.2">
      <c r="A6079">
        <v>10360</v>
      </c>
      <c r="B6079">
        <v>9199</v>
      </c>
      <c r="C6079">
        <v>25</v>
      </c>
      <c r="D6079">
        <v>114.1</v>
      </c>
      <c r="E6079">
        <v>3.4</v>
      </c>
    </row>
    <row r="6080" spans="1:5" x14ac:dyDescent="0.2">
      <c r="A6080">
        <v>10365</v>
      </c>
      <c r="B6080">
        <v>9201</v>
      </c>
      <c r="C6080">
        <v>23</v>
      </c>
      <c r="D6080">
        <v>114.5</v>
      </c>
      <c r="E6080">
        <v>3.2</v>
      </c>
    </row>
    <row r="6081" spans="1:5" x14ac:dyDescent="0.2">
      <c r="A6081">
        <v>10370</v>
      </c>
      <c r="B6081">
        <v>9206</v>
      </c>
      <c r="C6081">
        <v>23</v>
      </c>
      <c r="D6081">
        <v>114.5</v>
      </c>
      <c r="E6081">
        <v>3.2</v>
      </c>
    </row>
    <row r="6082" spans="1:5" x14ac:dyDescent="0.2">
      <c r="A6082">
        <v>10375</v>
      </c>
      <c r="B6082">
        <v>9213</v>
      </c>
      <c r="C6082">
        <v>22</v>
      </c>
      <c r="D6082">
        <v>114.2</v>
      </c>
      <c r="E6082">
        <v>3.1</v>
      </c>
    </row>
    <row r="6083" spans="1:5" x14ac:dyDescent="0.2">
      <c r="A6083">
        <v>10380</v>
      </c>
      <c r="B6083">
        <v>9218</v>
      </c>
      <c r="C6083">
        <v>22</v>
      </c>
      <c r="D6083">
        <v>114.1</v>
      </c>
      <c r="E6083">
        <v>3</v>
      </c>
    </row>
    <row r="6084" spans="1:5" x14ac:dyDescent="0.2">
      <c r="A6084">
        <v>10385</v>
      </c>
      <c r="B6084">
        <v>9222</v>
      </c>
      <c r="C6084">
        <v>23</v>
      </c>
      <c r="D6084">
        <v>114.3</v>
      </c>
      <c r="E6084">
        <v>3.1</v>
      </c>
    </row>
    <row r="6085" spans="1:5" x14ac:dyDescent="0.2">
      <c r="A6085">
        <v>10390</v>
      </c>
      <c r="B6085">
        <v>9222</v>
      </c>
      <c r="C6085">
        <v>22</v>
      </c>
      <c r="D6085">
        <v>115</v>
      </c>
      <c r="E6085">
        <v>3.1</v>
      </c>
    </row>
    <row r="6086" spans="1:5" x14ac:dyDescent="0.2">
      <c r="A6086">
        <v>10395</v>
      </c>
      <c r="B6086">
        <v>9220</v>
      </c>
      <c r="C6086">
        <v>23</v>
      </c>
      <c r="D6086">
        <v>115.9</v>
      </c>
      <c r="E6086">
        <v>3.2</v>
      </c>
    </row>
    <row r="6087" spans="1:5" x14ac:dyDescent="0.2">
      <c r="A6087">
        <v>10400</v>
      </c>
      <c r="B6087">
        <v>9219</v>
      </c>
      <c r="C6087">
        <v>25</v>
      </c>
      <c r="D6087">
        <v>116.7</v>
      </c>
      <c r="E6087">
        <v>3.5</v>
      </c>
    </row>
    <row r="6088" spans="1:5" x14ac:dyDescent="0.2">
      <c r="A6088">
        <v>10405</v>
      </c>
      <c r="B6088">
        <v>9223</v>
      </c>
      <c r="C6088">
        <v>24</v>
      </c>
      <c r="D6088">
        <v>116.8</v>
      </c>
      <c r="E6088">
        <v>3.4</v>
      </c>
    </row>
    <row r="6089" spans="1:5" x14ac:dyDescent="0.2">
      <c r="A6089">
        <v>10410</v>
      </c>
      <c r="B6089">
        <v>9231</v>
      </c>
      <c r="C6089">
        <v>21</v>
      </c>
      <c r="D6089">
        <v>116.3</v>
      </c>
      <c r="E6089">
        <v>3</v>
      </c>
    </row>
    <row r="6090" spans="1:5" x14ac:dyDescent="0.2">
      <c r="A6090">
        <v>10415</v>
      </c>
      <c r="B6090">
        <v>9239</v>
      </c>
      <c r="C6090">
        <v>21</v>
      </c>
      <c r="D6090">
        <v>116</v>
      </c>
      <c r="E6090">
        <v>2.9</v>
      </c>
    </row>
    <row r="6091" spans="1:5" x14ac:dyDescent="0.2">
      <c r="A6091">
        <v>10420</v>
      </c>
      <c r="B6091">
        <v>9243</v>
      </c>
      <c r="C6091">
        <v>21</v>
      </c>
      <c r="D6091">
        <v>116</v>
      </c>
      <c r="E6091">
        <v>2.9</v>
      </c>
    </row>
    <row r="6092" spans="1:5" x14ac:dyDescent="0.2">
      <c r="A6092">
        <v>10425</v>
      </c>
      <c r="B6092">
        <v>9247</v>
      </c>
      <c r="C6092">
        <v>24</v>
      </c>
      <c r="D6092">
        <v>116.2</v>
      </c>
      <c r="E6092">
        <v>3.3</v>
      </c>
    </row>
    <row r="6093" spans="1:5" x14ac:dyDescent="0.2">
      <c r="A6093">
        <v>10430</v>
      </c>
      <c r="B6093">
        <v>9252</v>
      </c>
      <c r="C6093">
        <v>27</v>
      </c>
      <c r="D6093">
        <v>116.1</v>
      </c>
      <c r="E6093">
        <v>3.7</v>
      </c>
    </row>
    <row r="6094" spans="1:5" x14ac:dyDescent="0.2">
      <c r="A6094">
        <v>10435</v>
      </c>
      <c r="B6094">
        <v>9262</v>
      </c>
      <c r="C6094">
        <v>26</v>
      </c>
      <c r="D6094">
        <v>115.5</v>
      </c>
      <c r="E6094">
        <v>3.6</v>
      </c>
    </row>
    <row r="6095" spans="1:5" x14ac:dyDescent="0.2">
      <c r="A6095">
        <v>10440</v>
      </c>
      <c r="B6095">
        <v>9274</v>
      </c>
      <c r="C6095">
        <v>23</v>
      </c>
      <c r="D6095">
        <v>114.5</v>
      </c>
      <c r="E6095">
        <v>3.2</v>
      </c>
    </row>
    <row r="6096" spans="1:5" x14ac:dyDescent="0.2">
      <c r="A6096">
        <v>10445</v>
      </c>
      <c r="B6096">
        <v>9283</v>
      </c>
      <c r="C6096">
        <v>23</v>
      </c>
      <c r="D6096">
        <v>113.9</v>
      </c>
      <c r="E6096">
        <v>3.2</v>
      </c>
    </row>
    <row r="6097" spans="1:5" x14ac:dyDescent="0.2">
      <c r="A6097">
        <v>10450</v>
      </c>
      <c r="B6097">
        <v>9283</v>
      </c>
      <c r="C6097">
        <v>22</v>
      </c>
      <c r="D6097">
        <v>114.6</v>
      </c>
      <c r="E6097">
        <v>3</v>
      </c>
    </row>
    <row r="6098" spans="1:5" x14ac:dyDescent="0.2">
      <c r="A6098">
        <v>10455</v>
      </c>
      <c r="B6098">
        <v>9274</v>
      </c>
      <c r="C6098">
        <v>22</v>
      </c>
      <c r="D6098">
        <v>116.4</v>
      </c>
      <c r="E6098">
        <v>3.1</v>
      </c>
    </row>
    <row r="6099" spans="1:5" x14ac:dyDescent="0.2">
      <c r="A6099">
        <v>10460</v>
      </c>
      <c r="B6099">
        <v>9260</v>
      </c>
      <c r="C6099">
        <v>23</v>
      </c>
      <c r="D6099">
        <v>119.2</v>
      </c>
      <c r="E6099">
        <v>3.2</v>
      </c>
    </row>
    <row r="6100" spans="1:5" x14ac:dyDescent="0.2">
      <c r="A6100">
        <v>10465</v>
      </c>
      <c r="B6100">
        <v>9242</v>
      </c>
      <c r="C6100">
        <v>22</v>
      </c>
      <c r="D6100">
        <v>122.3</v>
      </c>
      <c r="E6100">
        <v>3.1</v>
      </c>
    </row>
    <row r="6101" spans="1:5" x14ac:dyDescent="0.2">
      <c r="A6101">
        <v>10470</v>
      </c>
      <c r="B6101">
        <v>9229</v>
      </c>
      <c r="C6101">
        <v>24</v>
      </c>
      <c r="D6101">
        <v>124.9</v>
      </c>
      <c r="E6101">
        <v>3.3</v>
      </c>
    </row>
    <row r="6102" spans="1:5" x14ac:dyDescent="0.2">
      <c r="A6102">
        <v>10475</v>
      </c>
      <c r="B6102">
        <v>9225</v>
      </c>
      <c r="C6102">
        <v>23</v>
      </c>
      <c r="D6102">
        <v>126</v>
      </c>
      <c r="E6102">
        <v>3.3</v>
      </c>
    </row>
    <row r="6103" spans="1:5" x14ac:dyDescent="0.2">
      <c r="A6103">
        <v>10480</v>
      </c>
      <c r="B6103">
        <v>9231</v>
      </c>
      <c r="C6103">
        <v>23</v>
      </c>
      <c r="D6103">
        <v>125.8</v>
      </c>
      <c r="E6103">
        <v>3.2</v>
      </c>
    </row>
    <row r="6104" spans="1:5" x14ac:dyDescent="0.2">
      <c r="A6104">
        <v>10485</v>
      </c>
      <c r="B6104">
        <v>9243</v>
      </c>
      <c r="C6104">
        <v>23</v>
      </c>
      <c r="D6104">
        <v>124.9</v>
      </c>
      <c r="E6104">
        <v>3.3</v>
      </c>
    </row>
    <row r="6105" spans="1:5" x14ac:dyDescent="0.2">
      <c r="A6105">
        <v>10490</v>
      </c>
      <c r="B6105">
        <v>9257</v>
      </c>
      <c r="C6105">
        <v>23</v>
      </c>
      <c r="D6105">
        <v>123.6</v>
      </c>
      <c r="E6105">
        <v>3.2</v>
      </c>
    </row>
    <row r="6106" spans="1:5" x14ac:dyDescent="0.2">
      <c r="A6106">
        <v>10495</v>
      </c>
      <c r="B6106">
        <v>9272</v>
      </c>
      <c r="C6106">
        <v>22</v>
      </c>
      <c r="D6106">
        <v>122.2</v>
      </c>
      <c r="E6106">
        <v>3</v>
      </c>
    </row>
    <row r="6107" spans="1:5" x14ac:dyDescent="0.2">
      <c r="A6107">
        <v>10500</v>
      </c>
      <c r="B6107">
        <v>9286</v>
      </c>
      <c r="C6107">
        <v>23</v>
      </c>
      <c r="D6107">
        <v>120.9</v>
      </c>
      <c r="E6107">
        <v>3.2</v>
      </c>
    </row>
    <row r="6108" spans="1:5" x14ac:dyDescent="0.2">
      <c r="A6108">
        <v>10505</v>
      </c>
      <c r="B6108">
        <v>9301</v>
      </c>
      <c r="C6108">
        <v>23</v>
      </c>
      <c r="D6108">
        <v>119.5</v>
      </c>
      <c r="E6108">
        <v>3.2</v>
      </c>
    </row>
    <row r="6109" spans="1:5" x14ac:dyDescent="0.2">
      <c r="A6109">
        <v>10510</v>
      </c>
      <c r="B6109">
        <v>9314</v>
      </c>
      <c r="C6109">
        <v>23</v>
      </c>
      <c r="D6109">
        <v>118.3</v>
      </c>
      <c r="E6109">
        <v>3.2</v>
      </c>
    </row>
    <row r="6110" spans="1:5" x14ac:dyDescent="0.2">
      <c r="A6110">
        <v>10515</v>
      </c>
      <c r="B6110">
        <v>9326</v>
      </c>
      <c r="C6110">
        <v>24</v>
      </c>
      <c r="D6110">
        <v>117.4</v>
      </c>
      <c r="E6110">
        <v>3.3</v>
      </c>
    </row>
    <row r="6111" spans="1:5" x14ac:dyDescent="0.2">
      <c r="A6111">
        <v>10520</v>
      </c>
      <c r="B6111">
        <v>9333</v>
      </c>
      <c r="C6111">
        <v>22</v>
      </c>
      <c r="D6111">
        <v>117.1</v>
      </c>
      <c r="E6111">
        <v>3.1</v>
      </c>
    </row>
    <row r="6112" spans="1:5" x14ac:dyDescent="0.2">
      <c r="A6112">
        <v>10525</v>
      </c>
      <c r="B6112">
        <v>9336</v>
      </c>
      <c r="C6112">
        <v>21</v>
      </c>
      <c r="D6112">
        <v>117.4</v>
      </c>
      <c r="E6112">
        <v>3</v>
      </c>
    </row>
    <row r="6113" spans="1:5" x14ac:dyDescent="0.2">
      <c r="A6113">
        <v>10530</v>
      </c>
      <c r="B6113">
        <v>9334</v>
      </c>
      <c r="C6113">
        <v>22</v>
      </c>
      <c r="D6113">
        <v>118.3</v>
      </c>
      <c r="E6113">
        <v>3.1</v>
      </c>
    </row>
    <row r="6114" spans="1:5" x14ac:dyDescent="0.2">
      <c r="A6114">
        <v>10535</v>
      </c>
      <c r="B6114">
        <v>9327</v>
      </c>
      <c r="C6114">
        <v>22</v>
      </c>
      <c r="D6114">
        <v>119.9</v>
      </c>
      <c r="E6114">
        <v>3</v>
      </c>
    </row>
    <row r="6115" spans="1:5" x14ac:dyDescent="0.2">
      <c r="A6115">
        <v>10540</v>
      </c>
      <c r="B6115">
        <v>9319</v>
      </c>
      <c r="C6115">
        <v>22</v>
      </c>
      <c r="D6115">
        <v>121.7</v>
      </c>
      <c r="E6115">
        <v>3.1</v>
      </c>
    </row>
    <row r="6116" spans="1:5" x14ac:dyDescent="0.2">
      <c r="A6116">
        <v>10545</v>
      </c>
      <c r="B6116">
        <v>9314</v>
      </c>
      <c r="C6116">
        <v>23</v>
      </c>
      <c r="D6116">
        <v>123.1</v>
      </c>
      <c r="E6116">
        <v>3.3</v>
      </c>
    </row>
    <row r="6117" spans="1:5" x14ac:dyDescent="0.2">
      <c r="A6117">
        <v>10550</v>
      </c>
      <c r="B6117">
        <v>9314</v>
      </c>
      <c r="C6117">
        <v>22</v>
      </c>
      <c r="D6117">
        <v>123.7</v>
      </c>
      <c r="E6117">
        <v>3.1</v>
      </c>
    </row>
    <row r="6118" spans="1:5" x14ac:dyDescent="0.2">
      <c r="A6118">
        <v>10555</v>
      </c>
      <c r="B6118">
        <v>9319</v>
      </c>
      <c r="C6118">
        <v>23</v>
      </c>
      <c r="D6118">
        <v>123.8</v>
      </c>
      <c r="E6118">
        <v>3.2</v>
      </c>
    </row>
    <row r="6119" spans="1:5" x14ac:dyDescent="0.2">
      <c r="A6119">
        <v>10560</v>
      </c>
      <c r="B6119">
        <v>9326</v>
      </c>
      <c r="C6119">
        <v>24</v>
      </c>
      <c r="D6119">
        <v>123.5</v>
      </c>
      <c r="E6119">
        <v>3.3</v>
      </c>
    </row>
    <row r="6120" spans="1:5" x14ac:dyDescent="0.2">
      <c r="A6120">
        <v>10565</v>
      </c>
      <c r="B6120">
        <v>9334</v>
      </c>
      <c r="C6120">
        <v>23</v>
      </c>
      <c r="D6120">
        <v>123</v>
      </c>
      <c r="E6120">
        <v>3.2</v>
      </c>
    </row>
    <row r="6121" spans="1:5" x14ac:dyDescent="0.2">
      <c r="A6121">
        <v>10570</v>
      </c>
      <c r="B6121">
        <v>9345</v>
      </c>
      <c r="C6121">
        <v>23</v>
      </c>
      <c r="D6121">
        <v>122.2</v>
      </c>
      <c r="E6121">
        <v>3.3</v>
      </c>
    </row>
    <row r="6122" spans="1:5" x14ac:dyDescent="0.2">
      <c r="A6122">
        <v>10575</v>
      </c>
      <c r="B6122">
        <v>9361</v>
      </c>
      <c r="C6122">
        <v>23</v>
      </c>
      <c r="D6122">
        <v>120.6</v>
      </c>
      <c r="E6122">
        <v>3.2</v>
      </c>
    </row>
    <row r="6123" spans="1:5" x14ac:dyDescent="0.2">
      <c r="A6123">
        <v>10580</v>
      </c>
      <c r="B6123">
        <v>9379</v>
      </c>
      <c r="C6123">
        <v>23</v>
      </c>
      <c r="D6123">
        <v>118.8</v>
      </c>
      <c r="E6123">
        <v>3.1</v>
      </c>
    </row>
    <row r="6124" spans="1:5" x14ac:dyDescent="0.2">
      <c r="A6124">
        <v>10585</v>
      </c>
      <c r="B6124">
        <v>9395</v>
      </c>
      <c r="C6124">
        <v>23</v>
      </c>
      <c r="D6124">
        <v>117.2</v>
      </c>
      <c r="E6124">
        <v>3.3</v>
      </c>
    </row>
    <row r="6125" spans="1:5" x14ac:dyDescent="0.2">
      <c r="A6125">
        <v>10590</v>
      </c>
      <c r="B6125">
        <v>9405</v>
      </c>
      <c r="C6125">
        <v>22</v>
      </c>
      <c r="D6125">
        <v>116.5</v>
      </c>
      <c r="E6125">
        <v>3</v>
      </c>
    </row>
    <row r="6126" spans="1:5" x14ac:dyDescent="0.2">
      <c r="A6126">
        <v>10595</v>
      </c>
      <c r="B6126">
        <v>9412</v>
      </c>
      <c r="C6126">
        <v>22</v>
      </c>
      <c r="D6126">
        <v>116.2</v>
      </c>
      <c r="E6126">
        <v>3</v>
      </c>
    </row>
    <row r="6127" spans="1:5" x14ac:dyDescent="0.2">
      <c r="A6127">
        <v>10600</v>
      </c>
      <c r="B6127">
        <v>9418</v>
      </c>
      <c r="C6127">
        <v>23</v>
      </c>
      <c r="D6127">
        <v>116.1</v>
      </c>
      <c r="E6127">
        <v>3.2</v>
      </c>
    </row>
    <row r="6128" spans="1:5" x14ac:dyDescent="0.2">
      <c r="A6128">
        <v>10605</v>
      </c>
      <c r="B6128">
        <v>9425</v>
      </c>
      <c r="C6128">
        <v>22</v>
      </c>
      <c r="D6128">
        <v>115.8</v>
      </c>
      <c r="E6128">
        <v>3</v>
      </c>
    </row>
    <row r="6129" spans="1:5" x14ac:dyDescent="0.2">
      <c r="A6129">
        <v>10610</v>
      </c>
      <c r="B6129">
        <v>9429</v>
      </c>
      <c r="C6129">
        <v>21</v>
      </c>
      <c r="D6129">
        <v>115.9</v>
      </c>
      <c r="E6129">
        <v>2.9</v>
      </c>
    </row>
    <row r="6130" spans="1:5" x14ac:dyDescent="0.2">
      <c r="A6130">
        <v>10615</v>
      </c>
      <c r="B6130">
        <v>9424</v>
      </c>
      <c r="C6130">
        <v>21</v>
      </c>
      <c r="D6130">
        <v>117.3</v>
      </c>
      <c r="E6130">
        <v>2.9</v>
      </c>
    </row>
    <row r="6131" spans="1:5" x14ac:dyDescent="0.2">
      <c r="A6131">
        <v>10620</v>
      </c>
      <c r="B6131">
        <v>9413</v>
      </c>
      <c r="C6131">
        <v>23</v>
      </c>
      <c r="D6131">
        <v>119.4</v>
      </c>
      <c r="E6131">
        <v>3.2</v>
      </c>
    </row>
    <row r="6132" spans="1:5" x14ac:dyDescent="0.2">
      <c r="A6132">
        <v>10625</v>
      </c>
      <c r="B6132">
        <v>9402</v>
      </c>
      <c r="C6132">
        <v>21</v>
      </c>
      <c r="D6132">
        <v>121.6</v>
      </c>
      <c r="E6132">
        <v>3</v>
      </c>
    </row>
    <row r="6133" spans="1:5" x14ac:dyDescent="0.2">
      <c r="A6133">
        <v>10630</v>
      </c>
      <c r="B6133">
        <v>9392</v>
      </c>
      <c r="C6133">
        <v>21</v>
      </c>
      <c r="D6133">
        <v>123.7</v>
      </c>
      <c r="E6133">
        <v>3</v>
      </c>
    </row>
    <row r="6134" spans="1:5" x14ac:dyDescent="0.2">
      <c r="A6134">
        <v>10635</v>
      </c>
      <c r="B6134">
        <v>9384</v>
      </c>
      <c r="C6134">
        <v>22</v>
      </c>
      <c r="D6134">
        <v>125.6</v>
      </c>
      <c r="E6134">
        <v>3</v>
      </c>
    </row>
    <row r="6135" spans="1:5" x14ac:dyDescent="0.2">
      <c r="A6135">
        <v>10640</v>
      </c>
      <c r="B6135">
        <v>9381</v>
      </c>
      <c r="C6135">
        <v>23</v>
      </c>
      <c r="D6135">
        <v>126.6</v>
      </c>
      <c r="E6135">
        <v>3.2</v>
      </c>
    </row>
    <row r="6136" spans="1:5" x14ac:dyDescent="0.2">
      <c r="A6136">
        <v>10645</v>
      </c>
      <c r="B6136">
        <v>9389</v>
      </c>
      <c r="C6136">
        <v>22</v>
      </c>
      <c r="D6136">
        <v>126.2</v>
      </c>
      <c r="E6136">
        <v>3.1</v>
      </c>
    </row>
    <row r="6137" spans="1:5" x14ac:dyDescent="0.2">
      <c r="A6137">
        <v>10650</v>
      </c>
      <c r="B6137">
        <v>9404</v>
      </c>
      <c r="C6137">
        <v>21</v>
      </c>
      <c r="D6137">
        <v>124.8</v>
      </c>
      <c r="E6137">
        <v>3</v>
      </c>
    </row>
    <row r="6138" spans="1:5" x14ac:dyDescent="0.2">
      <c r="A6138">
        <v>10655</v>
      </c>
      <c r="B6138">
        <v>9419</v>
      </c>
      <c r="C6138">
        <v>21</v>
      </c>
      <c r="D6138">
        <v>123.4</v>
      </c>
      <c r="E6138">
        <v>3</v>
      </c>
    </row>
    <row r="6139" spans="1:5" x14ac:dyDescent="0.2">
      <c r="A6139">
        <v>10660</v>
      </c>
      <c r="B6139">
        <v>9429</v>
      </c>
      <c r="C6139">
        <v>22</v>
      </c>
      <c r="D6139">
        <v>122.7</v>
      </c>
      <c r="E6139">
        <v>3</v>
      </c>
    </row>
    <row r="6140" spans="1:5" x14ac:dyDescent="0.2">
      <c r="A6140">
        <v>10665</v>
      </c>
      <c r="B6140">
        <v>9433</v>
      </c>
      <c r="C6140">
        <v>22</v>
      </c>
      <c r="D6140">
        <v>122.8</v>
      </c>
      <c r="E6140">
        <v>3.1</v>
      </c>
    </row>
    <row r="6141" spans="1:5" x14ac:dyDescent="0.2">
      <c r="A6141">
        <v>10670</v>
      </c>
      <c r="B6141">
        <v>9432</v>
      </c>
      <c r="C6141">
        <v>22</v>
      </c>
      <c r="D6141">
        <v>123.5</v>
      </c>
      <c r="E6141">
        <v>3.1</v>
      </c>
    </row>
    <row r="6142" spans="1:5" x14ac:dyDescent="0.2">
      <c r="A6142">
        <v>10675</v>
      </c>
      <c r="B6142">
        <v>9431</v>
      </c>
      <c r="C6142">
        <v>23</v>
      </c>
      <c r="D6142">
        <v>124.3</v>
      </c>
      <c r="E6142">
        <v>3.2</v>
      </c>
    </row>
    <row r="6143" spans="1:5" x14ac:dyDescent="0.2">
      <c r="A6143">
        <v>10680</v>
      </c>
      <c r="B6143">
        <v>9432</v>
      </c>
      <c r="C6143">
        <v>22</v>
      </c>
      <c r="D6143">
        <v>124.9</v>
      </c>
      <c r="E6143">
        <v>3.1</v>
      </c>
    </row>
    <row r="6144" spans="1:5" x14ac:dyDescent="0.2">
      <c r="A6144">
        <v>10685</v>
      </c>
      <c r="B6144">
        <v>9436</v>
      </c>
      <c r="C6144">
        <v>22</v>
      </c>
      <c r="D6144">
        <v>125.1</v>
      </c>
      <c r="E6144">
        <v>3.1</v>
      </c>
    </row>
    <row r="6145" spans="1:5" x14ac:dyDescent="0.2">
      <c r="A6145">
        <v>10690</v>
      </c>
      <c r="B6145">
        <v>9443</v>
      </c>
      <c r="C6145">
        <v>22</v>
      </c>
      <c r="D6145">
        <v>124.7</v>
      </c>
      <c r="E6145">
        <v>3.1</v>
      </c>
    </row>
    <row r="6146" spans="1:5" x14ac:dyDescent="0.2">
      <c r="A6146">
        <v>10695</v>
      </c>
      <c r="B6146">
        <v>9453</v>
      </c>
      <c r="C6146">
        <v>21</v>
      </c>
      <c r="D6146">
        <v>124</v>
      </c>
      <c r="E6146">
        <v>2.9</v>
      </c>
    </row>
    <row r="6147" spans="1:5" x14ac:dyDescent="0.2">
      <c r="A6147">
        <v>10700</v>
      </c>
      <c r="B6147">
        <v>9463</v>
      </c>
      <c r="C6147">
        <v>22</v>
      </c>
      <c r="D6147">
        <v>123.3</v>
      </c>
      <c r="E6147">
        <v>3</v>
      </c>
    </row>
    <row r="6148" spans="1:5" x14ac:dyDescent="0.2">
      <c r="A6148">
        <v>10705</v>
      </c>
      <c r="B6148">
        <v>9471</v>
      </c>
      <c r="C6148">
        <v>23</v>
      </c>
      <c r="D6148">
        <v>122.9</v>
      </c>
      <c r="E6148">
        <v>3.2</v>
      </c>
    </row>
    <row r="6149" spans="1:5" x14ac:dyDescent="0.2">
      <c r="A6149">
        <v>10710</v>
      </c>
      <c r="B6149">
        <v>9477</v>
      </c>
      <c r="C6149">
        <v>23</v>
      </c>
      <c r="D6149">
        <v>122.7</v>
      </c>
      <c r="E6149">
        <v>3.2</v>
      </c>
    </row>
    <row r="6150" spans="1:5" x14ac:dyDescent="0.2">
      <c r="A6150">
        <v>10715</v>
      </c>
      <c r="B6150">
        <v>9482</v>
      </c>
      <c r="C6150">
        <v>25</v>
      </c>
      <c r="D6150">
        <v>122.7</v>
      </c>
      <c r="E6150">
        <v>3.5</v>
      </c>
    </row>
    <row r="6151" spans="1:5" x14ac:dyDescent="0.2">
      <c r="A6151">
        <v>10720</v>
      </c>
      <c r="B6151">
        <v>9486</v>
      </c>
      <c r="C6151">
        <v>28</v>
      </c>
      <c r="D6151">
        <v>122.8</v>
      </c>
      <c r="E6151">
        <v>4</v>
      </c>
    </row>
    <row r="6152" spans="1:5" x14ac:dyDescent="0.2">
      <c r="A6152">
        <v>10725</v>
      </c>
      <c r="B6152">
        <v>9490</v>
      </c>
      <c r="C6152">
        <v>32</v>
      </c>
      <c r="D6152">
        <v>122.9</v>
      </c>
      <c r="E6152">
        <v>4.5</v>
      </c>
    </row>
    <row r="6153" spans="1:5" x14ac:dyDescent="0.2">
      <c r="A6153">
        <v>10730</v>
      </c>
      <c r="B6153">
        <v>9494</v>
      </c>
      <c r="C6153">
        <v>34</v>
      </c>
      <c r="D6153">
        <v>123.1</v>
      </c>
      <c r="E6153">
        <v>4.8</v>
      </c>
    </row>
    <row r="6154" spans="1:5" x14ac:dyDescent="0.2">
      <c r="A6154">
        <v>10735</v>
      </c>
      <c r="B6154">
        <v>9498</v>
      </c>
      <c r="C6154">
        <v>34</v>
      </c>
      <c r="D6154">
        <v>123.2</v>
      </c>
      <c r="E6154">
        <v>4.8</v>
      </c>
    </row>
    <row r="6155" spans="1:5" x14ac:dyDescent="0.2">
      <c r="A6155">
        <v>10740</v>
      </c>
      <c r="B6155">
        <v>9503</v>
      </c>
      <c r="C6155">
        <v>33</v>
      </c>
      <c r="D6155">
        <v>123.2</v>
      </c>
      <c r="E6155">
        <v>4.5999999999999996</v>
      </c>
    </row>
    <row r="6156" spans="1:5" x14ac:dyDescent="0.2">
      <c r="A6156">
        <v>10745</v>
      </c>
      <c r="B6156">
        <v>9507</v>
      </c>
      <c r="C6156">
        <v>31</v>
      </c>
      <c r="D6156">
        <v>123.2</v>
      </c>
      <c r="E6156">
        <v>4.3</v>
      </c>
    </row>
    <row r="6157" spans="1:5" x14ac:dyDescent="0.2">
      <c r="A6157">
        <v>10750</v>
      </c>
      <c r="B6157">
        <v>9512</v>
      </c>
      <c r="C6157">
        <v>29</v>
      </c>
      <c r="D6157">
        <v>123.2</v>
      </c>
      <c r="E6157">
        <v>4</v>
      </c>
    </row>
    <row r="6158" spans="1:5" x14ac:dyDescent="0.2">
      <c r="A6158">
        <v>10755</v>
      </c>
      <c r="B6158">
        <v>9518</v>
      </c>
      <c r="C6158">
        <v>27</v>
      </c>
      <c r="D6158">
        <v>123.2</v>
      </c>
      <c r="E6158">
        <v>3.8</v>
      </c>
    </row>
    <row r="6159" spans="1:5" x14ac:dyDescent="0.2">
      <c r="A6159">
        <v>10760</v>
      </c>
      <c r="B6159">
        <v>9523</v>
      </c>
      <c r="C6159">
        <v>26</v>
      </c>
      <c r="D6159">
        <v>123</v>
      </c>
      <c r="E6159">
        <v>3.7</v>
      </c>
    </row>
    <row r="6160" spans="1:5" x14ac:dyDescent="0.2">
      <c r="A6160">
        <v>10765</v>
      </c>
      <c r="B6160">
        <v>9529</v>
      </c>
      <c r="C6160">
        <v>25</v>
      </c>
      <c r="D6160">
        <v>122.9</v>
      </c>
      <c r="E6160">
        <v>3.5</v>
      </c>
    </row>
    <row r="6161" spans="1:5" x14ac:dyDescent="0.2">
      <c r="A6161">
        <v>10770</v>
      </c>
      <c r="B6161">
        <v>9536</v>
      </c>
      <c r="C6161">
        <v>24</v>
      </c>
      <c r="D6161">
        <v>122.6</v>
      </c>
      <c r="E6161">
        <v>3.4</v>
      </c>
    </row>
    <row r="6162" spans="1:5" x14ac:dyDescent="0.2">
      <c r="A6162">
        <v>10775</v>
      </c>
      <c r="B6162">
        <v>9543</v>
      </c>
      <c r="C6162">
        <v>23</v>
      </c>
      <c r="D6162">
        <v>122.3</v>
      </c>
      <c r="E6162">
        <v>3.2</v>
      </c>
    </row>
    <row r="6163" spans="1:5" x14ac:dyDescent="0.2">
      <c r="A6163">
        <v>10780</v>
      </c>
      <c r="B6163">
        <v>9550</v>
      </c>
      <c r="C6163">
        <v>22</v>
      </c>
      <c r="D6163">
        <v>122</v>
      </c>
      <c r="E6163">
        <v>3</v>
      </c>
    </row>
    <row r="6164" spans="1:5" x14ac:dyDescent="0.2">
      <c r="A6164">
        <v>10785</v>
      </c>
      <c r="B6164">
        <v>9558</v>
      </c>
      <c r="C6164">
        <v>22</v>
      </c>
      <c r="D6164">
        <v>121.6</v>
      </c>
      <c r="E6164">
        <v>3</v>
      </c>
    </row>
    <row r="6165" spans="1:5" x14ac:dyDescent="0.2">
      <c r="A6165">
        <v>10790</v>
      </c>
      <c r="B6165">
        <v>9565</v>
      </c>
      <c r="C6165">
        <v>22</v>
      </c>
      <c r="D6165">
        <v>121.3</v>
      </c>
      <c r="E6165">
        <v>3.1</v>
      </c>
    </row>
    <row r="6166" spans="1:5" x14ac:dyDescent="0.2">
      <c r="A6166">
        <v>10795</v>
      </c>
      <c r="B6166">
        <v>9572</v>
      </c>
      <c r="C6166">
        <v>23</v>
      </c>
      <c r="D6166">
        <v>121</v>
      </c>
      <c r="E6166">
        <v>3.2</v>
      </c>
    </row>
    <row r="6167" spans="1:5" x14ac:dyDescent="0.2">
      <c r="A6167">
        <v>10800</v>
      </c>
      <c r="B6167">
        <v>9577</v>
      </c>
      <c r="C6167">
        <v>22</v>
      </c>
      <c r="D6167">
        <v>120.9</v>
      </c>
      <c r="E6167">
        <v>3</v>
      </c>
    </row>
    <row r="6168" spans="1:5" x14ac:dyDescent="0.2">
      <c r="A6168">
        <v>10805</v>
      </c>
      <c r="B6168">
        <v>9582</v>
      </c>
      <c r="C6168">
        <v>22</v>
      </c>
      <c r="D6168">
        <v>120.9</v>
      </c>
      <c r="E6168">
        <v>3</v>
      </c>
    </row>
    <row r="6169" spans="1:5" x14ac:dyDescent="0.2">
      <c r="A6169">
        <v>10810</v>
      </c>
      <c r="B6169">
        <v>9587</v>
      </c>
      <c r="C6169">
        <v>23</v>
      </c>
      <c r="D6169">
        <v>121</v>
      </c>
      <c r="E6169">
        <v>3.2</v>
      </c>
    </row>
    <row r="6170" spans="1:5" x14ac:dyDescent="0.2">
      <c r="A6170">
        <v>10815</v>
      </c>
      <c r="B6170">
        <v>9590</v>
      </c>
      <c r="C6170">
        <v>25</v>
      </c>
      <c r="D6170">
        <v>121.1</v>
      </c>
      <c r="E6170">
        <v>3.5</v>
      </c>
    </row>
    <row r="6171" spans="1:5" x14ac:dyDescent="0.2">
      <c r="A6171">
        <v>10820</v>
      </c>
      <c r="B6171">
        <v>9594</v>
      </c>
      <c r="C6171">
        <v>25</v>
      </c>
      <c r="D6171">
        <v>121.3</v>
      </c>
      <c r="E6171">
        <v>3.5</v>
      </c>
    </row>
    <row r="6172" spans="1:5" x14ac:dyDescent="0.2">
      <c r="A6172">
        <v>10825</v>
      </c>
      <c r="B6172">
        <v>9597</v>
      </c>
      <c r="C6172">
        <v>23</v>
      </c>
      <c r="D6172">
        <v>121.6</v>
      </c>
      <c r="E6172">
        <v>3.3</v>
      </c>
    </row>
    <row r="6173" spans="1:5" x14ac:dyDescent="0.2">
      <c r="A6173">
        <v>10830</v>
      </c>
      <c r="B6173">
        <v>9599</v>
      </c>
      <c r="C6173">
        <v>22</v>
      </c>
      <c r="D6173">
        <v>122</v>
      </c>
      <c r="E6173">
        <v>3.1</v>
      </c>
    </row>
    <row r="6174" spans="1:5" x14ac:dyDescent="0.2">
      <c r="A6174">
        <v>10835</v>
      </c>
      <c r="B6174">
        <v>9598</v>
      </c>
      <c r="C6174">
        <v>23</v>
      </c>
      <c r="D6174">
        <v>122.7</v>
      </c>
      <c r="E6174">
        <v>3.2</v>
      </c>
    </row>
    <row r="6175" spans="1:5" x14ac:dyDescent="0.2">
      <c r="A6175">
        <v>10840</v>
      </c>
      <c r="B6175">
        <v>9595</v>
      </c>
      <c r="C6175">
        <v>21</v>
      </c>
      <c r="D6175">
        <v>123.9</v>
      </c>
      <c r="E6175">
        <v>3</v>
      </c>
    </row>
    <row r="6176" spans="1:5" x14ac:dyDescent="0.2">
      <c r="A6176">
        <v>10845</v>
      </c>
      <c r="B6176">
        <v>9589</v>
      </c>
      <c r="C6176">
        <v>20</v>
      </c>
      <c r="D6176">
        <v>125.4</v>
      </c>
      <c r="E6176">
        <v>2.8</v>
      </c>
    </row>
    <row r="6177" spans="1:5" x14ac:dyDescent="0.2">
      <c r="A6177">
        <v>10850</v>
      </c>
      <c r="B6177">
        <v>9581</v>
      </c>
      <c r="C6177">
        <v>21</v>
      </c>
      <c r="D6177">
        <v>127.2</v>
      </c>
      <c r="E6177">
        <v>3</v>
      </c>
    </row>
    <row r="6178" spans="1:5" x14ac:dyDescent="0.2">
      <c r="A6178">
        <v>10855</v>
      </c>
      <c r="B6178">
        <v>9573</v>
      </c>
      <c r="C6178">
        <v>21</v>
      </c>
      <c r="D6178">
        <v>129</v>
      </c>
      <c r="E6178">
        <v>2.9</v>
      </c>
    </row>
    <row r="6179" spans="1:5" x14ac:dyDescent="0.2">
      <c r="A6179">
        <v>10860</v>
      </c>
      <c r="B6179">
        <v>9569</v>
      </c>
      <c r="C6179">
        <v>22</v>
      </c>
      <c r="D6179">
        <v>130.19999999999999</v>
      </c>
      <c r="E6179">
        <v>3.1</v>
      </c>
    </row>
    <row r="6180" spans="1:5" x14ac:dyDescent="0.2">
      <c r="A6180">
        <v>10865</v>
      </c>
      <c r="B6180">
        <v>9574</v>
      </c>
      <c r="C6180">
        <v>23</v>
      </c>
      <c r="D6180">
        <v>130.30000000000001</v>
      </c>
      <c r="E6180">
        <v>3.2</v>
      </c>
    </row>
    <row r="6181" spans="1:5" x14ac:dyDescent="0.2">
      <c r="A6181">
        <v>10870</v>
      </c>
      <c r="B6181">
        <v>9586</v>
      </c>
      <c r="C6181">
        <v>23</v>
      </c>
      <c r="D6181">
        <v>129.19999999999999</v>
      </c>
      <c r="E6181">
        <v>3.2</v>
      </c>
    </row>
    <row r="6182" spans="1:5" x14ac:dyDescent="0.2">
      <c r="A6182">
        <v>10875</v>
      </c>
      <c r="B6182">
        <v>9602</v>
      </c>
      <c r="C6182">
        <v>23</v>
      </c>
      <c r="D6182">
        <v>127.7</v>
      </c>
      <c r="E6182">
        <v>3.3</v>
      </c>
    </row>
    <row r="6183" spans="1:5" x14ac:dyDescent="0.2">
      <c r="A6183">
        <v>10880</v>
      </c>
      <c r="B6183">
        <v>9614</v>
      </c>
      <c r="C6183">
        <v>22</v>
      </c>
      <c r="D6183">
        <v>126.7</v>
      </c>
      <c r="E6183">
        <v>3.1</v>
      </c>
    </row>
    <row r="6184" spans="1:5" x14ac:dyDescent="0.2">
      <c r="A6184">
        <v>10885</v>
      </c>
      <c r="B6184">
        <v>9619</v>
      </c>
      <c r="C6184">
        <v>21</v>
      </c>
      <c r="D6184">
        <v>126.6</v>
      </c>
      <c r="E6184">
        <v>3</v>
      </c>
    </row>
    <row r="6185" spans="1:5" x14ac:dyDescent="0.2">
      <c r="A6185">
        <v>10890</v>
      </c>
      <c r="B6185">
        <v>9622</v>
      </c>
      <c r="C6185">
        <v>23</v>
      </c>
      <c r="D6185">
        <v>126.9</v>
      </c>
      <c r="E6185">
        <v>3.2</v>
      </c>
    </row>
    <row r="6186" spans="1:5" x14ac:dyDescent="0.2">
      <c r="A6186">
        <v>10895</v>
      </c>
      <c r="B6186">
        <v>9626</v>
      </c>
      <c r="C6186">
        <v>22</v>
      </c>
      <c r="D6186">
        <v>127.1</v>
      </c>
      <c r="E6186">
        <v>3.1</v>
      </c>
    </row>
    <row r="6187" spans="1:5" x14ac:dyDescent="0.2">
      <c r="A6187">
        <v>10900</v>
      </c>
      <c r="B6187">
        <v>9629</v>
      </c>
      <c r="C6187">
        <v>24</v>
      </c>
      <c r="D6187">
        <v>127.3</v>
      </c>
      <c r="E6187">
        <v>3.4</v>
      </c>
    </row>
    <row r="6188" spans="1:5" x14ac:dyDescent="0.2">
      <c r="A6188">
        <v>10905</v>
      </c>
      <c r="B6188">
        <v>9630</v>
      </c>
      <c r="C6188">
        <v>25</v>
      </c>
      <c r="D6188">
        <v>127.8</v>
      </c>
      <c r="E6188">
        <v>3.6</v>
      </c>
    </row>
    <row r="6189" spans="1:5" x14ac:dyDescent="0.2">
      <c r="A6189">
        <v>10910</v>
      </c>
      <c r="B6189">
        <v>9630</v>
      </c>
      <c r="C6189">
        <v>26</v>
      </c>
      <c r="D6189">
        <v>128.6</v>
      </c>
      <c r="E6189">
        <v>3.6</v>
      </c>
    </row>
    <row r="6190" spans="1:5" x14ac:dyDescent="0.2">
      <c r="A6190">
        <v>10915</v>
      </c>
      <c r="B6190">
        <v>9627</v>
      </c>
      <c r="C6190">
        <v>26</v>
      </c>
      <c r="D6190">
        <v>129.6</v>
      </c>
      <c r="E6190">
        <v>3.7</v>
      </c>
    </row>
    <row r="6191" spans="1:5" x14ac:dyDescent="0.2">
      <c r="A6191">
        <v>10920</v>
      </c>
      <c r="B6191">
        <v>9623</v>
      </c>
      <c r="C6191">
        <v>27</v>
      </c>
      <c r="D6191">
        <v>130.9</v>
      </c>
      <c r="E6191">
        <v>3.8</v>
      </c>
    </row>
    <row r="6192" spans="1:5" x14ac:dyDescent="0.2">
      <c r="A6192">
        <v>10925</v>
      </c>
      <c r="B6192">
        <v>9616</v>
      </c>
      <c r="C6192">
        <v>25</v>
      </c>
      <c r="D6192">
        <v>132.5</v>
      </c>
      <c r="E6192">
        <v>3.5</v>
      </c>
    </row>
    <row r="6193" spans="1:5" x14ac:dyDescent="0.2">
      <c r="A6193">
        <v>10930</v>
      </c>
      <c r="B6193">
        <v>9609</v>
      </c>
      <c r="C6193">
        <v>22</v>
      </c>
      <c r="D6193">
        <v>134.1</v>
      </c>
      <c r="E6193">
        <v>3.1</v>
      </c>
    </row>
    <row r="6194" spans="1:5" x14ac:dyDescent="0.2">
      <c r="A6194">
        <v>10935</v>
      </c>
      <c r="B6194">
        <v>9608</v>
      </c>
      <c r="C6194">
        <v>19</v>
      </c>
      <c r="D6194">
        <v>135</v>
      </c>
      <c r="E6194">
        <v>2.7</v>
      </c>
    </row>
    <row r="6195" spans="1:5" x14ac:dyDescent="0.2">
      <c r="A6195">
        <v>10940</v>
      </c>
      <c r="B6195">
        <v>9609</v>
      </c>
      <c r="C6195">
        <v>19</v>
      </c>
      <c r="D6195">
        <v>135.6</v>
      </c>
      <c r="E6195">
        <v>2.7</v>
      </c>
    </row>
    <row r="6196" spans="1:5" x14ac:dyDescent="0.2">
      <c r="A6196">
        <v>10945</v>
      </c>
      <c r="B6196">
        <v>9601</v>
      </c>
      <c r="C6196">
        <v>20</v>
      </c>
      <c r="D6196">
        <v>137.30000000000001</v>
      </c>
      <c r="E6196">
        <v>2.9</v>
      </c>
    </row>
    <row r="6197" spans="1:5" x14ac:dyDescent="0.2">
      <c r="A6197">
        <v>10950</v>
      </c>
      <c r="B6197">
        <v>9591</v>
      </c>
      <c r="C6197">
        <v>22</v>
      </c>
      <c r="D6197">
        <v>139.5</v>
      </c>
      <c r="E6197">
        <v>3.1</v>
      </c>
    </row>
    <row r="6198" spans="1:5" x14ac:dyDescent="0.2">
      <c r="A6198">
        <v>10955</v>
      </c>
      <c r="B6198">
        <v>9584</v>
      </c>
      <c r="C6198">
        <v>21</v>
      </c>
      <c r="D6198">
        <v>141.19999999999999</v>
      </c>
      <c r="E6198">
        <v>3</v>
      </c>
    </row>
    <row r="6199" spans="1:5" x14ac:dyDescent="0.2">
      <c r="A6199">
        <v>10960</v>
      </c>
      <c r="B6199">
        <v>9578</v>
      </c>
      <c r="C6199">
        <v>21</v>
      </c>
      <c r="D6199">
        <v>142.69999999999999</v>
      </c>
      <c r="E6199">
        <v>3</v>
      </c>
    </row>
    <row r="6200" spans="1:5" x14ac:dyDescent="0.2">
      <c r="A6200">
        <v>10965</v>
      </c>
      <c r="B6200">
        <v>9569</v>
      </c>
      <c r="C6200">
        <v>22</v>
      </c>
      <c r="D6200">
        <v>144.80000000000001</v>
      </c>
      <c r="E6200">
        <v>3.2</v>
      </c>
    </row>
    <row r="6201" spans="1:5" x14ac:dyDescent="0.2">
      <c r="A6201">
        <v>10970</v>
      </c>
      <c r="B6201">
        <v>9555</v>
      </c>
      <c r="C6201">
        <v>22</v>
      </c>
      <c r="D6201">
        <v>147.4</v>
      </c>
      <c r="E6201">
        <v>3.1</v>
      </c>
    </row>
    <row r="6202" spans="1:5" x14ac:dyDescent="0.2">
      <c r="A6202">
        <v>10975</v>
      </c>
      <c r="B6202">
        <v>9540</v>
      </c>
      <c r="C6202">
        <v>21</v>
      </c>
      <c r="D6202">
        <v>150.19999999999999</v>
      </c>
      <c r="E6202">
        <v>3</v>
      </c>
    </row>
    <row r="6203" spans="1:5" x14ac:dyDescent="0.2">
      <c r="A6203">
        <v>10980</v>
      </c>
      <c r="B6203">
        <v>9529</v>
      </c>
      <c r="C6203">
        <v>22</v>
      </c>
      <c r="D6203">
        <v>152.5</v>
      </c>
      <c r="E6203">
        <v>3.2</v>
      </c>
    </row>
    <row r="6204" spans="1:5" x14ac:dyDescent="0.2">
      <c r="A6204">
        <v>10985</v>
      </c>
      <c r="B6204">
        <v>9525</v>
      </c>
      <c r="C6204">
        <v>23</v>
      </c>
      <c r="D6204">
        <v>153.80000000000001</v>
      </c>
      <c r="E6204">
        <v>3.4</v>
      </c>
    </row>
    <row r="6205" spans="1:5" x14ac:dyDescent="0.2">
      <c r="A6205">
        <v>10990</v>
      </c>
      <c r="B6205">
        <v>9530</v>
      </c>
      <c r="C6205">
        <v>23</v>
      </c>
      <c r="D6205">
        <v>153.80000000000001</v>
      </c>
      <c r="E6205">
        <v>3.3</v>
      </c>
    </row>
    <row r="6206" spans="1:5" x14ac:dyDescent="0.2">
      <c r="A6206">
        <v>10995</v>
      </c>
      <c r="B6206">
        <v>9541</v>
      </c>
      <c r="C6206">
        <v>22</v>
      </c>
      <c r="D6206">
        <v>152.80000000000001</v>
      </c>
      <c r="E6206">
        <v>3.2</v>
      </c>
    </row>
    <row r="6207" spans="1:5" x14ac:dyDescent="0.2">
      <c r="A6207">
        <v>11000</v>
      </c>
      <c r="B6207">
        <v>9556</v>
      </c>
      <c r="C6207">
        <v>22</v>
      </c>
      <c r="D6207">
        <v>151.4</v>
      </c>
      <c r="E6207">
        <v>3.2</v>
      </c>
    </row>
    <row r="6208" spans="1:5" x14ac:dyDescent="0.2">
      <c r="A6208">
        <v>11005</v>
      </c>
      <c r="B6208">
        <v>9571</v>
      </c>
      <c r="C6208">
        <v>23</v>
      </c>
      <c r="D6208">
        <v>149.9</v>
      </c>
      <c r="E6208">
        <v>3.3</v>
      </c>
    </row>
    <row r="6209" spans="1:5" x14ac:dyDescent="0.2">
      <c r="A6209">
        <v>11010</v>
      </c>
      <c r="B6209">
        <v>9583</v>
      </c>
      <c r="C6209">
        <v>24</v>
      </c>
      <c r="D6209">
        <v>148.9</v>
      </c>
      <c r="E6209">
        <v>3.4</v>
      </c>
    </row>
    <row r="6210" spans="1:5" x14ac:dyDescent="0.2">
      <c r="A6210">
        <v>11015</v>
      </c>
      <c r="B6210">
        <v>9589</v>
      </c>
      <c r="C6210">
        <v>23</v>
      </c>
      <c r="D6210">
        <v>148.80000000000001</v>
      </c>
      <c r="E6210">
        <v>3.3</v>
      </c>
    </row>
    <row r="6211" spans="1:5" x14ac:dyDescent="0.2">
      <c r="A6211">
        <v>11020</v>
      </c>
      <c r="B6211">
        <v>9588</v>
      </c>
      <c r="C6211">
        <v>22</v>
      </c>
      <c r="D6211">
        <v>149.69999999999999</v>
      </c>
      <c r="E6211">
        <v>3.1</v>
      </c>
    </row>
    <row r="6212" spans="1:5" x14ac:dyDescent="0.2">
      <c r="A6212">
        <v>11025</v>
      </c>
      <c r="B6212">
        <v>9580</v>
      </c>
      <c r="C6212">
        <v>22</v>
      </c>
      <c r="D6212">
        <v>151.4</v>
      </c>
      <c r="E6212">
        <v>3.2</v>
      </c>
    </row>
    <row r="6213" spans="1:5" x14ac:dyDescent="0.2">
      <c r="A6213">
        <v>11030</v>
      </c>
      <c r="B6213">
        <v>9570</v>
      </c>
      <c r="C6213">
        <v>22</v>
      </c>
      <c r="D6213">
        <v>153.6</v>
      </c>
      <c r="E6213">
        <v>3.1</v>
      </c>
    </row>
    <row r="6214" spans="1:5" x14ac:dyDescent="0.2">
      <c r="A6214">
        <v>11035</v>
      </c>
      <c r="B6214">
        <v>9558</v>
      </c>
      <c r="C6214">
        <v>21</v>
      </c>
      <c r="D6214">
        <v>156</v>
      </c>
      <c r="E6214">
        <v>3</v>
      </c>
    </row>
    <row r="6215" spans="1:5" x14ac:dyDescent="0.2">
      <c r="A6215">
        <v>11040</v>
      </c>
      <c r="B6215">
        <v>9550</v>
      </c>
      <c r="C6215">
        <v>21</v>
      </c>
      <c r="D6215">
        <v>157.80000000000001</v>
      </c>
      <c r="E6215">
        <v>3</v>
      </c>
    </row>
    <row r="6216" spans="1:5" x14ac:dyDescent="0.2">
      <c r="A6216">
        <v>11045</v>
      </c>
      <c r="B6216">
        <v>9547</v>
      </c>
      <c r="C6216">
        <v>21</v>
      </c>
      <c r="D6216">
        <v>159.1</v>
      </c>
      <c r="E6216">
        <v>3</v>
      </c>
    </row>
    <row r="6217" spans="1:5" x14ac:dyDescent="0.2">
      <c r="A6217">
        <v>11050</v>
      </c>
      <c r="B6217">
        <v>9542</v>
      </c>
      <c r="C6217">
        <v>21</v>
      </c>
      <c r="D6217">
        <v>160.5</v>
      </c>
      <c r="E6217">
        <v>3.1</v>
      </c>
    </row>
    <row r="6218" spans="1:5" x14ac:dyDescent="0.2">
      <c r="A6218">
        <v>11055</v>
      </c>
      <c r="B6218">
        <v>9540</v>
      </c>
      <c r="C6218">
        <v>23</v>
      </c>
      <c r="D6218">
        <v>161.4</v>
      </c>
      <c r="E6218">
        <v>3.3</v>
      </c>
    </row>
    <row r="6219" spans="1:5" x14ac:dyDescent="0.2">
      <c r="A6219">
        <v>11060</v>
      </c>
      <c r="B6219">
        <v>9547</v>
      </c>
      <c r="C6219">
        <v>21</v>
      </c>
      <c r="D6219">
        <v>161.1</v>
      </c>
      <c r="E6219">
        <v>3.1</v>
      </c>
    </row>
    <row r="6220" spans="1:5" x14ac:dyDescent="0.2">
      <c r="A6220">
        <v>11065</v>
      </c>
      <c r="B6220">
        <v>9566</v>
      </c>
      <c r="C6220">
        <v>20</v>
      </c>
      <c r="D6220">
        <v>159</v>
      </c>
      <c r="E6220">
        <v>2.9</v>
      </c>
    </row>
    <row r="6221" spans="1:5" x14ac:dyDescent="0.2">
      <c r="A6221">
        <v>11070</v>
      </c>
      <c r="B6221">
        <v>9593</v>
      </c>
      <c r="C6221">
        <v>20</v>
      </c>
      <c r="D6221">
        <v>155.9</v>
      </c>
      <c r="E6221">
        <v>2.9</v>
      </c>
    </row>
    <row r="6222" spans="1:5" x14ac:dyDescent="0.2">
      <c r="A6222">
        <v>11075</v>
      </c>
      <c r="B6222">
        <v>9614</v>
      </c>
      <c r="C6222">
        <v>21</v>
      </c>
      <c r="D6222">
        <v>153.6</v>
      </c>
      <c r="E6222">
        <v>3</v>
      </c>
    </row>
    <row r="6223" spans="1:5" x14ac:dyDescent="0.2">
      <c r="A6223">
        <v>11080</v>
      </c>
      <c r="B6223">
        <v>9623</v>
      </c>
      <c r="C6223">
        <v>21</v>
      </c>
      <c r="D6223">
        <v>153</v>
      </c>
      <c r="E6223">
        <v>3.1</v>
      </c>
    </row>
    <row r="6224" spans="1:5" x14ac:dyDescent="0.2">
      <c r="A6224">
        <v>11085</v>
      </c>
      <c r="B6224">
        <v>9626</v>
      </c>
      <c r="C6224">
        <v>21</v>
      </c>
      <c r="D6224">
        <v>153.19999999999999</v>
      </c>
      <c r="E6224">
        <v>3</v>
      </c>
    </row>
    <row r="6225" spans="1:5" x14ac:dyDescent="0.2">
      <c r="A6225">
        <v>11090</v>
      </c>
      <c r="B6225">
        <v>9628</v>
      </c>
      <c r="C6225">
        <v>22</v>
      </c>
      <c r="D6225">
        <v>153.69999999999999</v>
      </c>
      <c r="E6225">
        <v>3.1</v>
      </c>
    </row>
    <row r="6226" spans="1:5" x14ac:dyDescent="0.2">
      <c r="A6226">
        <v>11095</v>
      </c>
      <c r="B6226">
        <v>9631</v>
      </c>
      <c r="C6226">
        <v>21</v>
      </c>
      <c r="D6226">
        <v>154</v>
      </c>
      <c r="E6226">
        <v>3.1</v>
      </c>
    </row>
    <row r="6227" spans="1:5" x14ac:dyDescent="0.2">
      <c r="A6227">
        <v>11100</v>
      </c>
      <c r="B6227">
        <v>9637</v>
      </c>
      <c r="C6227">
        <v>22</v>
      </c>
      <c r="D6227">
        <v>153.69999999999999</v>
      </c>
      <c r="E6227">
        <v>3.1</v>
      </c>
    </row>
    <row r="6228" spans="1:5" x14ac:dyDescent="0.2">
      <c r="A6228">
        <v>11105</v>
      </c>
      <c r="B6228">
        <v>9645</v>
      </c>
      <c r="C6228">
        <v>21</v>
      </c>
      <c r="D6228">
        <v>153.19999999999999</v>
      </c>
      <c r="E6228">
        <v>3.1</v>
      </c>
    </row>
    <row r="6229" spans="1:5" x14ac:dyDescent="0.2">
      <c r="A6229">
        <v>11110</v>
      </c>
      <c r="B6229">
        <v>9653</v>
      </c>
      <c r="C6229">
        <v>21</v>
      </c>
      <c r="D6229">
        <v>152.80000000000001</v>
      </c>
      <c r="E6229">
        <v>3</v>
      </c>
    </row>
    <row r="6230" spans="1:5" x14ac:dyDescent="0.2">
      <c r="A6230">
        <v>11115</v>
      </c>
      <c r="B6230">
        <v>9658</v>
      </c>
      <c r="C6230">
        <v>22</v>
      </c>
      <c r="D6230">
        <v>152.9</v>
      </c>
      <c r="E6230">
        <v>3.1</v>
      </c>
    </row>
    <row r="6231" spans="1:5" x14ac:dyDescent="0.2">
      <c r="A6231">
        <v>11120</v>
      </c>
      <c r="B6231">
        <v>9658</v>
      </c>
      <c r="C6231">
        <v>22</v>
      </c>
      <c r="D6231">
        <v>153.5</v>
      </c>
      <c r="E6231">
        <v>3.2</v>
      </c>
    </row>
    <row r="6232" spans="1:5" x14ac:dyDescent="0.2">
      <c r="A6232">
        <v>11125</v>
      </c>
      <c r="B6232">
        <v>9656</v>
      </c>
      <c r="C6232">
        <v>24</v>
      </c>
      <c r="D6232">
        <v>154.5</v>
      </c>
      <c r="E6232">
        <v>3.5</v>
      </c>
    </row>
    <row r="6233" spans="1:5" x14ac:dyDescent="0.2">
      <c r="A6233">
        <v>11130</v>
      </c>
      <c r="B6233">
        <v>9654</v>
      </c>
      <c r="C6233">
        <v>25</v>
      </c>
      <c r="D6233">
        <v>155.5</v>
      </c>
      <c r="E6233">
        <v>3.6</v>
      </c>
    </row>
    <row r="6234" spans="1:5" x14ac:dyDescent="0.2">
      <c r="A6234">
        <v>11135</v>
      </c>
      <c r="B6234">
        <v>9653</v>
      </c>
      <c r="C6234">
        <v>23</v>
      </c>
      <c r="D6234">
        <v>156.30000000000001</v>
      </c>
      <c r="E6234">
        <v>3.3</v>
      </c>
    </row>
    <row r="6235" spans="1:5" x14ac:dyDescent="0.2">
      <c r="A6235">
        <v>11140</v>
      </c>
      <c r="B6235">
        <v>9655</v>
      </c>
      <c r="C6235">
        <v>23</v>
      </c>
      <c r="D6235">
        <v>156.80000000000001</v>
      </c>
      <c r="E6235">
        <v>3.2</v>
      </c>
    </row>
    <row r="6236" spans="1:5" x14ac:dyDescent="0.2">
      <c r="A6236">
        <v>11145</v>
      </c>
      <c r="B6236">
        <v>9658</v>
      </c>
      <c r="C6236">
        <v>21</v>
      </c>
      <c r="D6236">
        <v>157</v>
      </c>
      <c r="E6236">
        <v>3</v>
      </c>
    </row>
    <row r="6237" spans="1:5" x14ac:dyDescent="0.2">
      <c r="A6237">
        <v>11150</v>
      </c>
      <c r="B6237">
        <v>9662</v>
      </c>
      <c r="C6237">
        <v>21</v>
      </c>
      <c r="D6237">
        <v>157.1</v>
      </c>
      <c r="E6237">
        <v>3</v>
      </c>
    </row>
    <row r="6238" spans="1:5" x14ac:dyDescent="0.2">
      <c r="A6238">
        <v>11155</v>
      </c>
      <c r="B6238">
        <v>9664</v>
      </c>
      <c r="C6238">
        <v>22</v>
      </c>
      <c r="D6238">
        <v>157.5</v>
      </c>
      <c r="E6238">
        <v>3.2</v>
      </c>
    </row>
    <row r="6239" spans="1:5" x14ac:dyDescent="0.2">
      <c r="A6239">
        <v>11160</v>
      </c>
      <c r="B6239">
        <v>9667</v>
      </c>
      <c r="C6239">
        <v>24</v>
      </c>
      <c r="D6239">
        <v>157.80000000000001</v>
      </c>
      <c r="E6239">
        <v>3.5</v>
      </c>
    </row>
    <row r="6240" spans="1:5" x14ac:dyDescent="0.2">
      <c r="A6240">
        <v>11165</v>
      </c>
      <c r="B6240">
        <v>9671</v>
      </c>
      <c r="C6240">
        <v>24</v>
      </c>
      <c r="D6240">
        <v>157.9</v>
      </c>
      <c r="E6240">
        <v>3.4</v>
      </c>
    </row>
    <row r="6241" spans="1:5" x14ac:dyDescent="0.2">
      <c r="A6241">
        <v>11170</v>
      </c>
      <c r="B6241">
        <v>9680</v>
      </c>
      <c r="C6241">
        <v>24</v>
      </c>
      <c r="D6241">
        <v>157.4</v>
      </c>
      <c r="E6241">
        <v>3.4</v>
      </c>
    </row>
    <row r="6242" spans="1:5" x14ac:dyDescent="0.2">
      <c r="A6242">
        <v>11175</v>
      </c>
      <c r="B6242">
        <v>9693</v>
      </c>
      <c r="C6242">
        <v>23</v>
      </c>
      <c r="D6242">
        <v>156.1</v>
      </c>
      <c r="E6242">
        <v>3.2</v>
      </c>
    </row>
    <row r="6243" spans="1:5" x14ac:dyDescent="0.2">
      <c r="A6243">
        <v>11180</v>
      </c>
      <c r="B6243">
        <v>9708</v>
      </c>
      <c r="C6243">
        <v>22</v>
      </c>
      <c r="D6243">
        <v>154.80000000000001</v>
      </c>
      <c r="E6243">
        <v>3.2</v>
      </c>
    </row>
    <row r="6244" spans="1:5" x14ac:dyDescent="0.2">
      <c r="A6244">
        <v>11185</v>
      </c>
      <c r="B6244">
        <v>9718</v>
      </c>
      <c r="C6244">
        <v>20</v>
      </c>
      <c r="D6244">
        <v>154</v>
      </c>
      <c r="E6244">
        <v>2.9</v>
      </c>
    </row>
    <row r="6245" spans="1:5" x14ac:dyDescent="0.2">
      <c r="A6245">
        <v>11190</v>
      </c>
      <c r="B6245">
        <v>9728</v>
      </c>
      <c r="C6245">
        <v>20</v>
      </c>
      <c r="D6245">
        <v>153.30000000000001</v>
      </c>
      <c r="E6245">
        <v>2.9</v>
      </c>
    </row>
    <row r="6246" spans="1:5" x14ac:dyDescent="0.2">
      <c r="A6246">
        <v>11195</v>
      </c>
      <c r="B6246">
        <v>9743</v>
      </c>
      <c r="C6246">
        <v>20</v>
      </c>
      <c r="D6246">
        <v>151.80000000000001</v>
      </c>
      <c r="E6246">
        <v>2.9</v>
      </c>
    </row>
    <row r="6247" spans="1:5" x14ac:dyDescent="0.2">
      <c r="A6247">
        <v>11200</v>
      </c>
      <c r="B6247">
        <v>9759</v>
      </c>
      <c r="C6247">
        <v>21</v>
      </c>
      <c r="D6247">
        <v>150.1</v>
      </c>
      <c r="E6247">
        <v>3</v>
      </c>
    </row>
    <row r="6248" spans="1:5" x14ac:dyDescent="0.2">
      <c r="A6248">
        <v>11205</v>
      </c>
      <c r="B6248">
        <v>9775</v>
      </c>
      <c r="C6248">
        <v>22</v>
      </c>
      <c r="D6248">
        <v>148.6</v>
      </c>
      <c r="E6248">
        <v>3.1</v>
      </c>
    </row>
    <row r="6249" spans="1:5" x14ac:dyDescent="0.2">
      <c r="A6249">
        <v>11210</v>
      </c>
      <c r="B6249">
        <v>9786</v>
      </c>
      <c r="C6249">
        <v>21</v>
      </c>
      <c r="D6249">
        <v>147.69999999999999</v>
      </c>
      <c r="E6249">
        <v>3</v>
      </c>
    </row>
    <row r="6250" spans="1:5" x14ac:dyDescent="0.2">
      <c r="A6250">
        <v>11215</v>
      </c>
      <c r="B6250">
        <v>9794</v>
      </c>
      <c r="C6250">
        <v>23</v>
      </c>
      <c r="D6250">
        <v>147.30000000000001</v>
      </c>
      <c r="E6250">
        <v>3.2</v>
      </c>
    </row>
    <row r="6251" spans="1:5" x14ac:dyDescent="0.2">
      <c r="A6251">
        <v>11220</v>
      </c>
      <c r="B6251">
        <v>9799</v>
      </c>
      <c r="C6251">
        <v>24</v>
      </c>
      <c r="D6251">
        <v>147.19999999999999</v>
      </c>
      <c r="E6251">
        <v>3.5</v>
      </c>
    </row>
    <row r="6252" spans="1:5" x14ac:dyDescent="0.2">
      <c r="A6252">
        <v>11225</v>
      </c>
      <c r="B6252">
        <v>9803</v>
      </c>
      <c r="C6252">
        <v>23</v>
      </c>
      <c r="D6252">
        <v>147.30000000000001</v>
      </c>
      <c r="E6252">
        <v>3.3</v>
      </c>
    </row>
    <row r="6253" spans="1:5" x14ac:dyDescent="0.2">
      <c r="A6253">
        <v>11230</v>
      </c>
      <c r="B6253">
        <v>9809</v>
      </c>
      <c r="C6253">
        <v>22</v>
      </c>
      <c r="D6253">
        <v>147.19999999999999</v>
      </c>
      <c r="E6253">
        <v>3.1</v>
      </c>
    </row>
    <row r="6254" spans="1:5" x14ac:dyDescent="0.2">
      <c r="A6254">
        <v>11235</v>
      </c>
      <c r="B6254">
        <v>9820</v>
      </c>
      <c r="C6254">
        <v>21</v>
      </c>
      <c r="D6254">
        <v>146.4</v>
      </c>
      <c r="E6254">
        <v>3</v>
      </c>
    </row>
    <row r="6255" spans="1:5" x14ac:dyDescent="0.2">
      <c r="A6255">
        <v>11240</v>
      </c>
      <c r="B6255">
        <v>9837</v>
      </c>
      <c r="C6255">
        <v>21</v>
      </c>
      <c r="D6255">
        <v>144.6</v>
      </c>
      <c r="E6255">
        <v>3.1</v>
      </c>
    </row>
    <row r="6256" spans="1:5" x14ac:dyDescent="0.2">
      <c r="A6256">
        <v>11245</v>
      </c>
      <c r="B6256">
        <v>9857</v>
      </c>
      <c r="C6256">
        <v>23</v>
      </c>
      <c r="D6256">
        <v>142.5</v>
      </c>
      <c r="E6256">
        <v>3.3</v>
      </c>
    </row>
    <row r="6257" spans="1:5" x14ac:dyDescent="0.2">
      <c r="A6257">
        <v>11250</v>
      </c>
      <c r="B6257">
        <v>9872</v>
      </c>
      <c r="C6257">
        <v>21</v>
      </c>
      <c r="D6257">
        <v>141</v>
      </c>
      <c r="E6257">
        <v>3</v>
      </c>
    </row>
    <row r="6258" spans="1:5" x14ac:dyDescent="0.2">
      <c r="A6258">
        <v>11255</v>
      </c>
      <c r="B6258">
        <v>9881</v>
      </c>
      <c r="C6258">
        <v>19</v>
      </c>
      <c r="D6258">
        <v>140.4</v>
      </c>
      <c r="E6258">
        <v>2.8</v>
      </c>
    </row>
    <row r="6259" spans="1:5" x14ac:dyDescent="0.2">
      <c r="A6259">
        <v>11260</v>
      </c>
      <c r="B6259">
        <v>9888</v>
      </c>
      <c r="C6259">
        <v>19</v>
      </c>
      <c r="D6259">
        <v>140</v>
      </c>
      <c r="E6259">
        <v>2.7</v>
      </c>
    </row>
    <row r="6260" spans="1:5" x14ac:dyDescent="0.2">
      <c r="A6260">
        <v>11265</v>
      </c>
      <c r="B6260">
        <v>9900</v>
      </c>
      <c r="C6260">
        <v>19</v>
      </c>
      <c r="D6260">
        <v>139</v>
      </c>
      <c r="E6260">
        <v>2.7</v>
      </c>
    </row>
    <row r="6261" spans="1:5" x14ac:dyDescent="0.2">
      <c r="A6261">
        <v>11270</v>
      </c>
      <c r="B6261">
        <v>9916</v>
      </c>
      <c r="C6261">
        <v>20</v>
      </c>
      <c r="D6261">
        <v>137.6</v>
      </c>
      <c r="E6261">
        <v>2.9</v>
      </c>
    </row>
    <row r="6262" spans="1:5" x14ac:dyDescent="0.2">
      <c r="A6262">
        <v>11275</v>
      </c>
      <c r="B6262">
        <v>9928</v>
      </c>
      <c r="C6262">
        <v>21</v>
      </c>
      <c r="D6262">
        <v>136.5</v>
      </c>
      <c r="E6262">
        <v>3</v>
      </c>
    </row>
    <row r="6263" spans="1:5" x14ac:dyDescent="0.2">
      <c r="A6263">
        <v>11280</v>
      </c>
      <c r="B6263">
        <v>9934</v>
      </c>
      <c r="C6263">
        <v>21</v>
      </c>
      <c r="D6263">
        <v>136.4</v>
      </c>
      <c r="E6263">
        <v>2.9</v>
      </c>
    </row>
    <row r="6264" spans="1:5" x14ac:dyDescent="0.2">
      <c r="A6264">
        <v>11285</v>
      </c>
      <c r="B6264">
        <v>9935</v>
      </c>
      <c r="C6264">
        <v>23</v>
      </c>
      <c r="D6264">
        <v>136.9</v>
      </c>
      <c r="E6264">
        <v>3.2</v>
      </c>
    </row>
    <row r="6265" spans="1:5" x14ac:dyDescent="0.2">
      <c r="A6265">
        <v>11290</v>
      </c>
      <c r="B6265">
        <v>9935</v>
      </c>
      <c r="C6265">
        <v>24</v>
      </c>
      <c r="D6265">
        <v>137.6</v>
      </c>
      <c r="E6265">
        <v>3.4</v>
      </c>
    </row>
    <row r="6266" spans="1:5" x14ac:dyDescent="0.2">
      <c r="A6266">
        <v>11295</v>
      </c>
      <c r="B6266">
        <v>9933</v>
      </c>
      <c r="C6266">
        <v>24</v>
      </c>
      <c r="D6266">
        <v>138.5</v>
      </c>
      <c r="E6266">
        <v>3.3</v>
      </c>
    </row>
    <row r="6267" spans="1:5" x14ac:dyDescent="0.2">
      <c r="A6267">
        <v>11300</v>
      </c>
      <c r="B6267">
        <v>9932</v>
      </c>
      <c r="C6267">
        <v>23</v>
      </c>
      <c r="D6267">
        <v>139.4</v>
      </c>
      <c r="E6267">
        <v>3.3</v>
      </c>
    </row>
    <row r="6268" spans="1:5" x14ac:dyDescent="0.2">
      <c r="A6268">
        <v>11305</v>
      </c>
      <c r="B6268">
        <v>9932</v>
      </c>
      <c r="C6268">
        <v>25</v>
      </c>
      <c r="D6268">
        <v>140.1</v>
      </c>
      <c r="E6268">
        <v>3.5</v>
      </c>
    </row>
    <row r="6269" spans="1:5" x14ac:dyDescent="0.2">
      <c r="A6269">
        <v>11310</v>
      </c>
      <c r="B6269">
        <v>9933</v>
      </c>
      <c r="C6269">
        <v>26</v>
      </c>
      <c r="D6269">
        <v>140.6</v>
      </c>
      <c r="E6269">
        <v>3.7</v>
      </c>
    </row>
    <row r="6270" spans="1:5" x14ac:dyDescent="0.2">
      <c r="A6270">
        <v>11315</v>
      </c>
      <c r="B6270">
        <v>9938</v>
      </c>
      <c r="C6270">
        <v>25</v>
      </c>
      <c r="D6270">
        <v>140.6</v>
      </c>
      <c r="E6270">
        <v>3.5</v>
      </c>
    </row>
    <row r="6271" spans="1:5" x14ac:dyDescent="0.2">
      <c r="A6271">
        <v>11320</v>
      </c>
      <c r="B6271">
        <v>9945</v>
      </c>
      <c r="C6271">
        <v>23</v>
      </c>
      <c r="D6271">
        <v>140.30000000000001</v>
      </c>
      <c r="E6271">
        <v>3.2</v>
      </c>
    </row>
    <row r="6272" spans="1:5" x14ac:dyDescent="0.2">
      <c r="A6272">
        <v>11325</v>
      </c>
      <c r="B6272">
        <v>9952</v>
      </c>
      <c r="C6272">
        <v>23</v>
      </c>
      <c r="D6272">
        <v>140</v>
      </c>
      <c r="E6272">
        <v>3.2</v>
      </c>
    </row>
    <row r="6273" spans="1:5" x14ac:dyDescent="0.2">
      <c r="A6273">
        <v>11330</v>
      </c>
      <c r="B6273">
        <v>9956</v>
      </c>
      <c r="C6273">
        <v>22</v>
      </c>
      <c r="D6273">
        <v>140.1</v>
      </c>
      <c r="E6273">
        <v>3.1</v>
      </c>
    </row>
    <row r="6274" spans="1:5" x14ac:dyDescent="0.2">
      <c r="A6274">
        <v>11335</v>
      </c>
      <c r="B6274">
        <v>9957</v>
      </c>
      <c r="C6274">
        <v>21</v>
      </c>
      <c r="D6274">
        <v>140.6</v>
      </c>
      <c r="E6274">
        <v>3</v>
      </c>
    </row>
    <row r="6275" spans="1:5" x14ac:dyDescent="0.2">
      <c r="A6275">
        <v>11340</v>
      </c>
      <c r="B6275">
        <v>9961</v>
      </c>
      <c r="C6275">
        <v>24</v>
      </c>
      <c r="D6275">
        <v>140.80000000000001</v>
      </c>
      <c r="E6275">
        <v>3.4</v>
      </c>
    </row>
    <row r="6276" spans="1:5" x14ac:dyDescent="0.2">
      <c r="A6276">
        <v>11345</v>
      </c>
      <c r="B6276">
        <v>9967</v>
      </c>
      <c r="C6276">
        <v>26</v>
      </c>
      <c r="D6276">
        <v>140.6</v>
      </c>
      <c r="E6276">
        <v>3.7</v>
      </c>
    </row>
    <row r="6277" spans="1:5" x14ac:dyDescent="0.2">
      <c r="A6277">
        <v>11350</v>
      </c>
      <c r="B6277">
        <v>9975</v>
      </c>
      <c r="C6277">
        <v>27</v>
      </c>
      <c r="D6277">
        <v>140.19999999999999</v>
      </c>
      <c r="E6277">
        <v>3.8</v>
      </c>
    </row>
    <row r="6278" spans="1:5" x14ac:dyDescent="0.2">
      <c r="A6278">
        <v>11355</v>
      </c>
      <c r="B6278">
        <v>9982</v>
      </c>
      <c r="C6278">
        <v>27</v>
      </c>
      <c r="D6278">
        <v>139.80000000000001</v>
      </c>
      <c r="E6278">
        <v>3.9</v>
      </c>
    </row>
    <row r="6279" spans="1:5" x14ac:dyDescent="0.2">
      <c r="A6279">
        <v>11360</v>
      </c>
      <c r="B6279">
        <v>9987</v>
      </c>
      <c r="C6279">
        <v>28</v>
      </c>
      <c r="D6279">
        <v>139.80000000000001</v>
      </c>
      <c r="E6279">
        <v>4</v>
      </c>
    </row>
    <row r="6280" spans="1:5" x14ac:dyDescent="0.2">
      <c r="A6280">
        <v>11365</v>
      </c>
      <c r="B6280">
        <v>9987</v>
      </c>
      <c r="C6280">
        <v>28</v>
      </c>
      <c r="D6280">
        <v>140.5</v>
      </c>
      <c r="E6280">
        <v>4</v>
      </c>
    </row>
    <row r="6281" spans="1:5" x14ac:dyDescent="0.2">
      <c r="A6281">
        <v>11370</v>
      </c>
      <c r="B6281">
        <v>9980</v>
      </c>
      <c r="C6281">
        <v>26</v>
      </c>
      <c r="D6281">
        <v>142.19999999999999</v>
      </c>
      <c r="E6281">
        <v>3.7</v>
      </c>
    </row>
    <row r="6282" spans="1:5" x14ac:dyDescent="0.2">
      <c r="A6282">
        <v>11375</v>
      </c>
      <c r="B6282">
        <v>9966</v>
      </c>
      <c r="C6282">
        <v>23</v>
      </c>
      <c r="D6282">
        <v>145</v>
      </c>
      <c r="E6282">
        <v>3.3</v>
      </c>
    </row>
    <row r="6283" spans="1:5" x14ac:dyDescent="0.2">
      <c r="A6283">
        <v>11380</v>
      </c>
      <c r="B6283">
        <v>9951</v>
      </c>
      <c r="C6283">
        <v>23</v>
      </c>
      <c r="D6283">
        <v>147.69999999999999</v>
      </c>
      <c r="E6283">
        <v>3.3</v>
      </c>
    </row>
    <row r="6284" spans="1:5" x14ac:dyDescent="0.2">
      <c r="A6284">
        <v>11385</v>
      </c>
      <c r="B6284">
        <v>9945</v>
      </c>
      <c r="C6284">
        <v>24</v>
      </c>
      <c r="D6284">
        <v>149.19999999999999</v>
      </c>
      <c r="E6284">
        <v>3.5</v>
      </c>
    </row>
    <row r="6285" spans="1:5" x14ac:dyDescent="0.2">
      <c r="A6285">
        <v>11390</v>
      </c>
      <c r="B6285">
        <v>9955</v>
      </c>
      <c r="C6285">
        <v>23</v>
      </c>
      <c r="D6285">
        <v>148.5</v>
      </c>
      <c r="E6285">
        <v>3.2</v>
      </c>
    </row>
    <row r="6286" spans="1:5" x14ac:dyDescent="0.2">
      <c r="A6286">
        <v>11395</v>
      </c>
      <c r="B6286">
        <v>9977</v>
      </c>
      <c r="C6286">
        <v>23</v>
      </c>
      <c r="D6286">
        <v>146.1</v>
      </c>
      <c r="E6286">
        <v>3.3</v>
      </c>
    </row>
    <row r="6287" spans="1:5" x14ac:dyDescent="0.2">
      <c r="A6287">
        <v>11400</v>
      </c>
      <c r="B6287">
        <v>10003</v>
      </c>
      <c r="C6287">
        <v>23</v>
      </c>
      <c r="D6287">
        <v>143.1</v>
      </c>
      <c r="E6287">
        <v>3.2</v>
      </c>
    </row>
    <row r="6288" spans="1:5" x14ac:dyDescent="0.2">
      <c r="A6288">
        <v>11405</v>
      </c>
      <c r="B6288">
        <v>10027</v>
      </c>
      <c r="C6288">
        <v>22</v>
      </c>
      <c r="D6288">
        <v>140.4</v>
      </c>
      <c r="E6288">
        <v>3.2</v>
      </c>
    </row>
    <row r="6289" spans="1:5" x14ac:dyDescent="0.2">
      <c r="A6289">
        <v>11410</v>
      </c>
      <c r="B6289">
        <v>10043</v>
      </c>
      <c r="C6289">
        <v>23</v>
      </c>
      <c r="D6289">
        <v>138.69999999999999</v>
      </c>
      <c r="E6289">
        <v>3.2</v>
      </c>
    </row>
    <row r="6290" spans="1:5" x14ac:dyDescent="0.2">
      <c r="A6290">
        <v>11415</v>
      </c>
      <c r="B6290">
        <v>10049</v>
      </c>
      <c r="C6290">
        <v>22</v>
      </c>
      <c r="D6290">
        <v>138.6</v>
      </c>
      <c r="E6290">
        <v>3.2</v>
      </c>
    </row>
    <row r="6291" spans="1:5" x14ac:dyDescent="0.2">
      <c r="A6291">
        <v>11420</v>
      </c>
      <c r="B6291">
        <v>10045</v>
      </c>
      <c r="C6291">
        <v>22</v>
      </c>
      <c r="D6291">
        <v>139.9</v>
      </c>
      <c r="E6291">
        <v>3.1</v>
      </c>
    </row>
    <row r="6292" spans="1:5" x14ac:dyDescent="0.2">
      <c r="A6292">
        <v>11425</v>
      </c>
      <c r="B6292">
        <v>10037</v>
      </c>
      <c r="C6292">
        <v>23</v>
      </c>
      <c r="D6292">
        <v>141.80000000000001</v>
      </c>
      <c r="E6292">
        <v>3.3</v>
      </c>
    </row>
    <row r="6293" spans="1:5" x14ac:dyDescent="0.2">
      <c r="A6293">
        <v>11430</v>
      </c>
      <c r="B6293">
        <v>10029</v>
      </c>
      <c r="C6293">
        <v>23</v>
      </c>
      <c r="D6293">
        <v>143.6</v>
      </c>
      <c r="E6293">
        <v>3.3</v>
      </c>
    </row>
    <row r="6294" spans="1:5" x14ac:dyDescent="0.2">
      <c r="A6294">
        <v>11435</v>
      </c>
      <c r="B6294">
        <v>10024</v>
      </c>
      <c r="C6294">
        <v>22</v>
      </c>
      <c r="D6294">
        <v>144.9</v>
      </c>
      <c r="E6294">
        <v>3.1</v>
      </c>
    </row>
    <row r="6295" spans="1:5" x14ac:dyDescent="0.2">
      <c r="A6295">
        <v>11440</v>
      </c>
      <c r="B6295">
        <v>10021</v>
      </c>
      <c r="C6295">
        <v>22</v>
      </c>
      <c r="D6295">
        <v>146</v>
      </c>
      <c r="E6295">
        <v>3.1</v>
      </c>
    </row>
    <row r="6296" spans="1:5" x14ac:dyDescent="0.2">
      <c r="A6296">
        <v>11445</v>
      </c>
      <c r="B6296">
        <v>10017</v>
      </c>
      <c r="C6296">
        <v>21</v>
      </c>
      <c r="D6296">
        <v>147.30000000000001</v>
      </c>
      <c r="E6296">
        <v>3</v>
      </c>
    </row>
    <row r="6297" spans="1:5" x14ac:dyDescent="0.2">
      <c r="A6297">
        <v>11450</v>
      </c>
      <c r="B6297">
        <v>10011</v>
      </c>
      <c r="C6297">
        <v>21</v>
      </c>
      <c r="D6297">
        <v>148.9</v>
      </c>
      <c r="E6297">
        <v>3</v>
      </c>
    </row>
    <row r="6298" spans="1:5" x14ac:dyDescent="0.2">
      <c r="A6298">
        <v>11455</v>
      </c>
      <c r="B6298">
        <v>10007</v>
      </c>
      <c r="C6298">
        <v>23</v>
      </c>
      <c r="D6298">
        <v>150.1</v>
      </c>
      <c r="E6298">
        <v>3.3</v>
      </c>
    </row>
    <row r="6299" spans="1:5" x14ac:dyDescent="0.2">
      <c r="A6299">
        <v>11460</v>
      </c>
      <c r="B6299">
        <v>10008</v>
      </c>
      <c r="C6299">
        <v>23</v>
      </c>
      <c r="D6299">
        <v>150.80000000000001</v>
      </c>
      <c r="E6299">
        <v>3.3</v>
      </c>
    </row>
    <row r="6300" spans="1:5" x14ac:dyDescent="0.2">
      <c r="A6300">
        <v>11465</v>
      </c>
      <c r="B6300">
        <v>10011</v>
      </c>
      <c r="C6300">
        <v>22</v>
      </c>
      <c r="D6300">
        <v>150.9</v>
      </c>
      <c r="E6300">
        <v>3.2</v>
      </c>
    </row>
    <row r="6301" spans="1:5" x14ac:dyDescent="0.2">
      <c r="A6301">
        <v>11470</v>
      </c>
      <c r="B6301">
        <v>10016</v>
      </c>
      <c r="C6301">
        <v>22</v>
      </c>
      <c r="D6301">
        <v>151</v>
      </c>
      <c r="E6301">
        <v>3.2</v>
      </c>
    </row>
    <row r="6302" spans="1:5" x14ac:dyDescent="0.2">
      <c r="A6302">
        <v>11475</v>
      </c>
      <c r="B6302">
        <v>10018</v>
      </c>
      <c r="C6302">
        <v>22</v>
      </c>
      <c r="D6302">
        <v>151.30000000000001</v>
      </c>
      <c r="E6302">
        <v>3.1</v>
      </c>
    </row>
    <row r="6303" spans="1:5" x14ac:dyDescent="0.2">
      <c r="A6303">
        <v>11480</v>
      </c>
      <c r="B6303">
        <v>10019</v>
      </c>
      <c r="C6303">
        <v>23</v>
      </c>
      <c r="D6303">
        <v>151.9</v>
      </c>
      <c r="E6303">
        <v>3.3</v>
      </c>
    </row>
    <row r="6304" spans="1:5" x14ac:dyDescent="0.2">
      <c r="A6304">
        <v>11485</v>
      </c>
      <c r="B6304">
        <v>10018</v>
      </c>
      <c r="C6304">
        <v>24</v>
      </c>
      <c r="D6304">
        <v>152.69999999999999</v>
      </c>
      <c r="E6304">
        <v>3.5</v>
      </c>
    </row>
    <row r="6305" spans="1:5" x14ac:dyDescent="0.2">
      <c r="A6305">
        <v>11490</v>
      </c>
      <c r="B6305">
        <v>10018</v>
      </c>
      <c r="C6305">
        <v>23</v>
      </c>
      <c r="D6305">
        <v>153.5</v>
      </c>
      <c r="E6305">
        <v>3.3</v>
      </c>
    </row>
    <row r="6306" spans="1:5" x14ac:dyDescent="0.2">
      <c r="A6306">
        <v>11495</v>
      </c>
      <c r="B6306">
        <v>10021</v>
      </c>
      <c r="C6306">
        <v>22</v>
      </c>
      <c r="D6306">
        <v>153.69999999999999</v>
      </c>
      <c r="E6306">
        <v>3.2</v>
      </c>
    </row>
    <row r="6307" spans="1:5" x14ac:dyDescent="0.2">
      <c r="A6307">
        <v>11500</v>
      </c>
      <c r="B6307">
        <v>10030</v>
      </c>
      <c r="C6307">
        <v>22</v>
      </c>
      <c r="D6307">
        <v>153.1</v>
      </c>
      <c r="E6307">
        <v>3.1</v>
      </c>
    </row>
    <row r="6308" spans="1:5" x14ac:dyDescent="0.2">
      <c r="A6308">
        <v>11505</v>
      </c>
      <c r="B6308">
        <v>10044</v>
      </c>
      <c r="C6308">
        <v>21</v>
      </c>
      <c r="D6308">
        <v>151.80000000000001</v>
      </c>
      <c r="E6308">
        <v>3</v>
      </c>
    </row>
    <row r="6309" spans="1:5" x14ac:dyDescent="0.2">
      <c r="A6309">
        <v>11510</v>
      </c>
      <c r="B6309">
        <v>10057</v>
      </c>
      <c r="C6309">
        <v>21</v>
      </c>
      <c r="D6309">
        <v>150.69999999999999</v>
      </c>
      <c r="E6309">
        <v>3.1</v>
      </c>
    </row>
    <row r="6310" spans="1:5" x14ac:dyDescent="0.2">
      <c r="A6310">
        <v>11515</v>
      </c>
      <c r="B6310">
        <v>10062</v>
      </c>
      <c r="C6310">
        <v>22</v>
      </c>
      <c r="D6310">
        <v>150.6</v>
      </c>
      <c r="E6310">
        <v>3.2</v>
      </c>
    </row>
    <row r="6311" spans="1:5" x14ac:dyDescent="0.2">
      <c r="A6311">
        <v>11520</v>
      </c>
      <c r="B6311">
        <v>10057</v>
      </c>
      <c r="C6311">
        <v>22</v>
      </c>
      <c r="D6311">
        <v>152</v>
      </c>
      <c r="E6311">
        <v>3.1</v>
      </c>
    </row>
    <row r="6312" spans="1:5" x14ac:dyDescent="0.2">
      <c r="A6312">
        <v>11525</v>
      </c>
      <c r="B6312">
        <v>10046</v>
      </c>
      <c r="C6312">
        <v>22</v>
      </c>
      <c r="D6312">
        <v>154.30000000000001</v>
      </c>
      <c r="E6312">
        <v>3.1</v>
      </c>
    </row>
    <row r="6313" spans="1:5" x14ac:dyDescent="0.2">
      <c r="A6313">
        <v>11530</v>
      </c>
      <c r="B6313">
        <v>10036</v>
      </c>
      <c r="C6313">
        <v>22</v>
      </c>
      <c r="D6313">
        <v>156.5</v>
      </c>
      <c r="E6313">
        <v>3.2</v>
      </c>
    </row>
    <row r="6314" spans="1:5" x14ac:dyDescent="0.2">
      <c r="A6314">
        <v>11535</v>
      </c>
      <c r="B6314">
        <v>10032</v>
      </c>
      <c r="C6314">
        <v>21</v>
      </c>
      <c r="D6314">
        <v>157.69999999999999</v>
      </c>
      <c r="E6314">
        <v>3</v>
      </c>
    </row>
    <row r="6315" spans="1:5" x14ac:dyDescent="0.2">
      <c r="A6315">
        <v>11540</v>
      </c>
      <c r="B6315">
        <v>10033</v>
      </c>
      <c r="C6315">
        <v>21</v>
      </c>
      <c r="D6315">
        <v>158.19999999999999</v>
      </c>
      <c r="E6315">
        <v>3.1</v>
      </c>
    </row>
    <row r="6316" spans="1:5" x14ac:dyDescent="0.2">
      <c r="A6316">
        <v>11545</v>
      </c>
      <c r="B6316">
        <v>10035</v>
      </c>
      <c r="C6316">
        <v>23</v>
      </c>
      <c r="D6316">
        <v>158.69999999999999</v>
      </c>
      <c r="E6316">
        <v>3.3</v>
      </c>
    </row>
    <row r="6317" spans="1:5" x14ac:dyDescent="0.2">
      <c r="A6317">
        <v>11550</v>
      </c>
      <c r="B6317">
        <v>10032</v>
      </c>
      <c r="C6317">
        <v>22</v>
      </c>
      <c r="D6317">
        <v>159.80000000000001</v>
      </c>
      <c r="E6317">
        <v>3.2</v>
      </c>
    </row>
    <row r="6318" spans="1:5" x14ac:dyDescent="0.2">
      <c r="A6318">
        <v>11555</v>
      </c>
      <c r="B6318">
        <v>10028</v>
      </c>
      <c r="C6318">
        <v>21</v>
      </c>
      <c r="D6318">
        <v>161.1</v>
      </c>
      <c r="E6318">
        <v>3.1</v>
      </c>
    </row>
    <row r="6319" spans="1:5" x14ac:dyDescent="0.2">
      <c r="A6319">
        <v>11560</v>
      </c>
      <c r="B6319">
        <v>10025</v>
      </c>
      <c r="C6319">
        <v>22</v>
      </c>
      <c r="D6319">
        <v>162.30000000000001</v>
      </c>
      <c r="E6319">
        <v>3.2</v>
      </c>
    </row>
    <row r="6320" spans="1:5" x14ac:dyDescent="0.2">
      <c r="A6320">
        <v>11565</v>
      </c>
      <c r="B6320">
        <v>10026</v>
      </c>
      <c r="C6320">
        <v>22</v>
      </c>
      <c r="D6320">
        <v>162.9</v>
      </c>
      <c r="E6320">
        <v>3.2</v>
      </c>
    </row>
    <row r="6321" spans="1:5" x14ac:dyDescent="0.2">
      <c r="A6321">
        <v>11570</v>
      </c>
      <c r="B6321">
        <v>10027</v>
      </c>
      <c r="C6321">
        <v>23</v>
      </c>
      <c r="D6321">
        <v>163.30000000000001</v>
      </c>
      <c r="E6321">
        <v>3.3</v>
      </c>
    </row>
    <row r="6322" spans="1:5" x14ac:dyDescent="0.2">
      <c r="A6322">
        <v>11575</v>
      </c>
      <c r="B6322">
        <v>10025</v>
      </c>
      <c r="C6322">
        <v>22</v>
      </c>
      <c r="D6322">
        <v>164.4</v>
      </c>
      <c r="E6322">
        <v>3.2</v>
      </c>
    </row>
    <row r="6323" spans="1:5" x14ac:dyDescent="0.2">
      <c r="A6323">
        <v>11580</v>
      </c>
      <c r="B6323">
        <v>10019</v>
      </c>
      <c r="C6323">
        <v>24</v>
      </c>
      <c r="D6323">
        <v>165.9</v>
      </c>
      <c r="E6323">
        <v>3.4</v>
      </c>
    </row>
    <row r="6324" spans="1:5" x14ac:dyDescent="0.2">
      <c r="A6324">
        <v>11585</v>
      </c>
      <c r="B6324">
        <v>10013</v>
      </c>
      <c r="C6324">
        <v>24</v>
      </c>
      <c r="D6324">
        <v>167.5</v>
      </c>
      <c r="E6324">
        <v>3.5</v>
      </c>
    </row>
    <row r="6325" spans="1:5" x14ac:dyDescent="0.2">
      <c r="A6325">
        <v>11590</v>
      </c>
      <c r="B6325">
        <v>10010</v>
      </c>
      <c r="C6325">
        <v>24</v>
      </c>
      <c r="D6325">
        <v>168.7</v>
      </c>
      <c r="E6325">
        <v>3.5</v>
      </c>
    </row>
    <row r="6326" spans="1:5" x14ac:dyDescent="0.2">
      <c r="A6326">
        <v>11595</v>
      </c>
      <c r="B6326">
        <v>10011</v>
      </c>
      <c r="C6326">
        <v>25</v>
      </c>
      <c r="D6326">
        <v>169.2</v>
      </c>
      <c r="E6326">
        <v>3.6</v>
      </c>
    </row>
    <row r="6327" spans="1:5" x14ac:dyDescent="0.2">
      <c r="A6327">
        <v>11600</v>
      </c>
      <c r="B6327">
        <v>10018</v>
      </c>
      <c r="C6327">
        <v>24</v>
      </c>
      <c r="D6327">
        <v>168.9</v>
      </c>
      <c r="E6327">
        <v>3.5</v>
      </c>
    </row>
    <row r="6328" spans="1:5" x14ac:dyDescent="0.2">
      <c r="A6328">
        <v>11605</v>
      </c>
      <c r="B6328">
        <v>10029</v>
      </c>
      <c r="C6328">
        <v>24</v>
      </c>
      <c r="D6328">
        <v>168</v>
      </c>
      <c r="E6328">
        <v>3.5</v>
      </c>
    </row>
    <row r="6329" spans="1:5" x14ac:dyDescent="0.2">
      <c r="A6329">
        <v>11610</v>
      </c>
      <c r="B6329">
        <v>10041</v>
      </c>
      <c r="C6329">
        <v>25</v>
      </c>
      <c r="D6329">
        <v>167</v>
      </c>
      <c r="E6329">
        <v>3.7</v>
      </c>
    </row>
    <row r="6330" spans="1:5" x14ac:dyDescent="0.2">
      <c r="A6330">
        <v>11615</v>
      </c>
      <c r="B6330">
        <v>10053</v>
      </c>
      <c r="C6330">
        <v>24</v>
      </c>
      <c r="D6330">
        <v>166</v>
      </c>
      <c r="E6330">
        <v>3.5</v>
      </c>
    </row>
    <row r="6331" spans="1:5" x14ac:dyDescent="0.2">
      <c r="A6331">
        <v>11620</v>
      </c>
      <c r="B6331">
        <v>10061</v>
      </c>
      <c r="C6331">
        <v>23</v>
      </c>
      <c r="D6331">
        <v>165.5</v>
      </c>
      <c r="E6331">
        <v>3.3</v>
      </c>
    </row>
    <row r="6332" spans="1:5" x14ac:dyDescent="0.2">
      <c r="A6332">
        <v>11625</v>
      </c>
      <c r="B6332">
        <v>10065</v>
      </c>
      <c r="C6332">
        <v>23</v>
      </c>
      <c r="D6332">
        <v>165.6</v>
      </c>
      <c r="E6332">
        <v>3.3</v>
      </c>
    </row>
    <row r="6333" spans="1:5" x14ac:dyDescent="0.2">
      <c r="A6333">
        <v>11630</v>
      </c>
      <c r="B6333">
        <v>10065</v>
      </c>
      <c r="C6333">
        <v>23</v>
      </c>
      <c r="D6333">
        <v>166.3</v>
      </c>
      <c r="E6333">
        <v>3.3</v>
      </c>
    </row>
    <row r="6334" spans="1:5" x14ac:dyDescent="0.2">
      <c r="A6334">
        <v>11635</v>
      </c>
      <c r="B6334">
        <v>10063</v>
      </c>
      <c r="C6334">
        <v>22</v>
      </c>
      <c r="D6334">
        <v>167.2</v>
      </c>
      <c r="E6334">
        <v>3.3</v>
      </c>
    </row>
    <row r="6335" spans="1:5" x14ac:dyDescent="0.2">
      <c r="A6335">
        <v>11640</v>
      </c>
      <c r="B6335">
        <v>10064</v>
      </c>
      <c r="C6335">
        <v>21</v>
      </c>
      <c r="D6335">
        <v>167.8</v>
      </c>
      <c r="E6335">
        <v>3.1</v>
      </c>
    </row>
    <row r="6336" spans="1:5" x14ac:dyDescent="0.2">
      <c r="A6336">
        <v>11645</v>
      </c>
      <c r="B6336">
        <v>10072</v>
      </c>
      <c r="C6336">
        <v>22</v>
      </c>
      <c r="D6336">
        <v>167.4</v>
      </c>
      <c r="E6336">
        <v>3.3</v>
      </c>
    </row>
    <row r="6337" spans="1:5" x14ac:dyDescent="0.2">
      <c r="A6337">
        <v>11650</v>
      </c>
      <c r="B6337">
        <v>10085</v>
      </c>
      <c r="C6337">
        <v>22</v>
      </c>
      <c r="D6337">
        <v>166.2</v>
      </c>
      <c r="E6337">
        <v>3.2</v>
      </c>
    </row>
    <row r="6338" spans="1:5" x14ac:dyDescent="0.2">
      <c r="A6338">
        <v>11655</v>
      </c>
      <c r="B6338">
        <v>10097</v>
      </c>
      <c r="C6338">
        <v>22</v>
      </c>
      <c r="D6338">
        <v>165.2</v>
      </c>
      <c r="E6338">
        <v>3.2</v>
      </c>
    </row>
    <row r="6339" spans="1:5" x14ac:dyDescent="0.2">
      <c r="A6339">
        <v>11660</v>
      </c>
      <c r="B6339">
        <v>10097</v>
      </c>
      <c r="C6339">
        <v>23</v>
      </c>
      <c r="D6339">
        <v>165.8</v>
      </c>
      <c r="E6339">
        <v>3.3</v>
      </c>
    </row>
    <row r="6340" spans="1:5" x14ac:dyDescent="0.2">
      <c r="A6340">
        <v>11665</v>
      </c>
      <c r="B6340">
        <v>10084</v>
      </c>
      <c r="C6340">
        <v>22</v>
      </c>
      <c r="D6340">
        <v>168.5</v>
      </c>
      <c r="E6340">
        <v>3.2</v>
      </c>
    </row>
    <row r="6341" spans="1:5" x14ac:dyDescent="0.2">
      <c r="A6341">
        <v>11670</v>
      </c>
      <c r="B6341">
        <v>10065</v>
      </c>
      <c r="C6341">
        <v>22</v>
      </c>
      <c r="D6341">
        <v>172</v>
      </c>
      <c r="E6341">
        <v>3.2</v>
      </c>
    </row>
    <row r="6342" spans="1:5" x14ac:dyDescent="0.2">
      <c r="A6342">
        <v>11675</v>
      </c>
      <c r="B6342">
        <v>10050</v>
      </c>
      <c r="C6342">
        <v>23</v>
      </c>
      <c r="D6342">
        <v>174.9</v>
      </c>
      <c r="E6342">
        <v>3.4</v>
      </c>
    </row>
    <row r="6343" spans="1:5" x14ac:dyDescent="0.2">
      <c r="A6343">
        <v>11680</v>
      </c>
      <c r="B6343">
        <v>10047</v>
      </c>
      <c r="C6343">
        <v>23</v>
      </c>
      <c r="D6343">
        <v>176.1</v>
      </c>
      <c r="E6343">
        <v>3.3</v>
      </c>
    </row>
    <row r="6344" spans="1:5" x14ac:dyDescent="0.2">
      <c r="A6344">
        <v>11685</v>
      </c>
      <c r="B6344">
        <v>10054</v>
      </c>
      <c r="C6344">
        <v>21</v>
      </c>
      <c r="D6344">
        <v>175.7</v>
      </c>
      <c r="E6344">
        <v>3.1</v>
      </c>
    </row>
    <row r="6345" spans="1:5" x14ac:dyDescent="0.2">
      <c r="A6345">
        <v>11690</v>
      </c>
      <c r="B6345">
        <v>10067</v>
      </c>
      <c r="C6345">
        <v>21</v>
      </c>
      <c r="D6345">
        <v>174.6</v>
      </c>
      <c r="E6345">
        <v>3.1</v>
      </c>
    </row>
    <row r="6346" spans="1:5" x14ac:dyDescent="0.2">
      <c r="A6346">
        <v>11695</v>
      </c>
      <c r="B6346">
        <v>10078</v>
      </c>
      <c r="C6346">
        <v>23</v>
      </c>
      <c r="D6346">
        <v>173.6</v>
      </c>
      <c r="E6346">
        <v>3.4</v>
      </c>
    </row>
    <row r="6347" spans="1:5" x14ac:dyDescent="0.2">
      <c r="A6347">
        <v>11700</v>
      </c>
      <c r="B6347">
        <v>10086</v>
      </c>
      <c r="C6347">
        <v>25</v>
      </c>
      <c r="D6347">
        <v>173.2</v>
      </c>
      <c r="E6347">
        <v>3.6</v>
      </c>
    </row>
    <row r="6348" spans="1:5" x14ac:dyDescent="0.2">
      <c r="A6348">
        <v>11705</v>
      </c>
      <c r="B6348">
        <v>10090</v>
      </c>
      <c r="C6348">
        <v>25</v>
      </c>
      <c r="D6348">
        <v>173.3</v>
      </c>
      <c r="E6348">
        <v>3.6</v>
      </c>
    </row>
    <row r="6349" spans="1:5" x14ac:dyDescent="0.2">
      <c r="A6349">
        <v>11710</v>
      </c>
      <c r="B6349">
        <v>10091</v>
      </c>
      <c r="C6349">
        <v>24</v>
      </c>
      <c r="D6349">
        <v>173.8</v>
      </c>
      <c r="E6349">
        <v>3.5</v>
      </c>
    </row>
    <row r="6350" spans="1:5" x14ac:dyDescent="0.2">
      <c r="A6350">
        <v>11715</v>
      </c>
      <c r="B6350">
        <v>10091</v>
      </c>
      <c r="C6350">
        <v>23</v>
      </c>
      <c r="D6350">
        <v>174.6</v>
      </c>
      <c r="E6350">
        <v>3.4</v>
      </c>
    </row>
    <row r="6351" spans="1:5" x14ac:dyDescent="0.2">
      <c r="A6351">
        <v>11720</v>
      </c>
      <c r="B6351">
        <v>10090</v>
      </c>
      <c r="C6351">
        <v>22</v>
      </c>
      <c r="D6351">
        <v>175.4</v>
      </c>
      <c r="E6351">
        <v>3.3</v>
      </c>
    </row>
    <row r="6352" spans="1:5" x14ac:dyDescent="0.2">
      <c r="A6352">
        <v>11725</v>
      </c>
      <c r="B6352">
        <v>10090</v>
      </c>
      <c r="C6352">
        <v>22</v>
      </c>
      <c r="D6352">
        <v>176.1</v>
      </c>
      <c r="E6352">
        <v>3.3</v>
      </c>
    </row>
    <row r="6353" spans="1:5" x14ac:dyDescent="0.2">
      <c r="A6353">
        <v>11730</v>
      </c>
      <c r="B6353">
        <v>10091</v>
      </c>
      <c r="C6353">
        <v>23</v>
      </c>
      <c r="D6353">
        <v>176.7</v>
      </c>
      <c r="E6353">
        <v>3.3</v>
      </c>
    </row>
    <row r="6354" spans="1:5" x14ac:dyDescent="0.2">
      <c r="A6354">
        <v>11735</v>
      </c>
      <c r="B6354">
        <v>10094</v>
      </c>
      <c r="C6354">
        <v>23</v>
      </c>
      <c r="D6354">
        <v>176.9</v>
      </c>
      <c r="E6354">
        <v>3.4</v>
      </c>
    </row>
    <row r="6355" spans="1:5" x14ac:dyDescent="0.2">
      <c r="A6355">
        <v>11740</v>
      </c>
      <c r="B6355">
        <v>10101</v>
      </c>
      <c r="C6355">
        <v>23</v>
      </c>
      <c r="D6355">
        <v>176.7</v>
      </c>
      <c r="E6355">
        <v>3.3</v>
      </c>
    </row>
    <row r="6356" spans="1:5" x14ac:dyDescent="0.2">
      <c r="A6356">
        <v>11745</v>
      </c>
      <c r="B6356">
        <v>10110</v>
      </c>
      <c r="C6356">
        <v>22</v>
      </c>
      <c r="D6356">
        <v>176</v>
      </c>
      <c r="E6356">
        <v>3.3</v>
      </c>
    </row>
    <row r="6357" spans="1:5" x14ac:dyDescent="0.2">
      <c r="A6357">
        <v>11750</v>
      </c>
      <c r="B6357">
        <v>10121</v>
      </c>
      <c r="C6357">
        <v>22</v>
      </c>
      <c r="D6357">
        <v>175.2</v>
      </c>
      <c r="E6357">
        <v>3.2</v>
      </c>
    </row>
    <row r="6358" spans="1:5" x14ac:dyDescent="0.2">
      <c r="A6358">
        <v>11755</v>
      </c>
      <c r="B6358">
        <v>10131</v>
      </c>
      <c r="C6358">
        <v>23</v>
      </c>
      <c r="D6358">
        <v>174.4</v>
      </c>
      <c r="E6358">
        <v>3.3</v>
      </c>
    </row>
    <row r="6359" spans="1:5" x14ac:dyDescent="0.2">
      <c r="A6359">
        <v>11760</v>
      </c>
      <c r="B6359">
        <v>10140</v>
      </c>
      <c r="C6359">
        <v>24</v>
      </c>
      <c r="D6359">
        <v>173.7</v>
      </c>
      <c r="E6359">
        <v>3.5</v>
      </c>
    </row>
    <row r="6360" spans="1:5" x14ac:dyDescent="0.2">
      <c r="A6360">
        <v>11765</v>
      </c>
      <c r="B6360">
        <v>10147</v>
      </c>
      <c r="C6360">
        <v>25</v>
      </c>
      <c r="D6360">
        <v>173.5</v>
      </c>
      <c r="E6360">
        <v>3.7</v>
      </c>
    </row>
    <row r="6361" spans="1:5" x14ac:dyDescent="0.2">
      <c r="A6361">
        <v>11770</v>
      </c>
      <c r="B6361">
        <v>10149</v>
      </c>
      <c r="C6361">
        <v>26</v>
      </c>
      <c r="D6361">
        <v>173.8</v>
      </c>
      <c r="E6361">
        <v>3.8</v>
      </c>
    </row>
    <row r="6362" spans="1:5" x14ac:dyDescent="0.2">
      <c r="A6362">
        <v>11775</v>
      </c>
      <c r="B6362">
        <v>10147</v>
      </c>
      <c r="C6362">
        <v>25</v>
      </c>
      <c r="D6362">
        <v>174.9</v>
      </c>
      <c r="E6362">
        <v>3.7</v>
      </c>
    </row>
    <row r="6363" spans="1:5" x14ac:dyDescent="0.2">
      <c r="A6363">
        <v>11780</v>
      </c>
      <c r="B6363">
        <v>10141</v>
      </c>
      <c r="C6363">
        <v>24</v>
      </c>
      <c r="D6363">
        <v>176.5</v>
      </c>
      <c r="E6363">
        <v>3.5</v>
      </c>
    </row>
    <row r="6364" spans="1:5" x14ac:dyDescent="0.2">
      <c r="A6364">
        <v>11785</v>
      </c>
      <c r="B6364">
        <v>10133</v>
      </c>
      <c r="C6364">
        <v>23</v>
      </c>
      <c r="D6364">
        <v>178.4</v>
      </c>
      <c r="E6364">
        <v>3.3</v>
      </c>
    </row>
    <row r="6365" spans="1:5" x14ac:dyDescent="0.2">
      <c r="A6365">
        <v>11790</v>
      </c>
      <c r="B6365">
        <v>10125</v>
      </c>
      <c r="C6365">
        <v>22</v>
      </c>
      <c r="D6365">
        <v>180.2</v>
      </c>
      <c r="E6365">
        <v>3.2</v>
      </c>
    </row>
    <row r="6366" spans="1:5" x14ac:dyDescent="0.2">
      <c r="A6366">
        <v>11795</v>
      </c>
      <c r="B6366">
        <v>10120</v>
      </c>
      <c r="C6366">
        <v>22</v>
      </c>
      <c r="D6366">
        <v>181.7</v>
      </c>
      <c r="E6366">
        <v>3.2</v>
      </c>
    </row>
    <row r="6367" spans="1:5" x14ac:dyDescent="0.2">
      <c r="A6367">
        <v>11800</v>
      </c>
      <c r="B6367">
        <v>10119</v>
      </c>
      <c r="C6367">
        <v>22</v>
      </c>
      <c r="D6367">
        <v>182.6</v>
      </c>
      <c r="E6367">
        <v>3.2</v>
      </c>
    </row>
    <row r="6368" spans="1:5" x14ac:dyDescent="0.2">
      <c r="A6368">
        <v>11805</v>
      </c>
      <c r="B6368">
        <v>10124</v>
      </c>
      <c r="C6368">
        <v>21</v>
      </c>
      <c r="D6368">
        <v>182.5</v>
      </c>
      <c r="E6368">
        <v>3</v>
      </c>
    </row>
    <row r="6369" spans="1:5" x14ac:dyDescent="0.2">
      <c r="A6369">
        <v>11810</v>
      </c>
      <c r="B6369">
        <v>10136</v>
      </c>
      <c r="C6369">
        <v>19</v>
      </c>
      <c r="D6369">
        <v>181.5</v>
      </c>
      <c r="E6369">
        <v>2.8</v>
      </c>
    </row>
    <row r="6370" spans="1:5" x14ac:dyDescent="0.2">
      <c r="A6370">
        <v>11815</v>
      </c>
      <c r="B6370">
        <v>10150</v>
      </c>
      <c r="C6370">
        <v>20</v>
      </c>
      <c r="D6370">
        <v>180.1</v>
      </c>
      <c r="E6370">
        <v>2.9</v>
      </c>
    </row>
    <row r="6371" spans="1:5" x14ac:dyDescent="0.2">
      <c r="A6371">
        <v>11820</v>
      </c>
      <c r="B6371">
        <v>10167</v>
      </c>
      <c r="C6371">
        <v>21</v>
      </c>
      <c r="D6371">
        <v>178.4</v>
      </c>
      <c r="E6371">
        <v>3.1</v>
      </c>
    </row>
    <row r="6372" spans="1:5" x14ac:dyDescent="0.2">
      <c r="A6372">
        <v>11825</v>
      </c>
      <c r="B6372">
        <v>10182</v>
      </c>
      <c r="C6372">
        <v>24</v>
      </c>
      <c r="D6372">
        <v>176.9</v>
      </c>
      <c r="E6372">
        <v>3.5</v>
      </c>
    </row>
    <row r="6373" spans="1:5" x14ac:dyDescent="0.2">
      <c r="A6373">
        <v>11830</v>
      </c>
      <c r="B6373">
        <v>10195</v>
      </c>
      <c r="C6373">
        <v>26</v>
      </c>
      <c r="D6373">
        <v>175.8</v>
      </c>
      <c r="E6373">
        <v>3.9</v>
      </c>
    </row>
    <row r="6374" spans="1:5" x14ac:dyDescent="0.2">
      <c r="A6374">
        <v>11835</v>
      </c>
      <c r="B6374">
        <v>10202</v>
      </c>
      <c r="C6374">
        <v>27</v>
      </c>
      <c r="D6374">
        <v>175.3</v>
      </c>
      <c r="E6374">
        <v>3.9</v>
      </c>
    </row>
    <row r="6375" spans="1:5" x14ac:dyDescent="0.2">
      <c r="A6375">
        <v>11840</v>
      </c>
      <c r="B6375">
        <v>10206</v>
      </c>
      <c r="C6375">
        <v>26</v>
      </c>
      <c r="D6375">
        <v>175.5</v>
      </c>
      <c r="E6375">
        <v>3.8</v>
      </c>
    </row>
    <row r="6376" spans="1:5" x14ac:dyDescent="0.2">
      <c r="A6376">
        <v>11845</v>
      </c>
      <c r="B6376">
        <v>10206</v>
      </c>
      <c r="C6376">
        <v>25</v>
      </c>
      <c r="D6376">
        <v>176.2</v>
      </c>
      <c r="E6376">
        <v>3.6</v>
      </c>
    </row>
    <row r="6377" spans="1:5" x14ac:dyDescent="0.2">
      <c r="A6377">
        <v>11850</v>
      </c>
      <c r="B6377">
        <v>10204</v>
      </c>
      <c r="C6377">
        <v>24</v>
      </c>
      <c r="D6377">
        <v>177.2</v>
      </c>
      <c r="E6377">
        <v>3.5</v>
      </c>
    </row>
    <row r="6378" spans="1:5" x14ac:dyDescent="0.2">
      <c r="A6378">
        <v>11855</v>
      </c>
      <c r="B6378">
        <v>10201</v>
      </c>
      <c r="C6378">
        <v>24</v>
      </c>
      <c r="D6378">
        <v>178.3</v>
      </c>
      <c r="E6378">
        <v>3.5</v>
      </c>
    </row>
    <row r="6379" spans="1:5" x14ac:dyDescent="0.2">
      <c r="A6379">
        <v>11860</v>
      </c>
      <c r="B6379">
        <v>10199</v>
      </c>
      <c r="C6379">
        <v>23</v>
      </c>
      <c r="D6379">
        <v>179.4</v>
      </c>
      <c r="E6379">
        <v>3.4</v>
      </c>
    </row>
    <row r="6380" spans="1:5" x14ac:dyDescent="0.2">
      <c r="A6380">
        <v>11865</v>
      </c>
      <c r="B6380">
        <v>10197</v>
      </c>
      <c r="C6380">
        <v>22</v>
      </c>
      <c r="D6380">
        <v>180.4</v>
      </c>
      <c r="E6380">
        <v>3.3</v>
      </c>
    </row>
    <row r="6381" spans="1:5" x14ac:dyDescent="0.2">
      <c r="A6381">
        <v>11870</v>
      </c>
      <c r="B6381">
        <v>10198</v>
      </c>
      <c r="C6381">
        <v>21</v>
      </c>
      <c r="D6381">
        <v>181</v>
      </c>
      <c r="E6381">
        <v>3</v>
      </c>
    </row>
    <row r="6382" spans="1:5" x14ac:dyDescent="0.2">
      <c r="A6382">
        <v>11875</v>
      </c>
      <c r="B6382">
        <v>10202</v>
      </c>
      <c r="C6382">
        <v>20</v>
      </c>
      <c r="D6382">
        <v>181.1</v>
      </c>
      <c r="E6382">
        <v>3</v>
      </c>
    </row>
    <row r="6383" spans="1:5" x14ac:dyDescent="0.2">
      <c r="A6383">
        <v>11880</v>
      </c>
      <c r="B6383">
        <v>10209</v>
      </c>
      <c r="C6383">
        <v>21</v>
      </c>
      <c r="D6383">
        <v>180.7</v>
      </c>
      <c r="E6383">
        <v>3</v>
      </c>
    </row>
    <row r="6384" spans="1:5" x14ac:dyDescent="0.2">
      <c r="A6384">
        <v>11885</v>
      </c>
      <c r="B6384">
        <v>10220</v>
      </c>
      <c r="C6384">
        <v>19</v>
      </c>
      <c r="D6384">
        <v>179.8</v>
      </c>
      <c r="E6384">
        <v>2.8</v>
      </c>
    </row>
    <row r="6385" spans="1:5" x14ac:dyDescent="0.2">
      <c r="A6385">
        <v>11890</v>
      </c>
      <c r="B6385">
        <v>10229</v>
      </c>
      <c r="C6385">
        <v>20</v>
      </c>
      <c r="D6385">
        <v>179.3</v>
      </c>
      <c r="E6385">
        <v>2.9</v>
      </c>
    </row>
    <row r="6386" spans="1:5" x14ac:dyDescent="0.2">
      <c r="A6386">
        <v>11895</v>
      </c>
      <c r="B6386">
        <v>10228</v>
      </c>
      <c r="C6386">
        <v>19</v>
      </c>
      <c r="D6386">
        <v>180.1</v>
      </c>
      <c r="E6386">
        <v>2.8</v>
      </c>
    </row>
    <row r="6387" spans="1:5" x14ac:dyDescent="0.2">
      <c r="A6387">
        <v>11900</v>
      </c>
      <c r="B6387">
        <v>10222</v>
      </c>
      <c r="C6387">
        <v>20</v>
      </c>
      <c r="D6387">
        <v>181.7</v>
      </c>
      <c r="E6387">
        <v>3</v>
      </c>
    </row>
    <row r="6388" spans="1:5" x14ac:dyDescent="0.2">
      <c r="A6388">
        <v>11905</v>
      </c>
      <c r="B6388">
        <v>10217</v>
      </c>
      <c r="C6388">
        <v>20</v>
      </c>
      <c r="D6388">
        <v>183.2</v>
      </c>
      <c r="E6388">
        <v>2.9</v>
      </c>
    </row>
    <row r="6389" spans="1:5" x14ac:dyDescent="0.2">
      <c r="A6389">
        <v>11910</v>
      </c>
      <c r="B6389">
        <v>10213</v>
      </c>
      <c r="C6389">
        <v>20</v>
      </c>
      <c r="D6389">
        <v>184.5</v>
      </c>
      <c r="E6389">
        <v>2.9</v>
      </c>
    </row>
    <row r="6390" spans="1:5" x14ac:dyDescent="0.2">
      <c r="A6390">
        <v>11915</v>
      </c>
      <c r="B6390">
        <v>10209</v>
      </c>
      <c r="C6390">
        <v>20</v>
      </c>
      <c r="D6390">
        <v>185.8</v>
      </c>
      <c r="E6390">
        <v>2.9</v>
      </c>
    </row>
    <row r="6391" spans="1:5" x14ac:dyDescent="0.2">
      <c r="A6391">
        <v>11920</v>
      </c>
      <c r="B6391">
        <v>10206</v>
      </c>
      <c r="C6391">
        <v>20</v>
      </c>
      <c r="D6391">
        <v>186.9</v>
      </c>
      <c r="E6391">
        <v>3</v>
      </c>
    </row>
    <row r="6392" spans="1:5" x14ac:dyDescent="0.2">
      <c r="A6392">
        <v>11925</v>
      </c>
      <c r="B6392">
        <v>10207</v>
      </c>
      <c r="C6392">
        <v>20</v>
      </c>
      <c r="D6392">
        <v>187.5</v>
      </c>
      <c r="E6392">
        <v>2.9</v>
      </c>
    </row>
    <row r="6393" spans="1:5" x14ac:dyDescent="0.2">
      <c r="A6393">
        <v>11930</v>
      </c>
      <c r="B6393">
        <v>10215</v>
      </c>
      <c r="C6393">
        <v>20</v>
      </c>
      <c r="D6393">
        <v>187</v>
      </c>
      <c r="E6393">
        <v>2.9</v>
      </c>
    </row>
    <row r="6394" spans="1:5" x14ac:dyDescent="0.2">
      <c r="A6394">
        <v>11935</v>
      </c>
      <c r="B6394">
        <v>10231</v>
      </c>
      <c r="C6394">
        <v>19</v>
      </c>
      <c r="D6394">
        <v>185.4</v>
      </c>
      <c r="E6394">
        <v>2.8</v>
      </c>
    </row>
    <row r="6395" spans="1:5" x14ac:dyDescent="0.2">
      <c r="A6395">
        <v>11940</v>
      </c>
      <c r="B6395">
        <v>10251</v>
      </c>
      <c r="C6395">
        <v>19</v>
      </c>
      <c r="D6395">
        <v>183.1</v>
      </c>
      <c r="E6395">
        <v>2.8</v>
      </c>
    </row>
    <row r="6396" spans="1:5" x14ac:dyDescent="0.2">
      <c r="A6396">
        <v>11945</v>
      </c>
      <c r="B6396">
        <v>10270</v>
      </c>
      <c r="C6396">
        <v>19</v>
      </c>
      <c r="D6396">
        <v>181.1</v>
      </c>
      <c r="E6396">
        <v>2.8</v>
      </c>
    </row>
    <row r="6397" spans="1:5" x14ac:dyDescent="0.2">
      <c r="A6397">
        <v>11950</v>
      </c>
      <c r="B6397">
        <v>10281</v>
      </c>
      <c r="C6397">
        <v>19</v>
      </c>
      <c r="D6397">
        <v>180.2</v>
      </c>
      <c r="E6397">
        <v>2.7</v>
      </c>
    </row>
    <row r="6398" spans="1:5" x14ac:dyDescent="0.2">
      <c r="A6398">
        <v>11955</v>
      </c>
      <c r="B6398">
        <v>10283</v>
      </c>
      <c r="C6398">
        <v>19</v>
      </c>
      <c r="D6398">
        <v>180.6</v>
      </c>
      <c r="E6398">
        <v>2.8</v>
      </c>
    </row>
    <row r="6399" spans="1:5" x14ac:dyDescent="0.2">
      <c r="A6399">
        <v>11960</v>
      </c>
      <c r="B6399">
        <v>10277</v>
      </c>
      <c r="C6399">
        <v>19</v>
      </c>
      <c r="D6399">
        <v>182.1</v>
      </c>
      <c r="E6399">
        <v>2.8</v>
      </c>
    </row>
    <row r="6400" spans="1:5" x14ac:dyDescent="0.2">
      <c r="A6400">
        <v>11965</v>
      </c>
      <c r="B6400">
        <v>10277</v>
      </c>
      <c r="C6400">
        <v>18</v>
      </c>
      <c r="D6400">
        <v>182.9</v>
      </c>
      <c r="E6400">
        <v>2.7</v>
      </c>
    </row>
    <row r="6401" spans="1:5" x14ac:dyDescent="0.2">
      <c r="A6401">
        <v>11970</v>
      </c>
      <c r="B6401">
        <v>10285</v>
      </c>
      <c r="C6401">
        <v>18</v>
      </c>
      <c r="D6401">
        <v>182.4</v>
      </c>
      <c r="E6401">
        <v>2.6</v>
      </c>
    </row>
    <row r="6402" spans="1:5" x14ac:dyDescent="0.2">
      <c r="A6402">
        <v>11975</v>
      </c>
      <c r="B6402">
        <v>10294</v>
      </c>
      <c r="C6402">
        <v>18</v>
      </c>
      <c r="D6402">
        <v>181.8</v>
      </c>
      <c r="E6402">
        <v>2.7</v>
      </c>
    </row>
    <row r="6403" spans="1:5" x14ac:dyDescent="0.2">
      <c r="A6403">
        <v>11980</v>
      </c>
      <c r="B6403">
        <v>10296</v>
      </c>
      <c r="C6403">
        <v>18</v>
      </c>
      <c r="D6403">
        <v>182.2</v>
      </c>
      <c r="E6403">
        <v>2.6</v>
      </c>
    </row>
    <row r="6404" spans="1:5" x14ac:dyDescent="0.2">
      <c r="A6404">
        <v>11985</v>
      </c>
      <c r="B6404">
        <v>10289</v>
      </c>
      <c r="C6404">
        <v>18</v>
      </c>
      <c r="D6404">
        <v>184</v>
      </c>
      <c r="E6404">
        <v>2.6</v>
      </c>
    </row>
    <row r="6405" spans="1:5" x14ac:dyDescent="0.2">
      <c r="A6405">
        <v>11990</v>
      </c>
      <c r="B6405">
        <v>10289</v>
      </c>
      <c r="C6405">
        <v>18</v>
      </c>
      <c r="D6405">
        <v>184.8</v>
      </c>
      <c r="E6405">
        <v>2.6</v>
      </c>
    </row>
    <row r="6406" spans="1:5" x14ac:dyDescent="0.2">
      <c r="A6406">
        <v>11995</v>
      </c>
      <c r="B6406">
        <v>10294</v>
      </c>
      <c r="C6406">
        <v>18</v>
      </c>
      <c r="D6406">
        <v>184.6</v>
      </c>
      <c r="E6406">
        <v>2.6</v>
      </c>
    </row>
    <row r="6407" spans="1:5" x14ac:dyDescent="0.2">
      <c r="A6407">
        <v>12000</v>
      </c>
      <c r="B6407">
        <v>10306</v>
      </c>
      <c r="C6407">
        <v>18</v>
      </c>
      <c r="D6407">
        <v>183.6</v>
      </c>
      <c r="E6407">
        <v>2.6</v>
      </c>
    </row>
    <row r="6408" spans="1:5" x14ac:dyDescent="0.2">
      <c r="A6408">
        <v>12005</v>
      </c>
      <c r="B6408">
        <v>10320</v>
      </c>
      <c r="C6408">
        <v>18</v>
      </c>
      <c r="D6408">
        <v>182.3</v>
      </c>
      <c r="E6408">
        <v>2.6</v>
      </c>
    </row>
    <row r="6409" spans="1:5" x14ac:dyDescent="0.2">
      <c r="A6409">
        <v>12010</v>
      </c>
      <c r="B6409">
        <v>10322</v>
      </c>
      <c r="C6409">
        <v>18</v>
      </c>
      <c r="D6409">
        <v>182.7</v>
      </c>
      <c r="E6409">
        <v>2.6</v>
      </c>
    </row>
    <row r="6410" spans="1:5" x14ac:dyDescent="0.2">
      <c r="A6410">
        <v>12015</v>
      </c>
      <c r="B6410">
        <v>10318</v>
      </c>
      <c r="C6410">
        <v>18</v>
      </c>
      <c r="D6410">
        <v>184.1</v>
      </c>
      <c r="E6410">
        <v>2.6</v>
      </c>
    </row>
    <row r="6411" spans="1:5" x14ac:dyDescent="0.2">
      <c r="A6411">
        <v>12020</v>
      </c>
      <c r="B6411">
        <v>10316</v>
      </c>
      <c r="C6411">
        <v>18</v>
      </c>
      <c r="D6411">
        <v>185</v>
      </c>
      <c r="E6411">
        <v>2.6</v>
      </c>
    </row>
    <row r="6412" spans="1:5" x14ac:dyDescent="0.2">
      <c r="A6412">
        <v>12025</v>
      </c>
      <c r="B6412">
        <v>10317</v>
      </c>
      <c r="C6412">
        <v>18</v>
      </c>
      <c r="D6412">
        <v>185.6</v>
      </c>
      <c r="E6412">
        <v>2.7</v>
      </c>
    </row>
    <row r="6413" spans="1:5" x14ac:dyDescent="0.2">
      <c r="A6413">
        <v>12030</v>
      </c>
      <c r="B6413">
        <v>10312</v>
      </c>
      <c r="C6413">
        <v>18</v>
      </c>
      <c r="D6413">
        <v>187.1</v>
      </c>
      <c r="E6413">
        <v>2.7</v>
      </c>
    </row>
    <row r="6414" spans="1:5" x14ac:dyDescent="0.2">
      <c r="A6414">
        <v>12035</v>
      </c>
      <c r="B6414">
        <v>10310</v>
      </c>
      <c r="C6414">
        <v>18</v>
      </c>
      <c r="D6414">
        <v>188.1</v>
      </c>
      <c r="E6414">
        <v>2.7</v>
      </c>
    </row>
    <row r="6415" spans="1:5" x14ac:dyDescent="0.2">
      <c r="A6415">
        <v>12040</v>
      </c>
      <c r="B6415">
        <v>10316</v>
      </c>
      <c r="C6415">
        <v>18</v>
      </c>
      <c r="D6415">
        <v>187.9</v>
      </c>
      <c r="E6415">
        <v>2.7</v>
      </c>
    </row>
    <row r="6416" spans="1:5" x14ac:dyDescent="0.2">
      <c r="A6416">
        <v>12045</v>
      </c>
      <c r="B6416">
        <v>10327</v>
      </c>
      <c r="C6416">
        <v>18</v>
      </c>
      <c r="D6416">
        <v>187.1</v>
      </c>
      <c r="E6416">
        <v>2.7</v>
      </c>
    </row>
    <row r="6417" spans="1:5" x14ac:dyDescent="0.2">
      <c r="A6417">
        <v>12050</v>
      </c>
      <c r="B6417">
        <v>10330</v>
      </c>
      <c r="C6417">
        <v>18</v>
      </c>
      <c r="D6417">
        <v>187.2</v>
      </c>
      <c r="E6417">
        <v>2.7</v>
      </c>
    </row>
    <row r="6418" spans="1:5" x14ac:dyDescent="0.2">
      <c r="A6418">
        <v>12055</v>
      </c>
      <c r="B6418">
        <v>10331</v>
      </c>
      <c r="C6418">
        <v>18</v>
      </c>
      <c r="D6418">
        <v>187.9</v>
      </c>
      <c r="E6418">
        <v>2.7</v>
      </c>
    </row>
    <row r="6419" spans="1:5" x14ac:dyDescent="0.2">
      <c r="A6419">
        <v>12060</v>
      </c>
      <c r="B6419">
        <v>10339</v>
      </c>
      <c r="C6419">
        <v>18</v>
      </c>
      <c r="D6419">
        <v>187.3</v>
      </c>
      <c r="E6419">
        <v>2.6</v>
      </c>
    </row>
    <row r="6420" spans="1:5" x14ac:dyDescent="0.2">
      <c r="A6420">
        <v>12065</v>
      </c>
      <c r="B6420">
        <v>10342</v>
      </c>
      <c r="C6420">
        <v>18</v>
      </c>
      <c r="D6420">
        <v>187.7</v>
      </c>
      <c r="E6420">
        <v>2.6</v>
      </c>
    </row>
    <row r="6421" spans="1:5" x14ac:dyDescent="0.2">
      <c r="A6421">
        <v>12070</v>
      </c>
      <c r="B6421">
        <v>10338</v>
      </c>
      <c r="C6421">
        <v>18</v>
      </c>
      <c r="D6421">
        <v>189</v>
      </c>
      <c r="E6421">
        <v>2.7</v>
      </c>
    </row>
    <row r="6422" spans="1:5" x14ac:dyDescent="0.2">
      <c r="A6422">
        <v>12075</v>
      </c>
      <c r="B6422">
        <v>10338</v>
      </c>
      <c r="C6422">
        <v>18</v>
      </c>
      <c r="D6422">
        <v>189.7</v>
      </c>
      <c r="E6422">
        <v>2.7</v>
      </c>
    </row>
    <row r="6423" spans="1:5" x14ac:dyDescent="0.2">
      <c r="A6423">
        <v>12080</v>
      </c>
      <c r="B6423">
        <v>10341</v>
      </c>
      <c r="C6423">
        <v>18</v>
      </c>
      <c r="D6423">
        <v>189.9</v>
      </c>
      <c r="E6423">
        <v>2.6</v>
      </c>
    </row>
    <row r="6424" spans="1:5" x14ac:dyDescent="0.2">
      <c r="A6424">
        <v>12085</v>
      </c>
      <c r="B6424">
        <v>10336</v>
      </c>
      <c r="C6424">
        <v>18</v>
      </c>
      <c r="D6424">
        <v>191.5</v>
      </c>
      <c r="E6424">
        <v>2.6</v>
      </c>
    </row>
    <row r="6425" spans="1:5" x14ac:dyDescent="0.2">
      <c r="A6425">
        <v>12090</v>
      </c>
      <c r="B6425">
        <v>10328</v>
      </c>
      <c r="C6425">
        <v>18</v>
      </c>
      <c r="D6425">
        <v>193.4</v>
      </c>
      <c r="E6425">
        <v>2.6</v>
      </c>
    </row>
    <row r="6426" spans="1:5" x14ac:dyDescent="0.2">
      <c r="A6426">
        <v>12095</v>
      </c>
      <c r="B6426">
        <v>10333</v>
      </c>
      <c r="C6426">
        <v>18</v>
      </c>
      <c r="D6426">
        <v>193.4</v>
      </c>
      <c r="E6426">
        <v>2.6</v>
      </c>
    </row>
    <row r="6427" spans="1:5" x14ac:dyDescent="0.2">
      <c r="A6427">
        <v>12100</v>
      </c>
      <c r="B6427">
        <v>10348</v>
      </c>
      <c r="C6427">
        <v>18</v>
      </c>
      <c r="D6427">
        <v>191.8</v>
      </c>
      <c r="E6427">
        <v>2.6</v>
      </c>
    </row>
    <row r="6428" spans="1:5" x14ac:dyDescent="0.2">
      <c r="A6428">
        <v>12105</v>
      </c>
      <c r="B6428">
        <v>10369</v>
      </c>
      <c r="C6428">
        <v>18</v>
      </c>
      <c r="D6428">
        <v>189.3</v>
      </c>
      <c r="E6428">
        <v>2.6</v>
      </c>
    </row>
    <row r="6429" spans="1:5" x14ac:dyDescent="0.2">
      <c r="A6429">
        <v>12110</v>
      </c>
      <c r="B6429">
        <v>10378</v>
      </c>
      <c r="C6429">
        <v>18</v>
      </c>
      <c r="D6429">
        <v>188.7</v>
      </c>
      <c r="E6429">
        <v>2.6</v>
      </c>
    </row>
    <row r="6430" spans="1:5" x14ac:dyDescent="0.2">
      <c r="A6430">
        <v>12115</v>
      </c>
      <c r="B6430">
        <v>10371</v>
      </c>
      <c r="C6430">
        <v>18</v>
      </c>
      <c r="D6430">
        <v>190.6</v>
      </c>
      <c r="E6430">
        <v>2.6</v>
      </c>
    </row>
    <row r="6431" spans="1:5" x14ac:dyDescent="0.2">
      <c r="A6431">
        <v>12120</v>
      </c>
      <c r="B6431">
        <v>10360</v>
      </c>
      <c r="C6431">
        <v>18</v>
      </c>
      <c r="D6431">
        <v>192.8</v>
      </c>
      <c r="E6431">
        <v>2.6</v>
      </c>
    </row>
    <row r="6432" spans="1:5" x14ac:dyDescent="0.2">
      <c r="A6432">
        <v>12125</v>
      </c>
      <c r="B6432">
        <v>10355</v>
      </c>
      <c r="C6432">
        <v>18</v>
      </c>
      <c r="D6432">
        <v>194.4</v>
      </c>
      <c r="E6432">
        <v>2.6</v>
      </c>
    </row>
    <row r="6433" spans="1:5" x14ac:dyDescent="0.2">
      <c r="A6433">
        <v>12130</v>
      </c>
      <c r="B6433">
        <v>10355</v>
      </c>
      <c r="C6433">
        <v>18</v>
      </c>
      <c r="D6433">
        <v>195.1</v>
      </c>
      <c r="E6433">
        <v>2.7</v>
      </c>
    </row>
    <row r="6434" spans="1:5" x14ac:dyDescent="0.2">
      <c r="A6434">
        <v>12135</v>
      </c>
      <c r="B6434">
        <v>10353</v>
      </c>
      <c r="C6434">
        <v>18</v>
      </c>
      <c r="D6434">
        <v>196.2</v>
      </c>
      <c r="E6434">
        <v>2.7</v>
      </c>
    </row>
    <row r="6435" spans="1:5" x14ac:dyDescent="0.2">
      <c r="A6435">
        <v>12140</v>
      </c>
      <c r="B6435">
        <v>10355</v>
      </c>
      <c r="C6435">
        <v>18</v>
      </c>
      <c r="D6435">
        <v>196.6</v>
      </c>
      <c r="E6435">
        <v>2.6</v>
      </c>
    </row>
    <row r="6436" spans="1:5" x14ac:dyDescent="0.2">
      <c r="A6436">
        <v>12145</v>
      </c>
      <c r="B6436">
        <v>10359</v>
      </c>
      <c r="C6436">
        <v>18</v>
      </c>
      <c r="D6436">
        <v>196.6</v>
      </c>
      <c r="E6436">
        <v>2.6</v>
      </c>
    </row>
    <row r="6437" spans="1:5" x14ac:dyDescent="0.2">
      <c r="A6437">
        <v>12150</v>
      </c>
      <c r="B6437">
        <v>10361</v>
      </c>
      <c r="C6437">
        <v>18</v>
      </c>
      <c r="D6437">
        <v>197.1</v>
      </c>
      <c r="E6437">
        <v>2.6</v>
      </c>
    </row>
    <row r="6438" spans="1:5" x14ac:dyDescent="0.2">
      <c r="A6438">
        <v>12155</v>
      </c>
      <c r="B6438">
        <v>10356</v>
      </c>
      <c r="C6438">
        <v>18</v>
      </c>
      <c r="D6438">
        <v>198.6</v>
      </c>
      <c r="E6438">
        <v>2.7</v>
      </c>
    </row>
    <row r="6439" spans="1:5" x14ac:dyDescent="0.2">
      <c r="A6439">
        <v>12160</v>
      </c>
      <c r="B6439">
        <v>10351</v>
      </c>
      <c r="C6439">
        <v>18</v>
      </c>
      <c r="D6439">
        <v>200.1</v>
      </c>
      <c r="E6439">
        <v>2.7</v>
      </c>
    </row>
    <row r="6440" spans="1:5" x14ac:dyDescent="0.2">
      <c r="A6440">
        <v>12165</v>
      </c>
      <c r="B6440">
        <v>10354</v>
      </c>
      <c r="C6440">
        <v>18</v>
      </c>
      <c r="D6440">
        <v>200.2</v>
      </c>
      <c r="E6440">
        <v>2.7</v>
      </c>
    </row>
    <row r="6441" spans="1:5" x14ac:dyDescent="0.2">
      <c r="A6441">
        <v>12170</v>
      </c>
      <c r="B6441">
        <v>10364</v>
      </c>
      <c r="C6441">
        <v>18</v>
      </c>
      <c r="D6441">
        <v>199.6</v>
      </c>
      <c r="E6441">
        <v>2.6</v>
      </c>
    </row>
    <row r="6442" spans="1:5" x14ac:dyDescent="0.2">
      <c r="A6442">
        <v>12175</v>
      </c>
      <c r="B6442">
        <v>10373</v>
      </c>
      <c r="C6442">
        <v>17</v>
      </c>
      <c r="D6442">
        <v>199</v>
      </c>
      <c r="E6442">
        <v>2.6</v>
      </c>
    </row>
    <row r="6443" spans="1:5" x14ac:dyDescent="0.2">
      <c r="A6443">
        <v>12180</v>
      </c>
      <c r="B6443">
        <v>10378</v>
      </c>
      <c r="C6443">
        <v>17</v>
      </c>
      <c r="D6443">
        <v>198.8</v>
      </c>
      <c r="E6443">
        <v>2.6</v>
      </c>
    </row>
    <row r="6444" spans="1:5" x14ac:dyDescent="0.2">
      <c r="A6444">
        <v>12185</v>
      </c>
      <c r="B6444">
        <v>10374</v>
      </c>
      <c r="C6444">
        <v>18</v>
      </c>
      <c r="D6444">
        <v>200.2</v>
      </c>
      <c r="E6444">
        <v>2.6</v>
      </c>
    </row>
    <row r="6445" spans="1:5" x14ac:dyDescent="0.2">
      <c r="A6445">
        <v>12190</v>
      </c>
      <c r="B6445">
        <v>10374</v>
      </c>
      <c r="C6445">
        <v>18</v>
      </c>
      <c r="D6445">
        <v>201</v>
      </c>
      <c r="E6445">
        <v>2.6</v>
      </c>
    </row>
    <row r="6446" spans="1:5" x14ac:dyDescent="0.2">
      <c r="A6446">
        <v>12195</v>
      </c>
      <c r="B6446">
        <v>10390</v>
      </c>
      <c r="C6446">
        <v>18</v>
      </c>
      <c r="D6446">
        <v>199.3</v>
      </c>
      <c r="E6446">
        <v>2.6</v>
      </c>
    </row>
    <row r="6447" spans="1:5" x14ac:dyDescent="0.2">
      <c r="A6447">
        <v>12200</v>
      </c>
      <c r="B6447">
        <v>10405</v>
      </c>
      <c r="C6447">
        <v>18</v>
      </c>
      <c r="D6447">
        <v>197.8</v>
      </c>
      <c r="E6447">
        <v>2.6</v>
      </c>
    </row>
    <row r="6448" spans="1:5" x14ac:dyDescent="0.2">
      <c r="A6448">
        <v>12205</v>
      </c>
      <c r="B6448">
        <v>10410</v>
      </c>
      <c r="C6448">
        <v>18</v>
      </c>
      <c r="D6448">
        <v>197.8</v>
      </c>
      <c r="E6448">
        <v>2.6</v>
      </c>
    </row>
    <row r="6449" spans="1:5" x14ac:dyDescent="0.2">
      <c r="A6449">
        <v>12210</v>
      </c>
      <c r="B6449">
        <v>10419</v>
      </c>
      <c r="C6449">
        <v>18</v>
      </c>
      <c r="D6449">
        <v>197.1</v>
      </c>
      <c r="E6449">
        <v>2.7</v>
      </c>
    </row>
    <row r="6450" spans="1:5" x14ac:dyDescent="0.2">
      <c r="A6450">
        <v>12215</v>
      </c>
      <c r="B6450">
        <v>10419</v>
      </c>
      <c r="C6450">
        <v>18</v>
      </c>
      <c r="D6450">
        <v>197.9</v>
      </c>
      <c r="E6450">
        <v>2.6</v>
      </c>
    </row>
    <row r="6451" spans="1:5" x14ac:dyDescent="0.2">
      <c r="A6451">
        <v>12220</v>
      </c>
      <c r="B6451">
        <v>10405</v>
      </c>
      <c r="C6451">
        <v>18</v>
      </c>
      <c r="D6451">
        <v>200.6</v>
      </c>
      <c r="E6451">
        <v>2.7</v>
      </c>
    </row>
    <row r="6452" spans="1:5" x14ac:dyDescent="0.2">
      <c r="A6452">
        <v>12225</v>
      </c>
      <c r="B6452">
        <v>10395</v>
      </c>
      <c r="C6452">
        <v>18</v>
      </c>
      <c r="D6452">
        <v>202.9</v>
      </c>
      <c r="E6452">
        <v>2.7</v>
      </c>
    </row>
    <row r="6453" spans="1:5" x14ac:dyDescent="0.2">
      <c r="A6453">
        <v>12230</v>
      </c>
      <c r="B6453">
        <v>10384</v>
      </c>
      <c r="C6453">
        <v>18</v>
      </c>
      <c r="D6453">
        <v>205.3</v>
      </c>
      <c r="E6453">
        <v>2.7</v>
      </c>
    </row>
    <row r="6454" spans="1:5" x14ac:dyDescent="0.2">
      <c r="A6454">
        <v>12235</v>
      </c>
      <c r="B6454">
        <v>10373</v>
      </c>
      <c r="C6454">
        <v>18</v>
      </c>
      <c r="D6454">
        <v>207.7</v>
      </c>
      <c r="E6454">
        <v>2.7</v>
      </c>
    </row>
    <row r="6455" spans="1:5" x14ac:dyDescent="0.2">
      <c r="A6455">
        <v>12240</v>
      </c>
      <c r="B6455">
        <v>10363</v>
      </c>
      <c r="C6455">
        <v>18</v>
      </c>
      <c r="D6455">
        <v>209.9</v>
      </c>
      <c r="E6455">
        <v>2.7</v>
      </c>
    </row>
    <row r="6456" spans="1:5" x14ac:dyDescent="0.2">
      <c r="A6456">
        <v>12245</v>
      </c>
      <c r="B6456">
        <v>10357</v>
      </c>
      <c r="C6456">
        <v>18</v>
      </c>
      <c r="D6456">
        <v>211.6</v>
      </c>
      <c r="E6456">
        <v>2.7</v>
      </c>
    </row>
    <row r="6457" spans="1:5" x14ac:dyDescent="0.2">
      <c r="A6457">
        <v>12250</v>
      </c>
      <c r="B6457">
        <v>10366</v>
      </c>
      <c r="C6457">
        <v>18</v>
      </c>
      <c r="D6457">
        <v>210.9</v>
      </c>
      <c r="E6457">
        <v>2.7</v>
      </c>
    </row>
    <row r="6458" spans="1:5" x14ac:dyDescent="0.2">
      <c r="A6458">
        <v>12255</v>
      </c>
      <c r="B6458">
        <v>10381</v>
      </c>
      <c r="C6458">
        <v>18</v>
      </c>
      <c r="D6458">
        <v>209.5</v>
      </c>
      <c r="E6458">
        <v>2.7</v>
      </c>
    </row>
    <row r="6459" spans="1:5" x14ac:dyDescent="0.2">
      <c r="A6459">
        <v>12260</v>
      </c>
      <c r="B6459">
        <v>10384</v>
      </c>
      <c r="C6459">
        <v>18</v>
      </c>
      <c r="D6459">
        <v>209.6</v>
      </c>
      <c r="E6459">
        <v>2.7</v>
      </c>
    </row>
    <row r="6460" spans="1:5" x14ac:dyDescent="0.2">
      <c r="A6460">
        <v>12265</v>
      </c>
      <c r="B6460">
        <v>10382</v>
      </c>
      <c r="C6460">
        <v>18</v>
      </c>
      <c r="D6460">
        <v>210.7</v>
      </c>
      <c r="E6460">
        <v>2.7</v>
      </c>
    </row>
    <row r="6461" spans="1:5" x14ac:dyDescent="0.2">
      <c r="A6461">
        <v>12270</v>
      </c>
      <c r="B6461">
        <v>10392</v>
      </c>
      <c r="C6461">
        <v>18</v>
      </c>
      <c r="D6461">
        <v>209.9</v>
      </c>
      <c r="E6461">
        <v>2.7</v>
      </c>
    </row>
    <row r="6462" spans="1:5" x14ac:dyDescent="0.2">
      <c r="A6462">
        <v>12275</v>
      </c>
      <c r="B6462">
        <v>10408</v>
      </c>
      <c r="C6462">
        <v>18</v>
      </c>
      <c r="D6462">
        <v>208.2</v>
      </c>
      <c r="E6462">
        <v>2.7</v>
      </c>
    </row>
    <row r="6463" spans="1:5" x14ac:dyDescent="0.2">
      <c r="A6463">
        <v>12280</v>
      </c>
      <c r="B6463">
        <v>10420</v>
      </c>
      <c r="C6463">
        <v>18</v>
      </c>
      <c r="D6463">
        <v>207.2</v>
      </c>
      <c r="E6463">
        <v>2.7</v>
      </c>
    </row>
    <row r="6464" spans="1:5" x14ac:dyDescent="0.2">
      <c r="A6464">
        <v>12285</v>
      </c>
      <c r="B6464">
        <v>10422</v>
      </c>
      <c r="C6464">
        <v>18</v>
      </c>
      <c r="D6464">
        <v>207.6</v>
      </c>
      <c r="E6464">
        <v>2.7</v>
      </c>
    </row>
    <row r="6465" spans="1:5" x14ac:dyDescent="0.2">
      <c r="A6465">
        <v>12290</v>
      </c>
      <c r="B6465">
        <v>10417</v>
      </c>
      <c r="C6465">
        <v>18</v>
      </c>
      <c r="D6465">
        <v>209.1</v>
      </c>
      <c r="E6465">
        <v>2.7</v>
      </c>
    </row>
    <row r="6466" spans="1:5" x14ac:dyDescent="0.2">
      <c r="A6466">
        <v>12295</v>
      </c>
      <c r="B6466">
        <v>10405</v>
      </c>
      <c r="C6466">
        <v>18</v>
      </c>
      <c r="D6466">
        <v>211.6</v>
      </c>
      <c r="E6466">
        <v>2.8</v>
      </c>
    </row>
    <row r="6467" spans="1:5" x14ac:dyDescent="0.2">
      <c r="A6467">
        <v>12300</v>
      </c>
      <c r="B6467">
        <v>10393</v>
      </c>
      <c r="C6467">
        <v>21</v>
      </c>
      <c r="D6467">
        <v>214.2</v>
      </c>
      <c r="E6467">
        <v>3.1</v>
      </c>
    </row>
    <row r="6468" spans="1:5" x14ac:dyDescent="0.2">
      <c r="A6468">
        <v>12305</v>
      </c>
      <c r="B6468">
        <v>10378</v>
      </c>
      <c r="C6468">
        <v>22</v>
      </c>
      <c r="D6468">
        <v>217.1</v>
      </c>
      <c r="E6468">
        <v>3.3</v>
      </c>
    </row>
    <row r="6469" spans="1:5" x14ac:dyDescent="0.2">
      <c r="A6469">
        <v>12310</v>
      </c>
      <c r="B6469">
        <v>10365</v>
      </c>
      <c r="C6469">
        <v>21</v>
      </c>
      <c r="D6469">
        <v>219.9</v>
      </c>
      <c r="E6469">
        <v>3.1</v>
      </c>
    </row>
    <row r="6470" spans="1:5" x14ac:dyDescent="0.2">
      <c r="A6470">
        <v>12315</v>
      </c>
      <c r="B6470">
        <v>10357</v>
      </c>
      <c r="C6470">
        <v>19</v>
      </c>
      <c r="D6470">
        <v>221.8</v>
      </c>
      <c r="E6470">
        <v>2.8</v>
      </c>
    </row>
    <row r="6471" spans="1:5" x14ac:dyDescent="0.2">
      <c r="A6471">
        <v>12320</v>
      </c>
      <c r="B6471">
        <v>10361</v>
      </c>
      <c r="C6471">
        <v>19</v>
      </c>
      <c r="D6471">
        <v>221.9</v>
      </c>
      <c r="E6471">
        <v>2.9</v>
      </c>
    </row>
    <row r="6472" spans="1:5" x14ac:dyDescent="0.2">
      <c r="A6472">
        <v>12325</v>
      </c>
      <c r="B6472">
        <v>10378</v>
      </c>
      <c r="C6472">
        <v>24</v>
      </c>
      <c r="D6472">
        <v>220.1</v>
      </c>
      <c r="E6472">
        <v>3.6</v>
      </c>
    </row>
    <row r="6473" spans="1:5" x14ac:dyDescent="0.2">
      <c r="A6473">
        <v>12330</v>
      </c>
      <c r="B6473">
        <v>10403</v>
      </c>
      <c r="C6473">
        <v>27</v>
      </c>
      <c r="D6473">
        <v>217</v>
      </c>
      <c r="E6473">
        <v>4</v>
      </c>
    </row>
    <row r="6474" spans="1:5" x14ac:dyDescent="0.2">
      <c r="A6474">
        <v>12335</v>
      </c>
      <c r="B6474">
        <v>10422</v>
      </c>
      <c r="C6474">
        <v>22</v>
      </c>
      <c r="D6474">
        <v>214.9</v>
      </c>
      <c r="E6474">
        <v>3.4</v>
      </c>
    </row>
    <row r="6475" spans="1:5" x14ac:dyDescent="0.2">
      <c r="A6475">
        <v>12340</v>
      </c>
      <c r="B6475">
        <v>10424</v>
      </c>
      <c r="C6475">
        <v>19</v>
      </c>
      <c r="D6475">
        <v>215.4</v>
      </c>
      <c r="E6475">
        <v>2.9</v>
      </c>
    </row>
    <row r="6476" spans="1:5" x14ac:dyDescent="0.2">
      <c r="A6476">
        <v>12345</v>
      </c>
      <c r="B6476">
        <v>10410</v>
      </c>
      <c r="C6476">
        <v>22</v>
      </c>
      <c r="D6476">
        <v>218.1</v>
      </c>
      <c r="E6476">
        <v>3.3</v>
      </c>
    </row>
    <row r="6477" spans="1:5" x14ac:dyDescent="0.2">
      <c r="A6477">
        <v>12350</v>
      </c>
      <c r="B6477">
        <v>10392</v>
      </c>
      <c r="C6477">
        <v>23</v>
      </c>
      <c r="D6477">
        <v>221.6</v>
      </c>
      <c r="E6477">
        <v>3.5</v>
      </c>
    </row>
    <row r="6478" spans="1:5" x14ac:dyDescent="0.2">
      <c r="A6478">
        <v>12355</v>
      </c>
      <c r="B6478">
        <v>10376</v>
      </c>
      <c r="C6478">
        <v>21</v>
      </c>
      <c r="D6478">
        <v>224.9</v>
      </c>
      <c r="E6478">
        <v>3.2</v>
      </c>
    </row>
    <row r="6479" spans="1:5" x14ac:dyDescent="0.2">
      <c r="A6479">
        <v>12360</v>
      </c>
      <c r="B6479">
        <v>10367</v>
      </c>
      <c r="C6479">
        <v>18</v>
      </c>
      <c r="D6479">
        <v>227</v>
      </c>
      <c r="E6479">
        <v>2.8</v>
      </c>
    </row>
    <row r="6480" spans="1:5" x14ac:dyDescent="0.2">
      <c r="A6480">
        <v>12365</v>
      </c>
      <c r="B6480">
        <v>10366</v>
      </c>
      <c r="C6480">
        <v>18</v>
      </c>
      <c r="D6480">
        <v>227.9</v>
      </c>
      <c r="E6480">
        <v>2.7</v>
      </c>
    </row>
    <row r="6481" spans="1:5" x14ac:dyDescent="0.2">
      <c r="A6481">
        <v>12370</v>
      </c>
      <c r="B6481">
        <v>10369</v>
      </c>
      <c r="C6481">
        <v>18</v>
      </c>
      <c r="D6481">
        <v>228.1</v>
      </c>
      <c r="E6481">
        <v>2.7</v>
      </c>
    </row>
    <row r="6482" spans="1:5" x14ac:dyDescent="0.2">
      <c r="A6482">
        <v>12375</v>
      </c>
      <c r="B6482">
        <v>10373</v>
      </c>
      <c r="C6482">
        <v>17</v>
      </c>
      <c r="D6482">
        <v>228.3</v>
      </c>
      <c r="E6482">
        <v>2.6</v>
      </c>
    </row>
    <row r="6483" spans="1:5" x14ac:dyDescent="0.2">
      <c r="A6483">
        <v>12380</v>
      </c>
      <c r="B6483">
        <v>10375</v>
      </c>
      <c r="C6483">
        <v>17</v>
      </c>
      <c r="D6483">
        <v>228.7</v>
      </c>
      <c r="E6483">
        <v>2.6</v>
      </c>
    </row>
    <row r="6484" spans="1:5" x14ac:dyDescent="0.2">
      <c r="A6484">
        <v>12385</v>
      </c>
      <c r="B6484">
        <v>10377</v>
      </c>
      <c r="C6484">
        <v>17</v>
      </c>
      <c r="D6484">
        <v>229.2</v>
      </c>
      <c r="E6484">
        <v>2.7</v>
      </c>
    </row>
    <row r="6485" spans="1:5" x14ac:dyDescent="0.2">
      <c r="A6485">
        <v>12390</v>
      </c>
      <c r="B6485">
        <v>10375</v>
      </c>
      <c r="C6485">
        <v>18</v>
      </c>
      <c r="D6485">
        <v>230.2</v>
      </c>
      <c r="E6485">
        <v>2.8</v>
      </c>
    </row>
    <row r="6486" spans="1:5" x14ac:dyDescent="0.2">
      <c r="A6486">
        <v>12395</v>
      </c>
      <c r="B6486">
        <v>10366</v>
      </c>
      <c r="C6486">
        <v>19</v>
      </c>
      <c r="D6486">
        <v>232.3</v>
      </c>
      <c r="E6486">
        <v>3</v>
      </c>
    </row>
    <row r="6487" spans="1:5" x14ac:dyDescent="0.2">
      <c r="A6487">
        <v>12400</v>
      </c>
      <c r="B6487">
        <v>10355</v>
      </c>
      <c r="C6487">
        <v>20</v>
      </c>
      <c r="D6487">
        <v>234.8</v>
      </c>
      <c r="E6487">
        <v>3.1</v>
      </c>
    </row>
    <row r="6488" spans="1:5" x14ac:dyDescent="0.2">
      <c r="A6488">
        <v>12405</v>
      </c>
      <c r="B6488">
        <v>10345</v>
      </c>
      <c r="C6488">
        <v>19</v>
      </c>
      <c r="D6488">
        <v>237.1</v>
      </c>
      <c r="E6488">
        <v>2.9</v>
      </c>
    </row>
    <row r="6489" spans="1:5" x14ac:dyDescent="0.2">
      <c r="A6489">
        <v>12410</v>
      </c>
      <c r="B6489">
        <v>10339</v>
      </c>
      <c r="C6489">
        <v>18</v>
      </c>
      <c r="D6489">
        <v>238.7</v>
      </c>
      <c r="E6489">
        <v>2.8</v>
      </c>
    </row>
    <row r="6490" spans="1:5" x14ac:dyDescent="0.2">
      <c r="A6490">
        <v>12415</v>
      </c>
      <c r="B6490">
        <v>10337</v>
      </c>
      <c r="C6490">
        <v>18</v>
      </c>
      <c r="D6490">
        <v>239.8</v>
      </c>
      <c r="E6490">
        <v>2.8</v>
      </c>
    </row>
    <row r="6491" spans="1:5" x14ac:dyDescent="0.2">
      <c r="A6491">
        <v>12420</v>
      </c>
      <c r="B6491">
        <v>10341</v>
      </c>
      <c r="C6491">
        <v>20</v>
      </c>
      <c r="D6491">
        <v>239.9</v>
      </c>
      <c r="E6491">
        <v>3</v>
      </c>
    </row>
    <row r="6492" spans="1:5" x14ac:dyDescent="0.2">
      <c r="A6492">
        <v>12425</v>
      </c>
      <c r="B6492">
        <v>10351</v>
      </c>
      <c r="C6492">
        <v>22</v>
      </c>
      <c r="D6492">
        <v>239.1</v>
      </c>
      <c r="E6492">
        <v>3.4</v>
      </c>
    </row>
    <row r="6493" spans="1:5" x14ac:dyDescent="0.2">
      <c r="A6493">
        <v>12430</v>
      </c>
      <c r="B6493">
        <v>10363</v>
      </c>
      <c r="C6493">
        <v>23</v>
      </c>
      <c r="D6493">
        <v>238.1</v>
      </c>
      <c r="E6493">
        <v>3.5</v>
      </c>
    </row>
    <row r="6494" spans="1:5" x14ac:dyDescent="0.2">
      <c r="A6494">
        <v>12435</v>
      </c>
      <c r="B6494">
        <v>10371</v>
      </c>
      <c r="C6494">
        <v>22</v>
      </c>
      <c r="D6494">
        <v>237.5</v>
      </c>
      <c r="E6494">
        <v>3.4</v>
      </c>
    </row>
    <row r="6495" spans="1:5" x14ac:dyDescent="0.2">
      <c r="A6495">
        <v>12440</v>
      </c>
      <c r="B6495">
        <v>10375</v>
      </c>
      <c r="C6495">
        <v>21</v>
      </c>
      <c r="D6495">
        <v>237.6</v>
      </c>
      <c r="E6495">
        <v>3.2</v>
      </c>
    </row>
    <row r="6496" spans="1:5" x14ac:dyDescent="0.2">
      <c r="A6496">
        <v>12445</v>
      </c>
      <c r="B6496">
        <v>10377</v>
      </c>
      <c r="C6496">
        <v>21</v>
      </c>
      <c r="D6496">
        <v>238.1</v>
      </c>
      <c r="E6496">
        <v>3.2</v>
      </c>
    </row>
    <row r="6497" spans="1:5" x14ac:dyDescent="0.2">
      <c r="A6497">
        <v>12450</v>
      </c>
      <c r="B6497">
        <v>10380</v>
      </c>
      <c r="C6497">
        <v>20</v>
      </c>
      <c r="D6497">
        <v>238.3</v>
      </c>
      <c r="E6497">
        <v>3.2</v>
      </c>
    </row>
    <row r="6498" spans="1:5" x14ac:dyDescent="0.2">
      <c r="A6498">
        <v>12455</v>
      </c>
      <c r="B6498">
        <v>10386</v>
      </c>
      <c r="C6498">
        <v>21</v>
      </c>
      <c r="D6498">
        <v>238.2</v>
      </c>
      <c r="E6498">
        <v>3.3</v>
      </c>
    </row>
    <row r="6499" spans="1:5" x14ac:dyDescent="0.2">
      <c r="A6499">
        <v>12460</v>
      </c>
      <c r="B6499">
        <v>10396</v>
      </c>
      <c r="C6499">
        <v>22</v>
      </c>
      <c r="D6499">
        <v>237.5</v>
      </c>
      <c r="E6499">
        <v>3.4</v>
      </c>
    </row>
    <row r="6500" spans="1:5" x14ac:dyDescent="0.2">
      <c r="A6500">
        <v>12465</v>
      </c>
      <c r="B6500">
        <v>10408</v>
      </c>
      <c r="C6500">
        <v>22</v>
      </c>
      <c r="D6500">
        <v>236.4</v>
      </c>
      <c r="E6500">
        <v>3.4</v>
      </c>
    </row>
    <row r="6501" spans="1:5" x14ac:dyDescent="0.2">
      <c r="A6501">
        <v>12470</v>
      </c>
      <c r="B6501">
        <v>10423</v>
      </c>
      <c r="C6501">
        <v>23</v>
      </c>
      <c r="D6501">
        <v>234.8</v>
      </c>
      <c r="E6501">
        <v>3.6</v>
      </c>
    </row>
    <row r="6502" spans="1:5" x14ac:dyDescent="0.2">
      <c r="A6502">
        <v>12475</v>
      </c>
      <c r="B6502">
        <v>10442</v>
      </c>
      <c r="C6502">
        <v>26</v>
      </c>
      <c r="D6502">
        <v>232.6</v>
      </c>
      <c r="E6502">
        <v>3.9</v>
      </c>
    </row>
    <row r="6503" spans="1:5" x14ac:dyDescent="0.2">
      <c r="A6503">
        <v>12480</v>
      </c>
      <c r="B6503">
        <v>10464</v>
      </c>
      <c r="C6503">
        <v>26</v>
      </c>
      <c r="D6503">
        <v>230</v>
      </c>
      <c r="E6503">
        <v>4</v>
      </c>
    </row>
    <row r="6504" spans="1:5" x14ac:dyDescent="0.2">
      <c r="A6504">
        <v>12485</v>
      </c>
      <c r="B6504">
        <v>10485</v>
      </c>
      <c r="C6504">
        <v>25</v>
      </c>
      <c r="D6504">
        <v>227.5</v>
      </c>
      <c r="E6504">
        <v>3.8</v>
      </c>
    </row>
    <row r="6505" spans="1:5" x14ac:dyDescent="0.2">
      <c r="A6505">
        <v>12490</v>
      </c>
      <c r="B6505">
        <v>10504</v>
      </c>
      <c r="C6505">
        <v>24</v>
      </c>
      <c r="D6505">
        <v>225.4</v>
      </c>
      <c r="E6505">
        <v>3.7</v>
      </c>
    </row>
    <row r="6506" spans="1:5" x14ac:dyDescent="0.2">
      <c r="A6506">
        <v>12495</v>
      </c>
      <c r="B6506">
        <v>10523</v>
      </c>
      <c r="C6506">
        <v>25</v>
      </c>
      <c r="D6506">
        <v>223.2</v>
      </c>
      <c r="E6506">
        <v>3.8</v>
      </c>
    </row>
    <row r="6507" spans="1:5" x14ac:dyDescent="0.2">
      <c r="A6507">
        <v>12500</v>
      </c>
      <c r="B6507">
        <v>10541</v>
      </c>
      <c r="C6507">
        <v>23</v>
      </c>
      <c r="D6507">
        <v>221.2</v>
      </c>
      <c r="E6507">
        <v>3.6</v>
      </c>
    </row>
    <row r="6508" spans="1:5" x14ac:dyDescent="0.2">
      <c r="A6508">
        <v>12505</v>
      </c>
      <c r="B6508">
        <v>10551</v>
      </c>
      <c r="C6508">
        <v>20</v>
      </c>
      <c r="D6508">
        <v>220.4</v>
      </c>
      <c r="E6508">
        <v>3.1</v>
      </c>
    </row>
    <row r="6509" spans="1:5" x14ac:dyDescent="0.2">
      <c r="A6509">
        <v>12510</v>
      </c>
      <c r="B6509">
        <v>10555</v>
      </c>
      <c r="C6509">
        <v>19</v>
      </c>
      <c r="D6509">
        <v>220.5</v>
      </c>
      <c r="E6509">
        <v>2.9</v>
      </c>
    </row>
    <row r="6510" spans="1:5" x14ac:dyDescent="0.2">
      <c r="A6510">
        <v>12515</v>
      </c>
      <c r="B6510">
        <v>10557</v>
      </c>
      <c r="C6510">
        <v>19</v>
      </c>
      <c r="D6510">
        <v>220.9</v>
      </c>
      <c r="E6510">
        <v>2.8</v>
      </c>
    </row>
    <row r="6511" spans="1:5" x14ac:dyDescent="0.2">
      <c r="A6511">
        <v>12520</v>
      </c>
      <c r="B6511">
        <v>10557</v>
      </c>
      <c r="C6511">
        <v>18</v>
      </c>
      <c r="D6511">
        <v>221.7</v>
      </c>
      <c r="E6511">
        <v>2.8</v>
      </c>
    </row>
    <row r="6512" spans="1:5" x14ac:dyDescent="0.2">
      <c r="A6512">
        <v>12525</v>
      </c>
      <c r="B6512">
        <v>10553</v>
      </c>
      <c r="C6512">
        <v>18</v>
      </c>
      <c r="D6512">
        <v>223.1</v>
      </c>
      <c r="E6512">
        <v>2.8</v>
      </c>
    </row>
    <row r="6513" spans="1:5" x14ac:dyDescent="0.2">
      <c r="A6513">
        <v>12530</v>
      </c>
      <c r="B6513">
        <v>10544</v>
      </c>
      <c r="C6513">
        <v>20</v>
      </c>
      <c r="D6513">
        <v>225.2</v>
      </c>
      <c r="E6513">
        <v>3</v>
      </c>
    </row>
    <row r="6514" spans="1:5" x14ac:dyDescent="0.2">
      <c r="A6514">
        <v>12535</v>
      </c>
      <c r="B6514">
        <v>10529</v>
      </c>
      <c r="C6514">
        <v>21</v>
      </c>
      <c r="D6514">
        <v>228.2</v>
      </c>
      <c r="E6514">
        <v>3.2</v>
      </c>
    </row>
    <row r="6515" spans="1:5" x14ac:dyDescent="0.2">
      <c r="A6515">
        <v>12540</v>
      </c>
      <c r="B6515">
        <v>10513</v>
      </c>
      <c r="C6515">
        <v>22</v>
      </c>
      <c r="D6515">
        <v>231.5</v>
      </c>
      <c r="E6515">
        <v>3.4</v>
      </c>
    </row>
    <row r="6516" spans="1:5" x14ac:dyDescent="0.2">
      <c r="A6516">
        <v>12545</v>
      </c>
      <c r="B6516">
        <v>10494</v>
      </c>
      <c r="C6516">
        <v>23</v>
      </c>
      <c r="D6516">
        <v>235.1</v>
      </c>
      <c r="E6516">
        <v>3.5</v>
      </c>
    </row>
    <row r="6517" spans="1:5" x14ac:dyDescent="0.2">
      <c r="A6517">
        <v>12550</v>
      </c>
      <c r="B6517">
        <v>10479</v>
      </c>
      <c r="C6517">
        <v>20</v>
      </c>
      <c r="D6517">
        <v>238.1</v>
      </c>
      <c r="E6517">
        <v>3.1</v>
      </c>
    </row>
    <row r="6518" spans="1:5" x14ac:dyDescent="0.2">
      <c r="A6518">
        <v>12555</v>
      </c>
      <c r="B6518">
        <v>10473</v>
      </c>
      <c r="C6518">
        <v>18</v>
      </c>
      <c r="D6518">
        <v>239.8</v>
      </c>
      <c r="E6518">
        <v>2.7</v>
      </c>
    </row>
    <row r="6519" spans="1:5" x14ac:dyDescent="0.2">
      <c r="A6519">
        <v>12560</v>
      </c>
      <c r="B6519">
        <v>10472</v>
      </c>
      <c r="C6519">
        <v>17</v>
      </c>
      <c r="D6519">
        <v>240.7</v>
      </c>
      <c r="E6519">
        <v>2.6</v>
      </c>
    </row>
    <row r="6520" spans="1:5" x14ac:dyDescent="0.2">
      <c r="A6520">
        <v>12565</v>
      </c>
      <c r="B6520">
        <v>10472</v>
      </c>
      <c r="C6520">
        <v>17</v>
      </c>
      <c r="D6520">
        <v>241.5</v>
      </c>
      <c r="E6520">
        <v>2.7</v>
      </c>
    </row>
    <row r="6521" spans="1:5" x14ac:dyDescent="0.2">
      <c r="A6521">
        <v>12570</v>
      </c>
      <c r="B6521">
        <v>10472</v>
      </c>
      <c r="C6521">
        <v>17</v>
      </c>
      <c r="D6521">
        <v>242.2</v>
      </c>
      <c r="E6521">
        <v>2.7</v>
      </c>
    </row>
    <row r="6522" spans="1:5" x14ac:dyDescent="0.2">
      <c r="A6522">
        <v>12575</v>
      </c>
      <c r="B6522">
        <v>10471</v>
      </c>
      <c r="C6522">
        <v>17</v>
      </c>
      <c r="D6522">
        <v>243</v>
      </c>
      <c r="E6522">
        <v>2.7</v>
      </c>
    </row>
    <row r="6523" spans="1:5" x14ac:dyDescent="0.2">
      <c r="A6523">
        <v>12580</v>
      </c>
      <c r="B6523">
        <v>10473</v>
      </c>
      <c r="C6523">
        <v>17</v>
      </c>
      <c r="D6523">
        <v>243.6</v>
      </c>
      <c r="E6523">
        <v>2.7</v>
      </c>
    </row>
    <row r="6524" spans="1:5" x14ac:dyDescent="0.2">
      <c r="A6524">
        <v>12585</v>
      </c>
      <c r="B6524">
        <v>10481</v>
      </c>
      <c r="C6524">
        <v>19</v>
      </c>
      <c r="D6524">
        <v>243</v>
      </c>
      <c r="E6524">
        <v>3</v>
      </c>
    </row>
    <row r="6525" spans="1:5" x14ac:dyDescent="0.2">
      <c r="A6525">
        <v>12590</v>
      </c>
      <c r="B6525">
        <v>10494</v>
      </c>
      <c r="C6525">
        <v>20</v>
      </c>
      <c r="D6525">
        <v>241.8</v>
      </c>
      <c r="E6525">
        <v>3.1</v>
      </c>
    </row>
    <row r="6526" spans="1:5" x14ac:dyDescent="0.2">
      <c r="A6526">
        <v>12595</v>
      </c>
      <c r="B6526">
        <v>10503</v>
      </c>
      <c r="C6526">
        <v>18</v>
      </c>
      <c r="D6526">
        <v>241.1</v>
      </c>
      <c r="E6526">
        <v>2.8</v>
      </c>
    </row>
    <row r="6527" spans="1:5" x14ac:dyDescent="0.2">
      <c r="A6527">
        <v>12600</v>
      </c>
      <c r="B6527">
        <v>10508</v>
      </c>
      <c r="C6527">
        <v>17</v>
      </c>
      <c r="D6527">
        <v>241.2</v>
      </c>
      <c r="E6527">
        <v>2.7</v>
      </c>
    </row>
    <row r="6528" spans="1:5" x14ac:dyDescent="0.2">
      <c r="A6528">
        <v>12605</v>
      </c>
      <c r="B6528">
        <v>10514</v>
      </c>
      <c r="C6528">
        <v>18</v>
      </c>
      <c r="D6528">
        <v>240.9</v>
      </c>
      <c r="E6528">
        <v>2.9</v>
      </c>
    </row>
    <row r="6529" spans="1:5" x14ac:dyDescent="0.2">
      <c r="A6529">
        <v>12610</v>
      </c>
      <c r="B6529">
        <v>10530</v>
      </c>
      <c r="C6529">
        <v>22</v>
      </c>
      <c r="D6529">
        <v>239.3</v>
      </c>
      <c r="E6529">
        <v>3.4</v>
      </c>
    </row>
    <row r="6530" spans="1:5" x14ac:dyDescent="0.2">
      <c r="A6530">
        <v>12615</v>
      </c>
      <c r="B6530">
        <v>10551</v>
      </c>
      <c r="C6530">
        <v>25</v>
      </c>
      <c r="D6530">
        <v>236.7</v>
      </c>
      <c r="E6530">
        <v>3.8</v>
      </c>
    </row>
    <row r="6531" spans="1:5" x14ac:dyDescent="0.2">
      <c r="A6531">
        <v>12620</v>
      </c>
      <c r="B6531">
        <v>10575</v>
      </c>
      <c r="C6531">
        <v>25</v>
      </c>
      <c r="D6531">
        <v>233.7</v>
      </c>
      <c r="E6531">
        <v>3.9</v>
      </c>
    </row>
    <row r="6532" spans="1:5" x14ac:dyDescent="0.2">
      <c r="A6532">
        <v>12625</v>
      </c>
      <c r="B6532">
        <v>10596</v>
      </c>
      <c r="C6532">
        <v>23</v>
      </c>
      <c r="D6532">
        <v>231.3</v>
      </c>
      <c r="E6532">
        <v>3.5</v>
      </c>
    </row>
    <row r="6533" spans="1:5" x14ac:dyDescent="0.2">
      <c r="A6533">
        <v>12630</v>
      </c>
      <c r="B6533">
        <v>10606</v>
      </c>
      <c r="C6533">
        <v>19</v>
      </c>
      <c r="D6533">
        <v>230.6</v>
      </c>
      <c r="E6533">
        <v>2.9</v>
      </c>
    </row>
    <row r="6534" spans="1:5" x14ac:dyDescent="0.2">
      <c r="A6534">
        <v>12635</v>
      </c>
      <c r="B6534">
        <v>10605</v>
      </c>
      <c r="C6534">
        <v>18</v>
      </c>
      <c r="D6534">
        <v>231.5</v>
      </c>
      <c r="E6534">
        <v>2.8</v>
      </c>
    </row>
    <row r="6535" spans="1:5" x14ac:dyDescent="0.2">
      <c r="A6535">
        <v>12640</v>
      </c>
      <c r="B6535">
        <v>10596</v>
      </c>
      <c r="C6535">
        <v>19</v>
      </c>
      <c r="D6535">
        <v>233.5</v>
      </c>
      <c r="E6535">
        <v>2.9</v>
      </c>
    </row>
    <row r="6536" spans="1:5" x14ac:dyDescent="0.2">
      <c r="A6536">
        <v>12645</v>
      </c>
      <c r="B6536">
        <v>10588</v>
      </c>
      <c r="C6536">
        <v>18</v>
      </c>
      <c r="D6536">
        <v>235.5</v>
      </c>
      <c r="E6536">
        <v>2.8</v>
      </c>
    </row>
    <row r="6537" spans="1:5" x14ac:dyDescent="0.2">
      <c r="A6537">
        <v>12650</v>
      </c>
      <c r="B6537">
        <v>10585</v>
      </c>
      <c r="C6537">
        <v>17</v>
      </c>
      <c r="D6537">
        <v>236.7</v>
      </c>
      <c r="E6537">
        <v>2.7</v>
      </c>
    </row>
    <row r="6538" spans="1:5" x14ac:dyDescent="0.2">
      <c r="A6538">
        <v>12655</v>
      </c>
      <c r="B6538">
        <v>10585</v>
      </c>
      <c r="C6538">
        <v>17</v>
      </c>
      <c r="D6538">
        <v>237.5</v>
      </c>
      <c r="E6538">
        <v>2.6</v>
      </c>
    </row>
    <row r="6539" spans="1:5" x14ac:dyDescent="0.2">
      <c r="A6539">
        <v>12660</v>
      </c>
      <c r="B6539">
        <v>10586</v>
      </c>
      <c r="C6539">
        <v>17</v>
      </c>
      <c r="D6539">
        <v>238.1</v>
      </c>
      <c r="E6539">
        <v>2.7</v>
      </c>
    </row>
    <row r="6540" spans="1:5" x14ac:dyDescent="0.2">
      <c r="A6540">
        <v>12665</v>
      </c>
      <c r="B6540">
        <v>10591</v>
      </c>
      <c r="C6540">
        <v>18</v>
      </c>
      <c r="D6540">
        <v>238.1</v>
      </c>
      <c r="E6540">
        <v>2.7</v>
      </c>
    </row>
    <row r="6541" spans="1:5" x14ac:dyDescent="0.2">
      <c r="A6541">
        <v>12670</v>
      </c>
      <c r="B6541">
        <v>10599</v>
      </c>
      <c r="C6541">
        <v>19</v>
      </c>
      <c r="D6541">
        <v>237.6</v>
      </c>
      <c r="E6541">
        <v>2.9</v>
      </c>
    </row>
    <row r="6542" spans="1:5" x14ac:dyDescent="0.2">
      <c r="A6542">
        <v>12675</v>
      </c>
      <c r="B6542">
        <v>10610</v>
      </c>
      <c r="C6542">
        <v>20</v>
      </c>
      <c r="D6542">
        <v>236.7</v>
      </c>
      <c r="E6542">
        <v>3</v>
      </c>
    </row>
    <row r="6543" spans="1:5" x14ac:dyDescent="0.2">
      <c r="A6543">
        <v>12680</v>
      </c>
      <c r="B6543">
        <v>10622</v>
      </c>
      <c r="C6543">
        <v>20</v>
      </c>
      <c r="D6543">
        <v>235.6</v>
      </c>
      <c r="E6543">
        <v>3.1</v>
      </c>
    </row>
    <row r="6544" spans="1:5" x14ac:dyDescent="0.2">
      <c r="A6544">
        <v>12685</v>
      </c>
      <c r="B6544">
        <v>10634</v>
      </c>
      <c r="C6544">
        <v>20</v>
      </c>
      <c r="D6544">
        <v>234.4</v>
      </c>
      <c r="E6544">
        <v>3.1</v>
      </c>
    </row>
    <row r="6545" spans="1:5" x14ac:dyDescent="0.2">
      <c r="A6545">
        <v>12690</v>
      </c>
      <c r="B6545">
        <v>10644</v>
      </c>
      <c r="C6545">
        <v>19</v>
      </c>
      <c r="D6545">
        <v>233.6</v>
      </c>
      <c r="E6545">
        <v>2.9</v>
      </c>
    </row>
    <row r="6546" spans="1:5" x14ac:dyDescent="0.2">
      <c r="A6546">
        <v>12695</v>
      </c>
      <c r="B6546">
        <v>10651</v>
      </c>
      <c r="C6546">
        <v>18</v>
      </c>
      <c r="D6546">
        <v>233.4</v>
      </c>
      <c r="E6546">
        <v>2.8</v>
      </c>
    </row>
    <row r="6547" spans="1:5" x14ac:dyDescent="0.2">
      <c r="A6547">
        <v>12700</v>
      </c>
      <c r="B6547">
        <v>10656</v>
      </c>
      <c r="C6547">
        <v>18</v>
      </c>
      <c r="D6547">
        <v>233.3</v>
      </c>
      <c r="E6547">
        <v>2.8</v>
      </c>
    </row>
    <row r="6548" spans="1:5" x14ac:dyDescent="0.2">
      <c r="A6548">
        <v>12705</v>
      </c>
      <c r="B6548">
        <v>10666</v>
      </c>
      <c r="C6548">
        <v>20</v>
      </c>
      <c r="D6548">
        <v>232.6</v>
      </c>
      <c r="E6548">
        <v>3.1</v>
      </c>
    </row>
    <row r="6549" spans="1:5" x14ac:dyDescent="0.2">
      <c r="A6549">
        <v>12710</v>
      </c>
      <c r="B6549">
        <v>10677</v>
      </c>
      <c r="C6549">
        <v>20</v>
      </c>
      <c r="D6549">
        <v>231.6</v>
      </c>
      <c r="E6549">
        <v>3</v>
      </c>
    </row>
    <row r="6550" spans="1:5" x14ac:dyDescent="0.2">
      <c r="A6550">
        <v>12715</v>
      </c>
      <c r="B6550">
        <v>10684</v>
      </c>
      <c r="C6550">
        <v>19</v>
      </c>
      <c r="D6550">
        <v>231.2</v>
      </c>
      <c r="E6550">
        <v>2.9</v>
      </c>
    </row>
    <row r="6551" spans="1:5" x14ac:dyDescent="0.2">
      <c r="A6551">
        <v>12720</v>
      </c>
      <c r="B6551">
        <v>10696</v>
      </c>
      <c r="C6551">
        <v>21</v>
      </c>
      <c r="D6551">
        <v>230.2</v>
      </c>
      <c r="E6551">
        <v>3.3</v>
      </c>
    </row>
    <row r="6552" spans="1:5" x14ac:dyDescent="0.2">
      <c r="A6552">
        <v>12725</v>
      </c>
      <c r="B6552">
        <v>10717</v>
      </c>
      <c r="C6552">
        <v>26</v>
      </c>
      <c r="D6552">
        <v>227.7</v>
      </c>
      <c r="E6552">
        <v>4</v>
      </c>
    </row>
    <row r="6553" spans="1:5" x14ac:dyDescent="0.2">
      <c r="A6553">
        <v>12730</v>
      </c>
      <c r="B6553">
        <v>10742</v>
      </c>
      <c r="C6553">
        <v>26</v>
      </c>
      <c r="D6553">
        <v>224.6</v>
      </c>
      <c r="E6553">
        <v>4</v>
      </c>
    </row>
    <row r="6554" spans="1:5" x14ac:dyDescent="0.2">
      <c r="A6554">
        <v>12735</v>
      </c>
      <c r="B6554">
        <v>10763</v>
      </c>
      <c r="C6554">
        <v>24</v>
      </c>
      <c r="D6554">
        <v>222.1</v>
      </c>
      <c r="E6554">
        <v>3.7</v>
      </c>
    </row>
    <row r="6555" spans="1:5" x14ac:dyDescent="0.2">
      <c r="A6555">
        <v>12740</v>
      </c>
      <c r="B6555">
        <v>10783</v>
      </c>
      <c r="C6555">
        <v>24</v>
      </c>
      <c r="D6555">
        <v>219.8</v>
      </c>
      <c r="E6555">
        <v>3.6</v>
      </c>
    </row>
    <row r="6556" spans="1:5" x14ac:dyDescent="0.2">
      <c r="A6556">
        <v>12745</v>
      </c>
      <c r="B6556">
        <v>10803</v>
      </c>
      <c r="C6556">
        <v>24</v>
      </c>
      <c r="D6556">
        <v>217.6</v>
      </c>
      <c r="E6556">
        <v>3.6</v>
      </c>
    </row>
    <row r="6557" spans="1:5" x14ac:dyDescent="0.2">
      <c r="A6557">
        <v>12750</v>
      </c>
      <c r="B6557">
        <v>10823</v>
      </c>
      <c r="C6557">
        <v>24</v>
      </c>
      <c r="D6557">
        <v>215.3</v>
      </c>
      <c r="E6557">
        <v>3.7</v>
      </c>
    </row>
    <row r="6558" spans="1:5" x14ac:dyDescent="0.2">
      <c r="A6558">
        <v>12755</v>
      </c>
      <c r="B6558">
        <v>10846</v>
      </c>
      <c r="C6558">
        <v>26</v>
      </c>
      <c r="D6558">
        <v>212.6</v>
      </c>
      <c r="E6558">
        <v>3.9</v>
      </c>
    </row>
    <row r="6559" spans="1:5" x14ac:dyDescent="0.2">
      <c r="A6559">
        <v>12760</v>
      </c>
      <c r="B6559">
        <v>10872</v>
      </c>
      <c r="C6559">
        <v>28</v>
      </c>
      <c r="D6559">
        <v>209.4</v>
      </c>
      <c r="E6559">
        <v>4.0999999999999996</v>
      </c>
    </row>
    <row r="6560" spans="1:5" x14ac:dyDescent="0.2">
      <c r="A6560">
        <v>12765</v>
      </c>
      <c r="B6560">
        <v>10896</v>
      </c>
      <c r="C6560">
        <v>26</v>
      </c>
      <c r="D6560">
        <v>206.5</v>
      </c>
      <c r="E6560">
        <v>3.8</v>
      </c>
    </row>
    <row r="6561" spans="1:5" x14ac:dyDescent="0.2">
      <c r="A6561">
        <v>12770</v>
      </c>
      <c r="B6561">
        <v>10908</v>
      </c>
      <c r="C6561">
        <v>21</v>
      </c>
      <c r="D6561">
        <v>205.3</v>
      </c>
      <c r="E6561">
        <v>3.1</v>
      </c>
    </row>
    <row r="6562" spans="1:5" x14ac:dyDescent="0.2">
      <c r="A6562">
        <v>12775</v>
      </c>
      <c r="B6562">
        <v>10912</v>
      </c>
      <c r="C6562">
        <v>19</v>
      </c>
      <c r="D6562">
        <v>205.6</v>
      </c>
      <c r="E6562">
        <v>2.8</v>
      </c>
    </row>
    <row r="6563" spans="1:5" x14ac:dyDescent="0.2">
      <c r="A6563">
        <v>12780</v>
      </c>
      <c r="B6563">
        <v>10912</v>
      </c>
      <c r="C6563">
        <v>19</v>
      </c>
      <c r="D6563">
        <v>206.3</v>
      </c>
      <c r="E6563">
        <v>2.8</v>
      </c>
    </row>
    <row r="6564" spans="1:5" x14ac:dyDescent="0.2">
      <c r="A6564">
        <v>12785</v>
      </c>
      <c r="B6564">
        <v>10913</v>
      </c>
      <c r="C6564">
        <v>19</v>
      </c>
      <c r="D6564">
        <v>206.9</v>
      </c>
      <c r="E6564">
        <v>2.8</v>
      </c>
    </row>
    <row r="6565" spans="1:5" x14ac:dyDescent="0.2">
      <c r="A6565">
        <v>12790</v>
      </c>
      <c r="B6565">
        <v>10913</v>
      </c>
      <c r="C6565">
        <v>19</v>
      </c>
      <c r="D6565">
        <v>207.5</v>
      </c>
      <c r="E6565">
        <v>2.8</v>
      </c>
    </row>
    <row r="6566" spans="1:5" x14ac:dyDescent="0.2">
      <c r="A6566">
        <v>12795</v>
      </c>
      <c r="B6566">
        <v>10913</v>
      </c>
      <c r="C6566">
        <v>19</v>
      </c>
      <c r="D6566">
        <v>208.4</v>
      </c>
      <c r="E6566">
        <v>2.8</v>
      </c>
    </row>
    <row r="6567" spans="1:5" x14ac:dyDescent="0.2">
      <c r="A6567">
        <v>12800</v>
      </c>
      <c r="B6567">
        <v>10908</v>
      </c>
      <c r="C6567">
        <v>19</v>
      </c>
      <c r="D6567">
        <v>209.7</v>
      </c>
      <c r="E6567">
        <v>2.8</v>
      </c>
    </row>
    <row r="6568" spans="1:5" x14ac:dyDescent="0.2">
      <c r="A6568">
        <v>12805</v>
      </c>
      <c r="B6568">
        <v>10905</v>
      </c>
      <c r="C6568">
        <v>19</v>
      </c>
      <c r="D6568">
        <v>211</v>
      </c>
      <c r="E6568">
        <v>2.8</v>
      </c>
    </row>
    <row r="6569" spans="1:5" x14ac:dyDescent="0.2">
      <c r="A6569">
        <v>12810</v>
      </c>
      <c r="B6569">
        <v>10905</v>
      </c>
      <c r="C6569">
        <v>19</v>
      </c>
      <c r="D6569">
        <v>211.7</v>
      </c>
      <c r="E6569">
        <v>2.8</v>
      </c>
    </row>
    <row r="6570" spans="1:5" x14ac:dyDescent="0.2">
      <c r="A6570">
        <v>12815</v>
      </c>
      <c r="B6570">
        <v>10906</v>
      </c>
      <c r="C6570">
        <v>19</v>
      </c>
      <c r="D6570">
        <v>212.3</v>
      </c>
      <c r="E6570">
        <v>2.9</v>
      </c>
    </row>
    <row r="6571" spans="1:5" x14ac:dyDescent="0.2">
      <c r="A6571">
        <v>12820</v>
      </c>
      <c r="B6571">
        <v>10909</v>
      </c>
      <c r="C6571">
        <v>19</v>
      </c>
      <c r="D6571">
        <v>212.6</v>
      </c>
      <c r="E6571">
        <v>2.9</v>
      </c>
    </row>
    <row r="6572" spans="1:5" x14ac:dyDescent="0.2">
      <c r="A6572">
        <v>12825</v>
      </c>
      <c r="B6572">
        <v>10917</v>
      </c>
      <c r="C6572">
        <v>20</v>
      </c>
      <c r="D6572">
        <v>212.1</v>
      </c>
      <c r="E6572">
        <v>3</v>
      </c>
    </row>
    <row r="6573" spans="1:5" x14ac:dyDescent="0.2">
      <c r="A6573">
        <v>12830</v>
      </c>
      <c r="B6573">
        <v>10930</v>
      </c>
      <c r="C6573">
        <v>22</v>
      </c>
      <c r="D6573">
        <v>210.9</v>
      </c>
      <c r="E6573">
        <v>3.3</v>
      </c>
    </row>
    <row r="6574" spans="1:5" x14ac:dyDescent="0.2">
      <c r="A6574">
        <v>12835</v>
      </c>
      <c r="B6574">
        <v>10947</v>
      </c>
      <c r="C6574">
        <v>23</v>
      </c>
      <c r="D6574">
        <v>209</v>
      </c>
      <c r="E6574">
        <v>3.4</v>
      </c>
    </row>
    <row r="6575" spans="1:5" x14ac:dyDescent="0.2">
      <c r="A6575">
        <v>12840</v>
      </c>
      <c r="B6575">
        <v>10964</v>
      </c>
      <c r="C6575">
        <v>23</v>
      </c>
      <c r="D6575">
        <v>207.2</v>
      </c>
      <c r="E6575">
        <v>3.4</v>
      </c>
    </row>
    <row r="6576" spans="1:5" x14ac:dyDescent="0.2">
      <c r="A6576">
        <v>12845</v>
      </c>
      <c r="B6576">
        <v>10979</v>
      </c>
      <c r="C6576">
        <v>22</v>
      </c>
      <c r="D6576">
        <v>205.7</v>
      </c>
      <c r="E6576">
        <v>3.3</v>
      </c>
    </row>
    <row r="6577" spans="1:5" x14ac:dyDescent="0.2">
      <c r="A6577">
        <v>12850</v>
      </c>
      <c r="B6577">
        <v>10989</v>
      </c>
      <c r="C6577">
        <v>20</v>
      </c>
      <c r="D6577">
        <v>204.9</v>
      </c>
      <c r="E6577">
        <v>3</v>
      </c>
    </row>
    <row r="6578" spans="1:5" x14ac:dyDescent="0.2">
      <c r="A6578">
        <v>12855</v>
      </c>
      <c r="B6578">
        <v>10989</v>
      </c>
      <c r="C6578">
        <v>19</v>
      </c>
      <c r="D6578">
        <v>205.6</v>
      </c>
      <c r="E6578">
        <v>2.9</v>
      </c>
    </row>
    <row r="6579" spans="1:5" x14ac:dyDescent="0.2">
      <c r="A6579">
        <v>12860</v>
      </c>
      <c r="B6579">
        <v>10982</v>
      </c>
      <c r="C6579">
        <v>21</v>
      </c>
      <c r="D6579">
        <v>207.4</v>
      </c>
      <c r="E6579">
        <v>3.1</v>
      </c>
    </row>
    <row r="6580" spans="1:5" x14ac:dyDescent="0.2">
      <c r="A6580">
        <v>12865</v>
      </c>
      <c r="B6580">
        <v>10971</v>
      </c>
      <c r="C6580">
        <v>22</v>
      </c>
      <c r="D6580">
        <v>209.8</v>
      </c>
      <c r="E6580">
        <v>3.3</v>
      </c>
    </row>
    <row r="6581" spans="1:5" x14ac:dyDescent="0.2">
      <c r="A6581">
        <v>12870</v>
      </c>
      <c r="B6581">
        <v>10963</v>
      </c>
      <c r="C6581">
        <v>21</v>
      </c>
      <c r="D6581">
        <v>211.8</v>
      </c>
      <c r="E6581">
        <v>3.1</v>
      </c>
    </row>
    <row r="6582" spans="1:5" x14ac:dyDescent="0.2">
      <c r="A6582">
        <v>12875</v>
      </c>
      <c r="B6582">
        <v>10961</v>
      </c>
      <c r="C6582">
        <v>20</v>
      </c>
      <c r="D6582">
        <v>212.8</v>
      </c>
      <c r="E6582">
        <v>3</v>
      </c>
    </row>
    <row r="6583" spans="1:5" x14ac:dyDescent="0.2">
      <c r="A6583">
        <v>12880</v>
      </c>
      <c r="B6583">
        <v>10965</v>
      </c>
      <c r="C6583">
        <v>20</v>
      </c>
      <c r="D6583">
        <v>212.9</v>
      </c>
      <c r="E6583">
        <v>3</v>
      </c>
    </row>
    <row r="6584" spans="1:5" x14ac:dyDescent="0.2">
      <c r="A6584">
        <v>12885</v>
      </c>
      <c r="B6584">
        <v>10973</v>
      </c>
      <c r="C6584">
        <v>21</v>
      </c>
      <c r="D6584">
        <v>212.4</v>
      </c>
      <c r="E6584">
        <v>3.1</v>
      </c>
    </row>
    <row r="6585" spans="1:5" x14ac:dyDescent="0.2">
      <c r="A6585">
        <v>12890</v>
      </c>
      <c r="B6585">
        <v>10982</v>
      </c>
      <c r="C6585">
        <v>21</v>
      </c>
      <c r="D6585">
        <v>211.8</v>
      </c>
      <c r="E6585">
        <v>3.2</v>
      </c>
    </row>
    <row r="6586" spans="1:5" x14ac:dyDescent="0.2">
      <c r="A6586">
        <v>12895</v>
      </c>
      <c r="B6586">
        <v>10991</v>
      </c>
      <c r="C6586">
        <v>21</v>
      </c>
      <c r="D6586">
        <v>211.2</v>
      </c>
      <c r="E6586">
        <v>3.1</v>
      </c>
    </row>
    <row r="6587" spans="1:5" x14ac:dyDescent="0.2">
      <c r="A6587">
        <v>12900</v>
      </c>
      <c r="B6587">
        <v>11000</v>
      </c>
      <c r="C6587">
        <v>21</v>
      </c>
      <c r="D6587">
        <v>210.6</v>
      </c>
      <c r="E6587">
        <v>3.2</v>
      </c>
    </row>
    <row r="6588" spans="1:5" x14ac:dyDescent="0.2">
      <c r="A6588">
        <v>12905</v>
      </c>
      <c r="B6588">
        <v>11009</v>
      </c>
      <c r="C6588">
        <v>21</v>
      </c>
      <c r="D6588">
        <v>209.9</v>
      </c>
      <c r="E6588">
        <v>3.2</v>
      </c>
    </row>
    <row r="6589" spans="1:5" x14ac:dyDescent="0.2">
      <c r="A6589">
        <v>12910</v>
      </c>
      <c r="B6589">
        <v>11017</v>
      </c>
      <c r="C6589">
        <v>21</v>
      </c>
      <c r="D6589">
        <v>209.5</v>
      </c>
      <c r="E6589">
        <v>3.1</v>
      </c>
    </row>
    <row r="6590" spans="1:5" x14ac:dyDescent="0.2">
      <c r="A6590">
        <v>12915</v>
      </c>
      <c r="B6590">
        <v>11022</v>
      </c>
      <c r="C6590">
        <v>20</v>
      </c>
      <c r="D6590">
        <v>209.5</v>
      </c>
      <c r="E6590">
        <v>3</v>
      </c>
    </row>
    <row r="6591" spans="1:5" x14ac:dyDescent="0.2">
      <c r="A6591">
        <v>12920</v>
      </c>
      <c r="B6591">
        <v>11027</v>
      </c>
      <c r="C6591">
        <v>20</v>
      </c>
      <c r="D6591">
        <v>209.4</v>
      </c>
      <c r="E6591">
        <v>3.1</v>
      </c>
    </row>
    <row r="6592" spans="1:5" x14ac:dyDescent="0.2">
      <c r="A6592">
        <v>12925</v>
      </c>
      <c r="B6592">
        <v>11035</v>
      </c>
      <c r="C6592">
        <v>21</v>
      </c>
      <c r="D6592">
        <v>208.9</v>
      </c>
      <c r="E6592">
        <v>3.1</v>
      </c>
    </row>
    <row r="6593" spans="1:5" x14ac:dyDescent="0.2">
      <c r="A6593">
        <v>12930</v>
      </c>
      <c r="B6593">
        <v>11043</v>
      </c>
      <c r="C6593">
        <v>21</v>
      </c>
      <c r="D6593">
        <v>208.5</v>
      </c>
      <c r="E6593">
        <v>3.1</v>
      </c>
    </row>
    <row r="6594" spans="1:5" x14ac:dyDescent="0.2">
      <c r="A6594">
        <v>12935</v>
      </c>
      <c r="B6594">
        <v>11047</v>
      </c>
      <c r="C6594">
        <v>21</v>
      </c>
      <c r="D6594">
        <v>208.6</v>
      </c>
      <c r="E6594">
        <v>3.1</v>
      </c>
    </row>
    <row r="6595" spans="1:5" x14ac:dyDescent="0.2">
      <c r="A6595">
        <v>12940</v>
      </c>
      <c r="B6595">
        <v>11046</v>
      </c>
      <c r="C6595">
        <v>21</v>
      </c>
      <c r="D6595">
        <v>209.5</v>
      </c>
      <c r="E6595">
        <v>3.1</v>
      </c>
    </row>
    <row r="6596" spans="1:5" x14ac:dyDescent="0.2">
      <c r="A6596">
        <v>12945</v>
      </c>
      <c r="B6596">
        <v>11041</v>
      </c>
      <c r="C6596">
        <v>21</v>
      </c>
      <c r="D6596">
        <v>210.9</v>
      </c>
      <c r="E6596">
        <v>3.1</v>
      </c>
    </row>
    <row r="6597" spans="1:5" x14ac:dyDescent="0.2">
      <c r="A6597">
        <v>12950</v>
      </c>
      <c r="B6597">
        <v>11037</v>
      </c>
      <c r="C6597">
        <v>21</v>
      </c>
      <c r="D6597">
        <v>212.3</v>
      </c>
      <c r="E6597">
        <v>3.1</v>
      </c>
    </row>
    <row r="6598" spans="1:5" x14ac:dyDescent="0.2">
      <c r="A6598">
        <v>12955</v>
      </c>
      <c r="B6598">
        <v>11036</v>
      </c>
      <c r="C6598">
        <v>21</v>
      </c>
      <c r="D6598">
        <v>213.2</v>
      </c>
      <c r="E6598">
        <v>3.1</v>
      </c>
    </row>
    <row r="6599" spans="1:5" x14ac:dyDescent="0.2">
      <c r="A6599">
        <v>12960</v>
      </c>
      <c r="B6599">
        <v>11038</v>
      </c>
      <c r="C6599">
        <v>20</v>
      </c>
      <c r="D6599">
        <v>213.5</v>
      </c>
      <c r="E6599">
        <v>3.1</v>
      </c>
    </row>
    <row r="6600" spans="1:5" x14ac:dyDescent="0.2">
      <c r="A6600">
        <v>12965</v>
      </c>
      <c r="B6600">
        <v>11043</v>
      </c>
      <c r="C6600">
        <v>20</v>
      </c>
      <c r="D6600">
        <v>213.6</v>
      </c>
      <c r="E6600">
        <v>3.1</v>
      </c>
    </row>
    <row r="6601" spans="1:5" x14ac:dyDescent="0.2">
      <c r="A6601">
        <v>12970</v>
      </c>
      <c r="B6601">
        <v>11047</v>
      </c>
      <c r="C6601">
        <v>20</v>
      </c>
      <c r="D6601">
        <v>213.8</v>
      </c>
      <c r="E6601">
        <v>3</v>
      </c>
    </row>
    <row r="6602" spans="1:5" x14ac:dyDescent="0.2">
      <c r="A6602">
        <v>12975</v>
      </c>
      <c r="B6602">
        <v>11048</v>
      </c>
      <c r="C6602">
        <v>20</v>
      </c>
      <c r="D6602">
        <v>214.3</v>
      </c>
      <c r="E6602">
        <v>3</v>
      </c>
    </row>
    <row r="6603" spans="1:5" x14ac:dyDescent="0.2">
      <c r="A6603">
        <v>12980</v>
      </c>
      <c r="B6603">
        <v>11047</v>
      </c>
      <c r="C6603">
        <v>20</v>
      </c>
      <c r="D6603">
        <v>215.2</v>
      </c>
      <c r="E6603">
        <v>3</v>
      </c>
    </row>
    <row r="6604" spans="1:5" x14ac:dyDescent="0.2">
      <c r="A6604">
        <v>12985</v>
      </c>
      <c r="B6604">
        <v>11047</v>
      </c>
      <c r="C6604">
        <v>20</v>
      </c>
      <c r="D6604">
        <v>216</v>
      </c>
      <c r="E6604">
        <v>3</v>
      </c>
    </row>
    <row r="6605" spans="1:5" x14ac:dyDescent="0.2">
      <c r="A6605">
        <v>12990</v>
      </c>
      <c r="B6605">
        <v>11048</v>
      </c>
      <c r="C6605">
        <v>20</v>
      </c>
      <c r="D6605">
        <v>216.5</v>
      </c>
      <c r="E6605">
        <v>3.1</v>
      </c>
    </row>
    <row r="6606" spans="1:5" x14ac:dyDescent="0.2">
      <c r="A6606">
        <v>12995</v>
      </c>
      <c r="B6606">
        <v>11052</v>
      </c>
      <c r="C6606">
        <v>20</v>
      </c>
      <c r="D6606">
        <v>216.6</v>
      </c>
      <c r="E6606">
        <v>3.1</v>
      </c>
    </row>
    <row r="6607" spans="1:5" x14ac:dyDescent="0.2">
      <c r="A6607">
        <v>13000</v>
      </c>
      <c r="B6607">
        <v>11057</v>
      </c>
      <c r="C6607">
        <v>20</v>
      </c>
      <c r="D6607">
        <v>216.6</v>
      </c>
      <c r="E6607">
        <v>3</v>
      </c>
    </row>
    <row r="6608" spans="1:5" x14ac:dyDescent="0.2">
      <c r="A6608">
        <v>13005</v>
      </c>
      <c r="B6608">
        <v>11062</v>
      </c>
      <c r="C6608">
        <v>21</v>
      </c>
      <c r="D6608">
        <v>216.6</v>
      </c>
      <c r="E6608">
        <v>3.1</v>
      </c>
    </row>
    <row r="6609" spans="1:5" x14ac:dyDescent="0.2">
      <c r="A6609">
        <v>13010</v>
      </c>
      <c r="B6609">
        <v>11067</v>
      </c>
      <c r="C6609">
        <v>21</v>
      </c>
      <c r="D6609">
        <v>216.5</v>
      </c>
      <c r="E6609">
        <v>3.2</v>
      </c>
    </row>
    <row r="6610" spans="1:5" x14ac:dyDescent="0.2">
      <c r="A6610">
        <v>13015</v>
      </c>
      <c r="B6610">
        <v>11069</v>
      </c>
      <c r="C6610">
        <v>20</v>
      </c>
      <c r="D6610">
        <v>217</v>
      </c>
      <c r="E6610">
        <v>3.1</v>
      </c>
    </row>
    <row r="6611" spans="1:5" x14ac:dyDescent="0.2">
      <c r="A6611">
        <v>13020</v>
      </c>
      <c r="B6611">
        <v>11066</v>
      </c>
      <c r="C6611">
        <v>21</v>
      </c>
      <c r="D6611">
        <v>218.2</v>
      </c>
      <c r="E6611">
        <v>3.1</v>
      </c>
    </row>
    <row r="6612" spans="1:5" x14ac:dyDescent="0.2">
      <c r="A6612">
        <v>13025</v>
      </c>
      <c r="B6612">
        <v>11060</v>
      </c>
      <c r="C6612">
        <v>21</v>
      </c>
      <c r="D6612">
        <v>219.8</v>
      </c>
      <c r="E6612">
        <v>3.2</v>
      </c>
    </row>
    <row r="6613" spans="1:5" x14ac:dyDescent="0.2">
      <c r="A6613">
        <v>13030</v>
      </c>
      <c r="B6613">
        <v>11055</v>
      </c>
      <c r="C6613">
        <v>20</v>
      </c>
      <c r="D6613">
        <v>221.3</v>
      </c>
      <c r="E6613">
        <v>3.1</v>
      </c>
    </row>
    <row r="6614" spans="1:5" x14ac:dyDescent="0.2">
      <c r="A6614">
        <v>13035</v>
      </c>
      <c r="B6614">
        <v>11055</v>
      </c>
      <c r="C6614">
        <v>20</v>
      </c>
      <c r="D6614">
        <v>222.1</v>
      </c>
      <c r="E6614">
        <v>3</v>
      </c>
    </row>
    <row r="6615" spans="1:5" x14ac:dyDescent="0.2">
      <c r="A6615">
        <v>13040</v>
      </c>
      <c r="B6615">
        <v>11055</v>
      </c>
      <c r="C6615">
        <v>20</v>
      </c>
      <c r="D6615">
        <v>222.9</v>
      </c>
      <c r="E6615">
        <v>3.1</v>
      </c>
    </row>
    <row r="6616" spans="1:5" x14ac:dyDescent="0.2">
      <c r="A6616">
        <v>13045</v>
      </c>
      <c r="B6616">
        <v>11053</v>
      </c>
      <c r="C6616">
        <v>20</v>
      </c>
      <c r="D6616">
        <v>223.9</v>
      </c>
      <c r="E6616">
        <v>3.1</v>
      </c>
    </row>
    <row r="6617" spans="1:5" x14ac:dyDescent="0.2">
      <c r="A6617">
        <v>13050</v>
      </c>
      <c r="B6617">
        <v>11053</v>
      </c>
      <c r="C6617">
        <v>21</v>
      </c>
      <c r="D6617">
        <v>224.6</v>
      </c>
      <c r="E6617">
        <v>3.2</v>
      </c>
    </row>
    <row r="6618" spans="1:5" x14ac:dyDescent="0.2">
      <c r="A6618">
        <v>13055</v>
      </c>
      <c r="B6618">
        <v>11057</v>
      </c>
      <c r="C6618">
        <v>22</v>
      </c>
      <c r="D6618">
        <v>224.8</v>
      </c>
      <c r="E6618">
        <v>3.3</v>
      </c>
    </row>
    <row r="6619" spans="1:5" x14ac:dyDescent="0.2">
      <c r="A6619">
        <v>13060</v>
      </c>
      <c r="B6619">
        <v>11061</v>
      </c>
      <c r="C6619">
        <v>22</v>
      </c>
      <c r="D6619">
        <v>224.9</v>
      </c>
      <c r="E6619">
        <v>3.3</v>
      </c>
    </row>
    <row r="6620" spans="1:5" x14ac:dyDescent="0.2">
      <c r="A6620">
        <v>13065</v>
      </c>
      <c r="B6620">
        <v>11066</v>
      </c>
      <c r="C6620">
        <v>21</v>
      </c>
      <c r="D6620">
        <v>224.9</v>
      </c>
      <c r="E6620">
        <v>3.3</v>
      </c>
    </row>
    <row r="6621" spans="1:5" x14ac:dyDescent="0.2">
      <c r="A6621">
        <v>13070</v>
      </c>
      <c r="B6621">
        <v>11075</v>
      </c>
      <c r="C6621">
        <v>22</v>
      </c>
      <c r="D6621">
        <v>224.2</v>
      </c>
      <c r="E6621">
        <v>3.4</v>
      </c>
    </row>
    <row r="6622" spans="1:5" x14ac:dyDescent="0.2">
      <c r="A6622">
        <v>13075</v>
      </c>
      <c r="B6622">
        <v>11088</v>
      </c>
      <c r="C6622">
        <v>23</v>
      </c>
      <c r="D6622">
        <v>223</v>
      </c>
      <c r="E6622">
        <v>3.5</v>
      </c>
    </row>
    <row r="6623" spans="1:5" x14ac:dyDescent="0.2">
      <c r="A6623">
        <v>13080</v>
      </c>
      <c r="B6623">
        <v>11100</v>
      </c>
      <c r="C6623">
        <v>22</v>
      </c>
      <c r="D6623">
        <v>221.8</v>
      </c>
      <c r="E6623">
        <v>3.4</v>
      </c>
    </row>
    <row r="6624" spans="1:5" x14ac:dyDescent="0.2">
      <c r="A6624">
        <v>13085</v>
      </c>
      <c r="B6624">
        <v>11112</v>
      </c>
      <c r="C6624">
        <v>22</v>
      </c>
      <c r="D6624">
        <v>220.9</v>
      </c>
      <c r="E6624">
        <v>3.4</v>
      </c>
    </row>
    <row r="6625" spans="1:5" x14ac:dyDescent="0.2">
      <c r="A6625">
        <v>13090</v>
      </c>
      <c r="B6625">
        <v>11131</v>
      </c>
      <c r="C6625">
        <v>27</v>
      </c>
      <c r="D6625">
        <v>218.7</v>
      </c>
      <c r="E6625">
        <v>4.2</v>
      </c>
    </row>
    <row r="6626" spans="1:5" x14ac:dyDescent="0.2">
      <c r="A6626">
        <v>13095</v>
      </c>
      <c r="B6626">
        <v>11161</v>
      </c>
      <c r="C6626">
        <v>33</v>
      </c>
      <c r="D6626">
        <v>214.8</v>
      </c>
      <c r="E6626">
        <v>5</v>
      </c>
    </row>
    <row r="6627" spans="1:5" x14ac:dyDescent="0.2">
      <c r="A6627">
        <v>13100</v>
      </c>
      <c r="B6627">
        <v>11190</v>
      </c>
      <c r="C6627">
        <v>30</v>
      </c>
      <c r="D6627">
        <v>211.2</v>
      </c>
      <c r="E6627">
        <v>4.5</v>
      </c>
    </row>
    <row r="6628" spans="1:5" x14ac:dyDescent="0.2">
      <c r="A6628">
        <v>13105</v>
      </c>
      <c r="B6628">
        <v>11205</v>
      </c>
      <c r="C6628">
        <v>22</v>
      </c>
      <c r="D6628">
        <v>209.6</v>
      </c>
      <c r="E6628">
        <v>3.4</v>
      </c>
    </row>
    <row r="6629" spans="1:5" x14ac:dyDescent="0.2">
      <c r="A6629">
        <v>13110</v>
      </c>
      <c r="B6629">
        <v>11213</v>
      </c>
      <c r="C6629">
        <v>20</v>
      </c>
      <c r="D6629">
        <v>209.2</v>
      </c>
      <c r="E6629">
        <v>3.1</v>
      </c>
    </row>
    <row r="6630" spans="1:5" x14ac:dyDescent="0.2">
      <c r="A6630">
        <v>13115</v>
      </c>
      <c r="B6630">
        <v>11224</v>
      </c>
      <c r="C6630">
        <v>22</v>
      </c>
      <c r="D6630">
        <v>208.3</v>
      </c>
      <c r="E6630">
        <v>3.3</v>
      </c>
    </row>
    <row r="6631" spans="1:5" x14ac:dyDescent="0.2">
      <c r="A6631">
        <v>13120</v>
      </c>
      <c r="B6631">
        <v>11240</v>
      </c>
      <c r="C6631">
        <v>24</v>
      </c>
      <c r="D6631">
        <v>206.6</v>
      </c>
      <c r="E6631">
        <v>3.6</v>
      </c>
    </row>
    <row r="6632" spans="1:5" x14ac:dyDescent="0.2">
      <c r="A6632">
        <v>13125</v>
      </c>
      <c r="B6632">
        <v>11254</v>
      </c>
      <c r="C6632">
        <v>22</v>
      </c>
      <c r="D6632">
        <v>205.3</v>
      </c>
      <c r="E6632">
        <v>3.3</v>
      </c>
    </row>
    <row r="6633" spans="1:5" x14ac:dyDescent="0.2">
      <c r="A6633">
        <v>13130</v>
      </c>
      <c r="B6633">
        <v>11257</v>
      </c>
      <c r="C6633">
        <v>21</v>
      </c>
      <c r="D6633">
        <v>205.5</v>
      </c>
      <c r="E6633">
        <v>3.2</v>
      </c>
    </row>
    <row r="6634" spans="1:5" x14ac:dyDescent="0.2">
      <c r="A6634">
        <v>13135</v>
      </c>
      <c r="B6634">
        <v>11251</v>
      </c>
      <c r="C6634">
        <v>22</v>
      </c>
      <c r="D6634">
        <v>207.1</v>
      </c>
      <c r="E6634">
        <v>3.4</v>
      </c>
    </row>
    <row r="6635" spans="1:5" x14ac:dyDescent="0.2">
      <c r="A6635">
        <v>13140</v>
      </c>
      <c r="B6635">
        <v>11240</v>
      </c>
      <c r="C6635">
        <v>23</v>
      </c>
      <c r="D6635">
        <v>209.5</v>
      </c>
      <c r="E6635">
        <v>3.4</v>
      </c>
    </row>
    <row r="6636" spans="1:5" x14ac:dyDescent="0.2">
      <c r="A6636">
        <v>13145</v>
      </c>
      <c r="B6636">
        <v>11230</v>
      </c>
      <c r="C6636">
        <v>21</v>
      </c>
      <c r="D6636">
        <v>211.8</v>
      </c>
      <c r="E6636">
        <v>3.2</v>
      </c>
    </row>
    <row r="6637" spans="1:5" x14ac:dyDescent="0.2">
      <c r="A6637">
        <v>13150</v>
      </c>
      <c r="B6637">
        <v>11227</v>
      </c>
      <c r="C6637">
        <v>21</v>
      </c>
      <c r="D6637">
        <v>213</v>
      </c>
      <c r="E6637">
        <v>3.1</v>
      </c>
    </row>
    <row r="6638" spans="1:5" x14ac:dyDescent="0.2">
      <c r="A6638">
        <v>13155</v>
      </c>
      <c r="B6638">
        <v>11234</v>
      </c>
      <c r="C6638">
        <v>22</v>
      </c>
      <c r="D6638">
        <v>212.6</v>
      </c>
      <c r="E6638">
        <v>3.3</v>
      </c>
    </row>
    <row r="6639" spans="1:5" x14ac:dyDescent="0.2">
      <c r="A6639">
        <v>13160</v>
      </c>
      <c r="B6639">
        <v>11251</v>
      </c>
      <c r="C6639">
        <v>24</v>
      </c>
      <c r="D6639">
        <v>210.8</v>
      </c>
      <c r="E6639">
        <v>3.6</v>
      </c>
    </row>
    <row r="6640" spans="1:5" x14ac:dyDescent="0.2">
      <c r="A6640">
        <v>13165</v>
      </c>
      <c r="B6640">
        <v>11273</v>
      </c>
      <c r="C6640">
        <v>26</v>
      </c>
      <c r="D6640">
        <v>208.2</v>
      </c>
      <c r="E6640">
        <v>3.9</v>
      </c>
    </row>
    <row r="6641" spans="1:5" x14ac:dyDescent="0.2">
      <c r="A6641">
        <v>13170</v>
      </c>
      <c r="B6641">
        <v>11295</v>
      </c>
      <c r="C6641">
        <v>26</v>
      </c>
      <c r="D6641">
        <v>205.7</v>
      </c>
      <c r="E6641">
        <v>3.9</v>
      </c>
    </row>
    <row r="6642" spans="1:5" x14ac:dyDescent="0.2">
      <c r="A6642">
        <v>13175</v>
      </c>
      <c r="B6642">
        <v>11314</v>
      </c>
      <c r="C6642">
        <v>26</v>
      </c>
      <c r="D6642">
        <v>203.5</v>
      </c>
      <c r="E6642">
        <v>3.9</v>
      </c>
    </row>
    <row r="6643" spans="1:5" x14ac:dyDescent="0.2">
      <c r="A6643">
        <v>13180</v>
      </c>
      <c r="B6643">
        <v>11332</v>
      </c>
      <c r="C6643">
        <v>26</v>
      </c>
      <c r="D6643">
        <v>201.6</v>
      </c>
      <c r="E6643">
        <v>3.9</v>
      </c>
    </row>
    <row r="6644" spans="1:5" x14ac:dyDescent="0.2">
      <c r="A6644">
        <v>13185</v>
      </c>
      <c r="B6644">
        <v>11346</v>
      </c>
      <c r="C6644">
        <v>24</v>
      </c>
      <c r="D6644">
        <v>200.2</v>
      </c>
      <c r="E6644">
        <v>3.6</v>
      </c>
    </row>
    <row r="6645" spans="1:5" x14ac:dyDescent="0.2">
      <c r="A6645">
        <v>13190</v>
      </c>
      <c r="B6645">
        <v>11355</v>
      </c>
      <c r="C6645">
        <v>23</v>
      </c>
      <c r="D6645">
        <v>199.5</v>
      </c>
      <c r="E6645">
        <v>3.5</v>
      </c>
    </row>
    <row r="6646" spans="1:5" x14ac:dyDescent="0.2">
      <c r="A6646">
        <v>13195</v>
      </c>
      <c r="B6646">
        <v>11358</v>
      </c>
      <c r="C6646">
        <v>25</v>
      </c>
      <c r="D6646">
        <v>199.8</v>
      </c>
      <c r="E6646">
        <v>3.7</v>
      </c>
    </row>
    <row r="6647" spans="1:5" x14ac:dyDescent="0.2">
      <c r="A6647">
        <v>13200</v>
      </c>
      <c r="B6647">
        <v>11356</v>
      </c>
      <c r="C6647">
        <v>26</v>
      </c>
      <c r="D6647">
        <v>200.9</v>
      </c>
      <c r="E6647">
        <v>3.8</v>
      </c>
    </row>
    <row r="6648" spans="1:5" x14ac:dyDescent="0.2">
      <c r="A6648">
        <v>13205</v>
      </c>
      <c r="B6648">
        <v>11349</v>
      </c>
      <c r="C6648">
        <v>25</v>
      </c>
      <c r="D6648">
        <v>202.7</v>
      </c>
      <c r="E6648">
        <v>3.8</v>
      </c>
    </row>
    <row r="6649" spans="1:5" x14ac:dyDescent="0.2">
      <c r="A6649">
        <v>13210</v>
      </c>
      <c r="B6649">
        <v>11341</v>
      </c>
      <c r="C6649">
        <v>25</v>
      </c>
      <c r="D6649">
        <v>204.6</v>
      </c>
      <c r="E6649">
        <v>3.7</v>
      </c>
    </row>
    <row r="6650" spans="1:5" x14ac:dyDescent="0.2">
      <c r="A6650">
        <v>13215</v>
      </c>
      <c r="B6650">
        <v>11333</v>
      </c>
      <c r="C6650">
        <v>25</v>
      </c>
      <c r="D6650">
        <v>206.5</v>
      </c>
      <c r="E6650">
        <v>3.8</v>
      </c>
    </row>
    <row r="6651" spans="1:5" x14ac:dyDescent="0.2">
      <c r="A6651">
        <v>13220</v>
      </c>
      <c r="B6651">
        <v>11329</v>
      </c>
      <c r="C6651">
        <v>26</v>
      </c>
      <c r="D6651">
        <v>207.9</v>
      </c>
      <c r="E6651">
        <v>3.9</v>
      </c>
    </row>
    <row r="6652" spans="1:5" x14ac:dyDescent="0.2">
      <c r="A6652">
        <v>13225</v>
      </c>
      <c r="B6652">
        <v>11330</v>
      </c>
      <c r="C6652">
        <v>26</v>
      </c>
      <c r="D6652">
        <v>208.4</v>
      </c>
      <c r="E6652">
        <v>3.9</v>
      </c>
    </row>
    <row r="6653" spans="1:5" x14ac:dyDescent="0.2">
      <c r="A6653">
        <v>13230</v>
      </c>
      <c r="B6653">
        <v>11338</v>
      </c>
      <c r="C6653">
        <v>25</v>
      </c>
      <c r="D6653">
        <v>207.9</v>
      </c>
      <c r="E6653">
        <v>3.8</v>
      </c>
    </row>
    <row r="6654" spans="1:5" x14ac:dyDescent="0.2">
      <c r="A6654">
        <v>13235</v>
      </c>
      <c r="B6654">
        <v>11352</v>
      </c>
      <c r="C6654">
        <v>26</v>
      </c>
      <c r="D6654">
        <v>206.6</v>
      </c>
      <c r="E6654">
        <v>3.9</v>
      </c>
    </row>
    <row r="6655" spans="1:5" x14ac:dyDescent="0.2">
      <c r="A6655">
        <v>13240</v>
      </c>
      <c r="B6655">
        <v>11367</v>
      </c>
      <c r="C6655">
        <v>27</v>
      </c>
      <c r="D6655">
        <v>205</v>
      </c>
      <c r="E6655">
        <v>4</v>
      </c>
    </row>
    <row r="6656" spans="1:5" x14ac:dyDescent="0.2">
      <c r="A6656">
        <v>13245</v>
      </c>
      <c r="B6656">
        <v>11380</v>
      </c>
      <c r="C6656">
        <v>25</v>
      </c>
      <c r="D6656">
        <v>203.8</v>
      </c>
      <c r="E6656">
        <v>3.7</v>
      </c>
    </row>
    <row r="6657" spans="1:5" x14ac:dyDescent="0.2">
      <c r="A6657">
        <v>13250</v>
      </c>
      <c r="B6657">
        <v>11389</v>
      </c>
      <c r="C6657">
        <v>24</v>
      </c>
      <c r="D6657">
        <v>203.1</v>
      </c>
      <c r="E6657">
        <v>3.5</v>
      </c>
    </row>
    <row r="6658" spans="1:5" x14ac:dyDescent="0.2">
      <c r="A6658">
        <v>13255</v>
      </c>
      <c r="B6658">
        <v>11395</v>
      </c>
      <c r="C6658">
        <v>23</v>
      </c>
      <c r="D6658">
        <v>203.1</v>
      </c>
      <c r="E6658">
        <v>3.4</v>
      </c>
    </row>
    <row r="6659" spans="1:5" x14ac:dyDescent="0.2">
      <c r="A6659">
        <v>13260</v>
      </c>
      <c r="B6659">
        <v>11396</v>
      </c>
      <c r="C6659">
        <v>23</v>
      </c>
      <c r="D6659">
        <v>203.7</v>
      </c>
      <c r="E6659">
        <v>3.4</v>
      </c>
    </row>
    <row r="6660" spans="1:5" x14ac:dyDescent="0.2">
      <c r="A6660">
        <v>13265</v>
      </c>
      <c r="B6660">
        <v>11392</v>
      </c>
      <c r="C6660">
        <v>23</v>
      </c>
      <c r="D6660">
        <v>204.9</v>
      </c>
      <c r="E6660">
        <v>3.4</v>
      </c>
    </row>
    <row r="6661" spans="1:5" x14ac:dyDescent="0.2">
      <c r="A6661">
        <v>13270</v>
      </c>
      <c r="B6661">
        <v>11386</v>
      </c>
      <c r="C6661">
        <v>24</v>
      </c>
      <c r="D6661">
        <v>206.6</v>
      </c>
      <c r="E6661">
        <v>3.5</v>
      </c>
    </row>
    <row r="6662" spans="1:5" x14ac:dyDescent="0.2">
      <c r="A6662">
        <v>13275</v>
      </c>
      <c r="B6662">
        <v>11378</v>
      </c>
      <c r="C6662">
        <v>23</v>
      </c>
      <c r="D6662">
        <v>208.5</v>
      </c>
      <c r="E6662">
        <v>3.5</v>
      </c>
    </row>
    <row r="6663" spans="1:5" x14ac:dyDescent="0.2">
      <c r="A6663">
        <v>13280</v>
      </c>
      <c r="B6663">
        <v>11372</v>
      </c>
      <c r="C6663">
        <v>24</v>
      </c>
      <c r="D6663">
        <v>210.1</v>
      </c>
      <c r="E6663">
        <v>3.6</v>
      </c>
    </row>
    <row r="6664" spans="1:5" x14ac:dyDescent="0.2">
      <c r="A6664">
        <v>13285</v>
      </c>
      <c r="B6664">
        <v>11370</v>
      </c>
      <c r="C6664">
        <v>24</v>
      </c>
      <c r="D6664">
        <v>211.1</v>
      </c>
      <c r="E6664">
        <v>3.6</v>
      </c>
    </row>
    <row r="6665" spans="1:5" x14ac:dyDescent="0.2">
      <c r="A6665">
        <v>13290</v>
      </c>
      <c r="B6665">
        <v>11375</v>
      </c>
      <c r="C6665">
        <v>24</v>
      </c>
      <c r="D6665">
        <v>211.2</v>
      </c>
      <c r="E6665">
        <v>3.7</v>
      </c>
    </row>
    <row r="6666" spans="1:5" x14ac:dyDescent="0.2">
      <c r="A6666">
        <v>13295</v>
      </c>
      <c r="B6666">
        <v>11385</v>
      </c>
      <c r="C6666">
        <v>24</v>
      </c>
      <c r="D6666">
        <v>210.4</v>
      </c>
      <c r="E6666">
        <v>3.7</v>
      </c>
    </row>
    <row r="6667" spans="1:5" x14ac:dyDescent="0.2">
      <c r="A6667">
        <v>13300</v>
      </c>
      <c r="B6667">
        <v>11399</v>
      </c>
      <c r="C6667">
        <v>26</v>
      </c>
      <c r="D6667">
        <v>209</v>
      </c>
      <c r="E6667">
        <v>4</v>
      </c>
    </row>
    <row r="6668" spans="1:5" x14ac:dyDescent="0.2">
      <c r="A6668">
        <v>13305</v>
      </c>
      <c r="B6668">
        <v>11416</v>
      </c>
      <c r="C6668">
        <v>28</v>
      </c>
      <c r="D6668">
        <v>207.2</v>
      </c>
      <c r="E6668">
        <v>4.2</v>
      </c>
    </row>
    <row r="6669" spans="1:5" x14ac:dyDescent="0.2">
      <c r="A6669">
        <v>13310</v>
      </c>
      <c r="B6669">
        <v>11434</v>
      </c>
      <c r="C6669">
        <v>29</v>
      </c>
      <c r="D6669">
        <v>205.2</v>
      </c>
      <c r="E6669">
        <v>4.3</v>
      </c>
    </row>
    <row r="6670" spans="1:5" x14ac:dyDescent="0.2">
      <c r="A6670">
        <v>13315</v>
      </c>
      <c r="B6670">
        <v>11451</v>
      </c>
      <c r="C6670">
        <v>31</v>
      </c>
      <c r="D6670">
        <v>203.4</v>
      </c>
      <c r="E6670">
        <v>4.5999999999999996</v>
      </c>
    </row>
    <row r="6671" spans="1:5" x14ac:dyDescent="0.2">
      <c r="A6671">
        <v>13320</v>
      </c>
      <c r="B6671">
        <v>11464</v>
      </c>
      <c r="C6671">
        <v>32</v>
      </c>
      <c r="D6671">
        <v>202.1</v>
      </c>
      <c r="E6671">
        <v>4.8</v>
      </c>
    </row>
    <row r="6672" spans="1:5" x14ac:dyDescent="0.2">
      <c r="A6672">
        <v>13325</v>
      </c>
      <c r="B6672">
        <v>11473</v>
      </c>
      <c r="C6672">
        <v>29</v>
      </c>
      <c r="D6672">
        <v>201.6</v>
      </c>
      <c r="E6672">
        <v>4.4000000000000004</v>
      </c>
    </row>
    <row r="6673" spans="1:5" x14ac:dyDescent="0.2">
      <c r="A6673">
        <v>13330</v>
      </c>
      <c r="B6673">
        <v>11477</v>
      </c>
      <c r="C6673">
        <v>26</v>
      </c>
      <c r="D6673">
        <v>201.6</v>
      </c>
      <c r="E6673">
        <v>3.9</v>
      </c>
    </row>
    <row r="6674" spans="1:5" x14ac:dyDescent="0.2">
      <c r="A6674">
        <v>13335</v>
      </c>
      <c r="B6674">
        <v>11481</v>
      </c>
      <c r="C6674">
        <v>26</v>
      </c>
      <c r="D6674">
        <v>201.8</v>
      </c>
      <c r="E6674">
        <v>3.9</v>
      </c>
    </row>
    <row r="6675" spans="1:5" x14ac:dyDescent="0.2">
      <c r="A6675">
        <v>13340</v>
      </c>
      <c r="B6675">
        <v>11487</v>
      </c>
      <c r="C6675">
        <v>26</v>
      </c>
      <c r="D6675">
        <v>201.6</v>
      </c>
      <c r="E6675">
        <v>3.9</v>
      </c>
    </row>
    <row r="6676" spans="1:5" x14ac:dyDescent="0.2">
      <c r="A6676">
        <v>13345</v>
      </c>
      <c r="B6676">
        <v>11495</v>
      </c>
      <c r="C6676">
        <v>26</v>
      </c>
      <c r="D6676">
        <v>201.1</v>
      </c>
      <c r="E6676">
        <v>3.9</v>
      </c>
    </row>
    <row r="6677" spans="1:5" x14ac:dyDescent="0.2">
      <c r="A6677">
        <v>13350</v>
      </c>
      <c r="B6677">
        <v>11504</v>
      </c>
      <c r="C6677">
        <v>28</v>
      </c>
      <c r="D6677">
        <v>200.5</v>
      </c>
      <c r="E6677">
        <v>4.0999999999999996</v>
      </c>
    </row>
    <row r="6678" spans="1:5" x14ac:dyDescent="0.2">
      <c r="A6678">
        <v>13355</v>
      </c>
      <c r="B6678">
        <v>11512</v>
      </c>
      <c r="C6678">
        <v>28</v>
      </c>
      <c r="D6678">
        <v>200</v>
      </c>
      <c r="E6678">
        <v>4.2</v>
      </c>
    </row>
    <row r="6679" spans="1:5" x14ac:dyDescent="0.2">
      <c r="A6679">
        <v>13360</v>
      </c>
      <c r="B6679">
        <v>11519</v>
      </c>
      <c r="C6679">
        <v>27</v>
      </c>
      <c r="D6679">
        <v>199.8</v>
      </c>
      <c r="E6679">
        <v>4</v>
      </c>
    </row>
    <row r="6680" spans="1:5" x14ac:dyDescent="0.2">
      <c r="A6680">
        <v>13365</v>
      </c>
      <c r="B6680">
        <v>11522</v>
      </c>
      <c r="C6680">
        <v>26</v>
      </c>
      <c r="D6680">
        <v>200</v>
      </c>
      <c r="E6680">
        <v>3.9</v>
      </c>
    </row>
    <row r="6681" spans="1:5" x14ac:dyDescent="0.2">
      <c r="A6681">
        <v>13370</v>
      </c>
      <c r="B6681">
        <v>11524</v>
      </c>
      <c r="C6681">
        <v>27</v>
      </c>
      <c r="D6681">
        <v>200.5</v>
      </c>
      <c r="E6681">
        <v>4.0999999999999996</v>
      </c>
    </row>
    <row r="6682" spans="1:5" x14ac:dyDescent="0.2">
      <c r="A6682">
        <v>13375</v>
      </c>
      <c r="B6682">
        <v>11523</v>
      </c>
      <c r="C6682">
        <v>29</v>
      </c>
      <c r="D6682">
        <v>201.4</v>
      </c>
      <c r="E6682">
        <v>4.3</v>
      </c>
    </row>
    <row r="6683" spans="1:5" x14ac:dyDescent="0.2">
      <c r="A6683">
        <v>13380</v>
      </c>
      <c r="B6683">
        <v>11519</v>
      </c>
      <c r="C6683">
        <v>28</v>
      </c>
      <c r="D6683">
        <v>202.6</v>
      </c>
      <c r="E6683">
        <v>4.0999999999999996</v>
      </c>
    </row>
    <row r="6684" spans="1:5" x14ac:dyDescent="0.2">
      <c r="A6684">
        <v>13385</v>
      </c>
      <c r="B6684">
        <v>11515</v>
      </c>
      <c r="C6684">
        <v>26</v>
      </c>
      <c r="D6684">
        <v>204</v>
      </c>
      <c r="E6684">
        <v>3.9</v>
      </c>
    </row>
    <row r="6685" spans="1:5" x14ac:dyDescent="0.2">
      <c r="A6685">
        <v>13390</v>
      </c>
      <c r="B6685">
        <v>11511</v>
      </c>
      <c r="C6685">
        <v>26</v>
      </c>
      <c r="D6685">
        <v>205.2</v>
      </c>
      <c r="E6685">
        <v>3.9</v>
      </c>
    </row>
    <row r="6686" spans="1:5" x14ac:dyDescent="0.2">
      <c r="A6686">
        <v>13395</v>
      </c>
      <c r="B6686">
        <v>11511</v>
      </c>
      <c r="C6686">
        <v>26</v>
      </c>
      <c r="D6686">
        <v>206.1</v>
      </c>
      <c r="E6686">
        <v>4</v>
      </c>
    </row>
    <row r="6687" spans="1:5" x14ac:dyDescent="0.2">
      <c r="A6687">
        <v>13400</v>
      </c>
      <c r="B6687">
        <v>11514</v>
      </c>
      <c r="C6687">
        <v>27</v>
      </c>
      <c r="D6687">
        <v>206.4</v>
      </c>
      <c r="E6687">
        <v>4</v>
      </c>
    </row>
    <row r="6688" spans="1:5" x14ac:dyDescent="0.2">
      <c r="A6688">
        <v>13405</v>
      </c>
      <c r="B6688">
        <v>11519</v>
      </c>
      <c r="C6688">
        <v>28</v>
      </c>
      <c r="D6688">
        <v>206.4</v>
      </c>
      <c r="E6688">
        <v>4.2</v>
      </c>
    </row>
    <row r="6689" spans="1:5" x14ac:dyDescent="0.2">
      <c r="A6689">
        <v>13410</v>
      </c>
      <c r="B6689">
        <v>11525</v>
      </c>
      <c r="C6689">
        <v>30</v>
      </c>
      <c r="D6689">
        <v>206.2</v>
      </c>
      <c r="E6689">
        <v>4.5</v>
      </c>
    </row>
    <row r="6690" spans="1:5" x14ac:dyDescent="0.2">
      <c r="A6690">
        <v>13415</v>
      </c>
      <c r="B6690">
        <v>11530</v>
      </c>
      <c r="C6690">
        <v>31</v>
      </c>
      <c r="D6690">
        <v>206</v>
      </c>
      <c r="E6690">
        <v>4.5999999999999996</v>
      </c>
    </row>
    <row r="6691" spans="1:5" x14ac:dyDescent="0.2">
      <c r="A6691">
        <v>13420</v>
      </c>
      <c r="B6691">
        <v>11535</v>
      </c>
      <c r="C6691">
        <v>28</v>
      </c>
      <c r="D6691">
        <v>206.1</v>
      </c>
      <c r="E6691">
        <v>4.2</v>
      </c>
    </row>
    <row r="6692" spans="1:5" x14ac:dyDescent="0.2">
      <c r="A6692">
        <v>13425</v>
      </c>
      <c r="B6692">
        <v>11538</v>
      </c>
      <c r="C6692">
        <v>25</v>
      </c>
      <c r="D6692">
        <v>206.4</v>
      </c>
      <c r="E6692">
        <v>3.8</v>
      </c>
    </row>
    <row r="6693" spans="1:5" x14ac:dyDescent="0.2">
      <c r="A6693">
        <v>13430</v>
      </c>
      <c r="B6693">
        <v>11541</v>
      </c>
      <c r="C6693">
        <v>25</v>
      </c>
      <c r="D6693">
        <v>206.7</v>
      </c>
      <c r="E6693">
        <v>3.8</v>
      </c>
    </row>
    <row r="6694" spans="1:5" x14ac:dyDescent="0.2">
      <c r="A6694">
        <v>13435</v>
      </c>
      <c r="B6694">
        <v>11543</v>
      </c>
      <c r="C6694">
        <v>27</v>
      </c>
      <c r="D6694">
        <v>207</v>
      </c>
      <c r="E6694">
        <v>4.0999999999999996</v>
      </c>
    </row>
    <row r="6695" spans="1:5" x14ac:dyDescent="0.2">
      <c r="A6695">
        <v>13440</v>
      </c>
      <c r="B6695">
        <v>11547</v>
      </c>
      <c r="C6695">
        <v>27</v>
      </c>
      <c r="D6695">
        <v>207.2</v>
      </c>
      <c r="E6695">
        <v>4.0999999999999996</v>
      </c>
    </row>
    <row r="6696" spans="1:5" x14ac:dyDescent="0.2">
      <c r="A6696">
        <v>13445</v>
      </c>
      <c r="B6696">
        <v>11552</v>
      </c>
      <c r="C6696">
        <v>26</v>
      </c>
      <c r="D6696">
        <v>207.2</v>
      </c>
      <c r="E6696">
        <v>4</v>
      </c>
    </row>
    <row r="6697" spans="1:5" x14ac:dyDescent="0.2">
      <c r="A6697">
        <v>13450</v>
      </c>
      <c r="B6697">
        <v>11560</v>
      </c>
      <c r="C6697">
        <v>26</v>
      </c>
      <c r="D6697">
        <v>206.8</v>
      </c>
      <c r="E6697">
        <v>3.9</v>
      </c>
    </row>
    <row r="6698" spans="1:5" x14ac:dyDescent="0.2">
      <c r="A6698">
        <v>13455</v>
      </c>
      <c r="B6698">
        <v>11571</v>
      </c>
      <c r="C6698">
        <v>26</v>
      </c>
      <c r="D6698">
        <v>205.8</v>
      </c>
      <c r="E6698">
        <v>3.8</v>
      </c>
    </row>
    <row r="6699" spans="1:5" x14ac:dyDescent="0.2">
      <c r="A6699">
        <v>13460</v>
      </c>
      <c r="B6699">
        <v>11584</v>
      </c>
      <c r="C6699">
        <v>27</v>
      </c>
      <c r="D6699">
        <v>204.6</v>
      </c>
      <c r="E6699">
        <v>4</v>
      </c>
    </row>
    <row r="6700" spans="1:5" x14ac:dyDescent="0.2">
      <c r="A6700">
        <v>13465</v>
      </c>
      <c r="B6700">
        <v>11596</v>
      </c>
      <c r="C6700">
        <v>27</v>
      </c>
      <c r="D6700">
        <v>203.6</v>
      </c>
      <c r="E6700">
        <v>4.0999999999999996</v>
      </c>
    </row>
    <row r="6701" spans="1:5" x14ac:dyDescent="0.2">
      <c r="A6701">
        <v>13470</v>
      </c>
      <c r="B6701">
        <v>11603</v>
      </c>
      <c r="C6701">
        <v>26</v>
      </c>
      <c r="D6701">
        <v>203.1</v>
      </c>
      <c r="E6701">
        <v>4</v>
      </c>
    </row>
    <row r="6702" spans="1:5" x14ac:dyDescent="0.2">
      <c r="A6702">
        <v>13475</v>
      </c>
      <c r="B6702">
        <v>11607</v>
      </c>
      <c r="C6702">
        <v>24</v>
      </c>
      <c r="D6702">
        <v>203.2</v>
      </c>
      <c r="E6702">
        <v>3.6</v>
      </c>
    </row>
    <row r="6703" spans="1:5" x14ac:dyDescent="0.2">
      <c r="A6703">
        <v>13480</v>
      </c>
      <c r="B6703">
        <v>11612</v>
      </c>
      <c r="C6703">
        <v>25</v>
      </c>
      <c r="D6703">
        <v>203.3</v>
      </c>
      <c r="E6703">
        <v>3.8</v>
      </c>
    </row>
    <row r="6704" spans="1:5" x14ac:dyDescent="0.2">
      <c r="A6704">
        <v>13485</v>
      </c>
      <c r="B6704">
        <v>11619</v>
      </c>
      <c r="C6704">
        <v>28</v>
      </c>
      <c r="D6704">
        <v>202.9</v>
      </c>
      <c r="E6704">
        <v>4.2</v>
      </c>
    </row>
    <row r="6705" spans="1:5" x14ac:dyDescent="0.2">
      <c r="A6705">
        <v>13490</v>
      </c>
      <c r="B6705">
        <v>11630</v>
      </c>
      <c r="C6705">
        <v>30</v>
      </c>
      <c r="D6705">
        <v>202.1</v>
      </c>
      <c r="E6705">
        <v>4.4000000000000004</v>
      </c>
    </row>
    <row r="6706" spans="1:5" x14ac:dyDescent="0.2">
      <c r="A6706">
        <v>13495</v>
      </c>
      <c r="B6706">
        <v>11642</v>
      </c>
      <c r="C6706">
        <v>31</v>
      </c>
      <c r="D6706">
        <v>200.9</v>
      </c>
      <c r="E6706">
        <v>4.5999999999999996</v>
      </c>
    </row>
    <row r="6707" spans="1:5" x14ac:dyDescent="0.2">
      <c r="A6707">
        <v>13500</v>
      </c>
      <c r="B6707">
        <v>11656</v>
      </c>
      <c r="C6707">
        <v>32</v>
      </c>
      <c r="D6707">
        <v>199.5</v>
      </c>
      <c r="E6707">
        <v>4.8</v>
      </c>
    </row>
    <row r="6708" spans="1:5" x14ac:dyDescent="0.2">
      <c r="A6708">
        <v>13505</v>
      </c>
      <c r="B6708">
        <v>11672</v>
      </c>
      <c r="C6708">
        <v>33</v>
      </c>
      <c r="D6708">
        <v>197.9</v>
      </c>
      <c r="E6708">
        <v>5</v>
      </c>
    </row>
    <row r="6709" spans="1:5" x14ac:dyDescent="0.2">
      <c r="A6709">
        <v>13510</v>
      </c>
      <c r="B6709">
        <v>11689</v>
      </c>
      <c r="C6709">
        <v>34</v>
      </c>
      <c r="D6709">
        <v>196.2</v>
      </c>
      <c r="E6709">
        <v>5.0999999999999996</v>
      </c>
    </row>
    <row r="6710" spans="1:5" x14ac:dyDescent="0.2">
      <c r="A6710">
        <v>13515</v>
      </c>
      <c r="B6710">
        <v>11706</v>
      </c>
      <c r="C6710">
        <v>33</v>
      </c>
      <c r="D6710">
        <v>194.3</v>
      </c>
      <c r="E6710">
        <v>4.9000000000000004</v>
      </c>
    </row>
    <row r="6711" spans="1:5" x14ac:dyDescent="0.2">
      <c r="A6711">
        <v>13520</v>
      </c>
      <c r="B6711">
        <v>11723</v>
      </c>
      <c r="C6711">
        <v>29</v>
      </c>
      <c r="D6711">
        <v>192.5</v>
      </c>
      <c r="E6711">
        <v>4.4000000000000004</v>
      </c>
    </row>
    <row r="6712" spans="1:5" x14ac:dyDescent="0.2">
      <c r="A6712">
        <v>13525</v>
      </c>
      <c r="B6712">
        <v>11738</v>
      </c>
      <c r="C6712">
        <v>26</v>
      </c>
      <c r="D6712">
        <v>191</v>
      </c>
      <c r="E6712">
        <v>3.9</v>
      </c>
    </row>
    <row r="6713" spans="1:5" x14ac:dyDescent="0.2">
      <c r="A6713">
        <v>13530</v>
      </c>
      <c r="B6713">
        <v>11749</v>
      </c>
      <c r="C6713">
        <v>26</v>
      </c>
      <c r="D6713">
        <v>190.1</v>
      </c>
      <c r="E6713">
        <v>3.8</v>
      </c>
    </row>
    <row r="6714" spans="1:5" x14ac:dyDescent="0.2">
      <c r="A6714">
        <v>13535</v>
      </c>
      <c r="B6714">
        <v>11751</v>
      </c>
      <c r="C6714">
        <v>26</v>
      </c>
      <c r="D6714">
        <v>190.6</v>
      </c>
      <c r="E6714">
        <v>3.9</v>
      </c>
    </row>
    <row r="6715" spans="1:5" x14ac:dyDescent="0.2">
      <c r="A6715">
        <v>13540</v>
      </c>
      <c r="B6715">
        <v>11741</v>
      </c>
      <c r="C6715">
        <v>26</v>
      </c>
      <c r="D6715">
        <v>192.7</v>
      </c>
      <c r="E6715">
        <v>3.9</v>
      </c>
    </row>
    <row r="6716" spans="1:5" x14ac:dyDescent="0.2">
      <c r="A6716">
        <v>13545</v>
      </c>
      <c r="B6716">
        <v>11723</v>
      </c>
      <c r="C6716">
        <v>26</v>
      </c>
      <c r="D6716">
        <v>196.2</v>
      </c>
      <c r="E6716">
        <v>3.9</v>
      </c>
    </row>
    <row r="6717" spans="1:5" x14ac:dyDescent="0.2">
      <c r="A6717">
        <v>13550</v>
      </c>
      <c r="B6717">
        <v>11701</v>
      </c>
      <c r="C6717">
        <v>27</v>
      </c>
      <c r="D6717">
        <v>200.2</v>
      </c>
      <c r="E6717">
        <v>4.0999999999999996</v>
      </c>
    </row>
    <row r="6718" spans="1:5" x14ac:dyDescent="0.2">
      <c r="A6718">
        <v>13555</v>
      </c>
      <c r="B6718">
        <v>11680</v>
      </c>
      <c r="C6718">
        <v>27</v>
      </c>
      <c r="D6718">
        <v>204</v>
      </c>
      <c r="E6718">
        <v>4</v>
      </c>
    </row>
    <row r="6719" spans="1:5" x14ac:dyDescent="0.2">
      <c r="A6719">
        <v>13560</v>
      </c>
      <c r="B6719">
        <v>11665</v>
      </c>
      <c r="C6719">
        <v>27</v>
      </c>
      <c r="D6719">
        <v>207</v>
      </c>
      <c r="E6719">
        <v>4</v>
      </c>
    </row>
    <row r="6720" spans="1:5" x14ac:dyDescent="0.2">
      <c r="A6720">
        <v>13565</v>
      </c>
      <c r="B6720">
        <v>11658</v>
      </c>
      <c r="C6720">
        <v>28</v>
      </c>
      <c r="D6720">
        <v>208.8</v>
      </c>
      <c r="E6720">
        <v>4.2</v>
      </c>
    </row>
    <row r="6721" spans="1:5" x14ac:dyDescent="0.2">
      <c r="A6721">
        <v>13570</v>
      </c>
      <c r="B6721">
        <v>11663</v>
      </c>
      <c r="C6721">
        <v>27</v>
      </c>
      <c r="D6721">
        <v>208.7</v>
      </c>
      <c r="E6721">
        <v>4.0999999999999996</v>
      </c>
    </row>
    <row r="6722" spans="1:5" x14ac:dyDescent="0.2">
      <c r="A6722">
        <v>13575</v>
      </c>
      <c r="B6722">
        <v>11681</v>
      </c>
      <c r="C6722">
        <v>25</v>
      </c>
      <c r="D6722">
        <v>206.8</v>
      </c>
      <c r="E6722">
        <v>3.8</v>
      </c>
    </row>
    <row r="6723" spans="1:5" x14ac:dyDescent="0.2">
      <c r="A6723">
        <v>13580</v>
      </c>
      <c r="B6723">
        <v>11701</v>
      </c>
      <c r="C6723">
        <v>26</v>
      </c>
      <c r="D6723">
        <v>204.6</v>
      </c>
      <c r="E6723">
        <v>3.9</v>
      </c>
    </row>
    <row r="6724" spans="1:5" x14ac:dyDescent="0.2">
      <c r="A6724">
        <v>13585</v>
      </c>
      <c r="B6724">
        <v>11716</v>
      </c>
      <c r="C6724">
        <v>25</v>
      </c>
      <c r="D6724">
        <v>202.9</v>
      </c>
      <c r="E6724">
        <v>3.8</v>
      </c>
    </row>
    <row r="6725" spans="1:5" x14ac:dyDescent="0.2">
      <c r="A6725">
        <v>13590</v>
      </c>
      <c r="B6725">
        <v>11732</v>
      </c>
      <c r="C6725">
        <v>26</v>
      </c>
      <c r="D6725">
        <v>201.4</v>
      </c>
      <c r="E6725">
        <v>3.9</v>
      </c>
    </row>
    <row r="6726" spans="1:5" x14ac:dyDescent="0.2">
      <c r="A6726">
        <v>13595</v>
      </c>
      <c r="B6726">
        <v>11749</v>
      </c>
      <c r="C6726">
        <v>28</v>
      </c>
      <c r="D6726">
        <v>199.4</v>
      </c>
      <c r="E6726">
        <v>4.2</v>
      </c>
    </row>
    <row r="6727" spans="1:5" x14ac:dyDescent="0.2">
      <c r="A6727">
        <v>13600</v>
      </c>
      <c r="B6727">
        <v>11772</v>
      </c>
      <c r="C6727">
        <v>29</v>
      </c>
      <c r="D6727">
        <v>196.8</v>
      </c>
      <c r="E6727">
        <v>4.3</v>
      </c>
    </row>
    <row r="6728" spans="1:5" x14ac:dyDescent="0.2">
      <c r="A6728">
        <v>13605</v>
      </c>
      <c r="B6728">
        <v>11797</v>
      </c>
      <c r="C6728">
        <v>29</v>
      </c>
      <c r="D6728">
        <v>193.8</v>
      </c>
      <c r="E6728">
        <v>4.3</v>
      </c>
    </row>
    <row r="6729" spans="1:5" x14ac:dyDescent="0.2">
      <c r="A6729">
        <v>13610</v>
      </c>
      <c r="B6729">
        <v>11820</v>
      </c>
      <c r="C6729">
        <v>31</v>
      </c>
      <c r="D6729">
        <v>191.1</v>
      </c>
      <c r="E6729">
        <v>4.5</v>
      </c>
    </row>
    <row r="6730" spans="1:5" x14ac:dyDescent="0.2">
      <c r="A6730">
        <v>13615</v>
      </c>
      <c r="B6730">
        <v>11837</v>
      </c>
      <c r="C6730">
        <v>33</v>
      </c>
      <c r="D6730">
        <v>189.2</v>
      </c>
      <c r="E6730">
        <v>4.9000000000000004</v>
      </c>
    </row>
    <row r="6731" spans="1:5" x14ac:dyDescent="0.2">
      <c r="A6731">
        <v>13620</v>
      </c>
      <c r="B6731">
        <v>11845</v>
      </c>
      <c r="C6731">
        <v>33</v>
      </c>
      <c r="D6731">
        <v>188.8</v>
      </c>
      <c r="E6731">
        <v>4.9000000000000004</v>
      </c>
    </row>
    <row r="6732" spans="1:5" x14ac:dyDescent="0.2">
      <c r="A6732">
        <v>13625</v>
      </c>
      <c r="B6732">
        <v>11840</v>
      </c>
      <c r="C6732">
        <v>30</v>
      </c>
      <c r="D6732">
        <v>190.4</v>
      </c>
      <c r="E6732">
        <v>4.5</v>
      </c>
    </row>
    <row r="6733" spans="1:5" x14ac:dyDescent="0.2">
      <c r="A6733">
        <v>13630</v>
      </c>
      <c r="B6733">
        <v>11826</v>
      </c>
      <c r="C6733">
        <v>29</v>
      </c>
      <c r="D6733">
        <v>193.1</v>
      </c>
      <c r="E6733">
        <v>4.3</v>
      </c>
    </row>
    <row r="6734" spans="1:5" x14ac:dyDescent="0.2">
      <c r="A6734">
        <v>13635</v>
      </c>
      <c r="B6734">
        <v>11813</v>
      </c>
      <c r="C6734">
        <v>27</v>
      </c>
      <c r="D6734">
        <v>195.7</v>
      </c>
      <c r="E6734">
        <v>3.9</v>
      </c>
    </row>
    <row r="6735" spans="1:5" x14ac:dyDescent="0.2">
      <c r="A6735">
        <v>13640</v>
      </c>
      <c r="B6735">
        <v>11807</v>
      </c>
      <c r="C6735">
        <v>26</v>
      </c>
      <c r="D6735">
        <v>197.4</v>
      </c>
      <c r="E6735">
        <v>3.9</v>
      </c>
    </row>
    <row r="6736" spans="1:5" x14ac:dyDescent="0.2">
      <c r="A6736">
        <v>13645</v>
      </c>
      <c r="B6736">
        <v>11808</v>
      </c>
      <c r="C6736">
        <v>28</v>
      </c>
      <c r="D6736">
        <v>198</v>
      </c>
      <c r="E6736">
        <v>4.2</v>
      </c>
    </row>
    <row r="6737" spans="1:5" x14ac:dyDescent="0.2">
      <c r="A6737">
        <v>13650</v>
      </c>
      <c r="B6737">
        <v>11814</v>
      </c>
      <c r="C6737">
        <v>29</v>
      </c>
      <c r="D6737">
        <v>197.8</v>
      </c>
      <c r="E6737">
        <v>4.3</v>
      </c>
    </row>
    <row r="6738" spans="1:5" x14ac:dyDescent="0.2">
      <c r="A6738">
        <v>13655</v>
      </c>
      <c r="B6738">
        <v>11823</v>
      </c>
      <c r="C6738">
        <v>28</v>
      </c>
      <c r="D6738">
        <v>197.1</v>
      </c>
      <c r="E6738">
        <v>4.2</v>
      </c>
    </row>
    <row r="6739" spans="1:5" x14ac:dyDescent="0.2">
      <c r="A6739">
        <v>13660</v>
      </c>
      <c r="B6739">
        <v>11833</v>
      </c>
      <c r="C6739">
        <v>28</v>
      </c>
      <c r="D6739">
        <v>196.4</v>
      </c>
      <c r="E6739">
        <v>4.2</v>
      </c>
    </row>
    <row r="6740" spans="1:5" x14ac:dyDescent="0.2">
      <c r="A6740">
        <v>13665</v>
      </c>
      <c r="B6740">
        <v>11841</v>
      </c>
      <c r="C6740">
        <v>28</v>
      </c>
      <c r="D6740">
        <v>195.9</v>
      </c>
      <c r="E6740">
        <v>4.0999999999999996</v>
      </c>
    </row>
    <row r="6741" spans="1:5" x14ac:dyDescent="0.2">
      <c r="A6741">
        <v>13670</v>
      </c>
      <c r="B6741">
        <v>11845</v>
      </c>
      <c r="C6741">
        <v>26</v>
      </c>
      <c r="D6741">
        <v>196</v>
      </c>
      <c r="E6741">
        <v>3.9</v>
      </c>
    </row>
    <row r="6742" spans="1:5" x14ac:dyDescent="0.2">
      <c r="A6742">
        <v>13675</v>
      </c>
      <c r="B6742">
        <v>11844</v>
      </c>
      <c r="C6742">
        <v>24</v>
      </c>
      <c r="D6742">
        <v>196.9</v>
      </c>
      <c r="E6742">
        <v>3.5</v>
      </c>
    </row>
    <row r="6743" spans="1:5" x14ac:dyDescent="0.2">
      <c r="A6743">
        <v>13680</v>
      </c>
      <c r="B6743">
        <v>11840</v>
      </c>
      <c r="C6743">
        <v>24</v>
      </c>
      <c r="D6743">
        <v>198.2</v>
      </c>
      <c r="E6743">
        <v>3.6</v>
      </c>
    </row>
    <row r="6744" spans="1:5" x14ac:dyDescent="0.2">
      <c r="A6744">
        <v>13685</v>
      </c>
      <c r="B6744">
        <v>11837</v>
      </c>
      <c r="C6744">
        <v>25</v>
      </c>
      <c r="D6744">
        <v>199.5</v>
      </c>
      <c r="E6744">
        <v>3.8</v>
      </c>
    </row>
    <row r="6745" spans="1:5" x14ac:dyDescent="0.2">
      <c r="A6745">
        <v>13690</v>
      </c>
      <c r="B6745">
        <v>11836</v>
      </c>
      <c r="C6745">
        <v>25</v>
      </c>
      <c r="D6745">
        <v>200.3</v>
      </c>
      <c r="E6745">
        <v>3.8</v>
      </c>
    </row>
    <row r="6746" spans="1:5" x14ac:dyDescent="0.2">
      <c r="A6746">
        <v>13695</v>
      </c>
      <c r="B6746">
        <v>11836</v>
      </c>
      <c r="C6746">
        <v>25</v>
      </c>
      <c r="D6746">
        <v>201</v>
      </c>
      <c r="E6746">
        <v>3.8</v>
      </c>
    </row>
    <row r="6747" spans="1:5" x14ac:dyDescent="0.2">
      <c r="A6747">
        <v>13700</v>
      </c>
      <c r="B6747">
        <v>11834</v>
      </c>
      <c r="C6747">
        <v>25</v>
      </c>
      <c r="D6747">
        <v>202.1</v>
      </c>
      <c r="E6747">
        <v>3.8</v>
      </c>
    </row>
    <row r="6748" spans="1:5" x14ac:dyDescent="0.2">
      <c r="A6748">
        <v>13705</v>
      </c>
      <c r="B6748">
        <v>11827</v>
      </c>
      <c r="C6748">
        <v>24</v>
      </c>
      <c r="D6748">
        <v>203.8</v>
      </c>
      <c r="E6748">
        <v>3.7</v>
      </c>
    </row>
    <row r="6749" spans="1:5" x14ac:dyDescent="0.2">
      <c r="A6749">
        <v>13710</v>
      </c>
      <c r="B6749">
        <v>11818</v>
      </c>
      <c r="C6749">
        <v>25</v>
      </c>
      <c r="D6749">
        <v>205.9</v>
      </c>
      <c r="E6749">
        <v>3.8</v>
      </c>
    </row>
    <row r="6750" spans="1:5" x14ac:dyDescent="0.2">
      <c r="A6750">
        <v>13715</v>
      </c>
      <c r="B6750">
        <v>11809</v>
      </c>
      <c r="C6750">
        <v>26</v>
      </c>
      <c r="D6750">
        <v>208</v>
      </c>
      <c r="E6750">
        <v>3.9</v>
      </c>
    </row>
    <row r="6751" spans="1:5" x14ac:dyDescent="0.2">
      <c r="A6751">
        <v>13720</v>
      </c>
      <c r="B6751">
        <v>11802</v>
      </c>
      <c r="C6751">
        <v>25</v>
      </c>
      <c r="D6751">
        <v>209.7</v>
      </c>
      <c r="E6751">
        <v>3.8</v>
      </c>
    </row>
    <row r="6752" spans="1:5" x14ac:dyDescent="0.2">
      <c r="A6752">
        <v>13725</v>
      </c>
      <c r="B6752">
        <v>11800</v>
      </c>
      <c r="C6752">
        <v>26</v>
      </c>
      <c r="D6752">
        <v>210.8</v>
      </c>
      <c r="E6752">
        <v>3.8</v>
      </c>
    </row>
    <row r="6753" spans="1:5" x14ac:dyDescent="0.2">
      <c r="A6753">
        <v>13730</v>
      </c>
      <c r="B6753">
        <v>11803</v>
      </c>
      <c r="C6753">
        <v>26</v>
      </c>
      <c r="D6753">
        <v>211</v>
      </c>
      <c r="E6753">
        <v>3.9</v>
      </c>
    </row>
    <row r="6754" spans="1:5" x14ac:dyDescent="0.2">
      <c r="A6754">
        <v>13735</v>
      </c>
      <c r="B6754">
        <v>11812</v>
      </c>
      <c r="C6754">
        <v>25</v>
      </c>
      <c r="D6754">
        <v>210.4</v>
      </c>
      <c r="E6754">
        <v>3.7</v>
      </c>
    </row>
    <row r="6755" spans="1:5" x14ac:dyDescent="0.2">
      <c r="A6755">
        <v>13740</v>
      </c>
      <c r="B6755">
        <v>11824</v>
      </c>
      <c r="C6755">
        <v>25</v>
      </c>
      <c r="D6755">
        <v>209.4</v>
      </c>
      <c r="E6755">
        <v>3.7</v>
      </c>
    </row>
    <row r="6756" spans="1:5" x14ac:dyDescent="0.2">
      <c r="A6756">
        <v>13745</v>
      </c>
      <c r="B6756">
        <v>11834</v>
      </c>
      <c r="C6756">
        <v>24</v>
      </c>
      <c r="D6756">
        <v>208.6</v>
      </c>
      <c r="E6756">
        <v>3.6</v>
      </c>
    </row>
    <row r="6757" spans="1:5" x14ac:dyDescent="0.2">
      <c r="A6757">
        <v>13750</v>
      </c>
      <c r="B6757">
        <v>11841</v>
      </c>
      <c r="C6757">
        <v>23</v>
      </c>
      <c r="D6757">
        <v>208.2</v>
      </c>
      <c r="E6757">
        <v>3.5</v>
      </c>
    </row>
    <row r="6758" spans="1:5" x14ac:dyDescent="0.2">
      <c r="A6758">
        <v>13755</v>
      </c>
      <c r="B6758">
        <v>11850</v>
      </c>
      <c r="C6758">
        <v>22</v>
      </c>
      <c r="D6758">
        <v>207.6</v>
      </c>
      <c r="E6758">
        <v>3.3</v>
      </c>
    </row>
    <row r="6759" spans="1:5" x14ac:dyDescent="0.2">
      <c r="A6759">
        <v>13760</v>
      </c>
      <c r="B6759">
        <v>11864</v>
      </c>
      <c r="C6759">
        <v>22</v>
      </c>
      <c r="D6759">
        <v>206.3</v>
      </c>
      <c r="E6759">
        <v>3.3</v>
      </c>
    </row>
    <row r="6760" spans="1:5" x14ac:dyDescent="0.2">
      <c r="A6760">
        <v>13765</v>
      </c>
      <c r="B6760">
        <v>11879</v>
      </c>
      <c r="C6760">
        <v>22</v>
      </c>
      <c r="D6760">
        <v>204.7</v>
      </c>
      <c r="E6760">
        <v>3.3</v>
      </c>
    </row>
    <row r="6761" spans="1:5" x14ac:dyDescent="0.2">
      <c r="A6761">
        <v>13770</v>
      </c>
      <c r="B6761">
        <v>11889</v>
      </c>
      <c r="C6761">
        <v>23</v>
      </c>
      <c r="D6761">
        <v>204</v>
      </c>
      <c r="E6761">
        <v>3.5</v>
      </c>
    </row>
    <row r="6762" spans="1:5" x14ac:dyDescent="0.2">
      <c r="A6762">
        <v>13775</v>
      </c>
      <c r="B6762">
        <v>11890</v>
      </c>
      <c r="C6762">
        <v>23</v>
      </c>
      <c r="D6762">
        <v>204.5</v>
      </c>
      <c r="E6762">
        <v>3.4</v>
      </c>
    </row>
    <row r="6763" spans="1:5" x14ac:dyDescent="0.2">
      <c r="A6763">
        <v>13780</v>
      </c>
      <c r="B6763">
        <v>11892</v>
      </c>
      <c r="C6763">
        <v>22</v>
      </c>
      <c r="D6763">
        <v>204.9</v>
      </c>
      <c r="E6763">
        <v>3.4</v>
      </c>
    </row>
    <row r="6764" spans="1:5" x14ac:dyDescent="0.2">
      <c r="A6764">
        <v>13785</v>
      </c>
      <c r="B6764">
        <v>11901</v>
      </c>
      <c r="C6764">
        <v>24</v>
      </c>
      <c r="D6764">
        <v>204.5</v>
      </c>
      <c r="E6764">
        <v>3.6</v>
      </c>
    </row>
    <row r="6765" spans="1:5" x14ac:dyDescent="0.2">
      <c r="A6765">
        <v>13790</v>
      </c>
      <c r="B6765">
        <v>11918</v>
      </c>
      <c r="C6765">
        <v>24</v>
      </c>
      <c r="D6765">
        <v>202.6</v>
      </c>
      <c r="E6765">
        <v>3.6</v>
      </c>
    </row>
    <row r="6766" spans="1:5" x14ac:dyDescent="0.2">
      <c r="A6766">
        <v>13795</v>
      </c>
      <c r="B6766">
        <v>11944</v>
      </c>
      <c r="C6766">
        <v>24</v>
      </c>
      <c r="D6766">
        <v>199.4</v>
      </c>
      <c r="E6766">
        <v>3.5</v>
      </c>
    </row>
    <row r="6767" spans="1:5" x14ac:dyDescent="0.2">
      <c r="A6767">
        <v>13800</v>
      </c>
      <c r="B6767">
        <v>11974</v>
      </c>
      <c r="C6767">
        <v>23</v>
      </c>
      <c r="D6767">
        <v>195.6</v>
      </c>
      <c r="E6767">
        <v>3.4</v>
      </c>
    </row>
    <row r="6768" spans="1:5" x14ac:dyDescent="0.2">
      <c r="A6768">
        <v>13805</v>
      </c>
      <c r="B6768">
        <v>11997</v>
      </c>
      <c r="C6768">
        <v>23</v>
      </c>
      <c r="D6768">
        <v>192.9</v>
      </c>
      <c r="E6768">
        <v>3.4</v>
      </c>
    </row>
    <row r="6769" spans="1:5" x14ac:dyDescent="0.2">
      <c r="A6769">
        <v>13810</v>
      </c>
      <c r="B6769">
        <v>12013</v>
      </c>
      <c r="C6769">
        <v>23</v>
      </c>
      <c r="D6769">
        <v>191.3</v>
      </c>
      <c r="E6769">
        <v>3.4</v>
      </c>
    </row>
    <row r="6770" spans="1:5" x14ac:dyDescent="0.2">
      <c r="A6770">
        <v>13815</v>
      </c>
      <c r="B6770">
        <v>12021</v>
      </c>
      <c r="C6770">
        <v>24</v>
      </c>
      <c r="D6770">
        <v>190.8</v>
      </c>
      <c r="E6770">
        <v>3.6</v>
      </c>
    </row>
    <row r="6771" spans="1:5" x14ac:dyDescent="0.2">
      <c r="A6771">
        <v>13820</v>
      </c>
      <c r="B6771">
        <v>12024</v>
      </c>
      <c r="C6771">
        <v>25</v>
      </c>
      <c r="D6771">
        <v>191.1</v>
      </c>
      <c r="E6771">
        <v>3.7</v>
      </c>
    </row>
    <row r="6772" spans="1:5" x14ac:dyDescent="0.2">
      <c r="A6772">
        <v>13825</v>
      </c>
      <c r="B6772">
        <v>12022</v>
      </c>
      <c r="C6772">
        <v>23</v>
      </c>
      <c r="D6772">
        <v>192.1</v>
      </c>
      <c r="E6772">
        <v>3.5</v>
      </c>
    </row>
    <row r="6773" spans="1:5" x14ac:dyDescent="0.2">
      <c r="A6773">
        <v>13830</v>
      </c>
      <c r="B6773">
        <v>12018</v>
      </c>
      <c r="C6773">
        <v>23</v>
      </c>
      <c r="D6773">
        <v>193.4</v>
      </c>
      <c r="E6773">
        <v>3.4</v>
      </c>
    </row>
    <row r="6774" spans="1:5" x14ac:dyDescent="0.2">
      <c r="A6774">
        <v>13835</v>
      </c>
      <c r="B6774">
        <v>12014</v>
      </c>
      <c r="C6774">
        <v>24</v>
      </c>
      <c r="D6774">
        <v>194.7</v>
      </c>
      <c r="E6774">
        <v>3.6</v>
      </c>
    </row>
    <row r="6775" spans="1:5" x14ac:dyDescent="0.2">
      <c r="A6775">
        <v>13840</v>
      </c>
      <c r="B6775">
        <v>12011</v>
      </c>
      <c r="C6775">
        <v>26</v>
      </c>
      <c r="D6775">
        <v>195.9</v>
      </c>
      <c r="E6775">
        <v>3.9</v>
      </c>
    </row>
    <row r="6776" spans="1:5" x14ac:dyDescent="0.2">
      <c r="A6776">
        <v>13845</v>
      </c>
      <c r="B6776">
        <v>12011</v>
      </c>
      <c r="C6776">
        <v>27</v>
      </c>
      <c r="D6776">
        <v>196.6</v>
      </c>
      <c r="E6776">
        <v>4</v>
      </c>
    </row>
    <row r="6777" spans="1:5" x14ac:dyDescent="0.2">
      <c r="A6777">
        <v>13850</v>
      </c>
      <c r="B6777">
        <v>12014</v>
      </c>
      <c r="C6777">
        <v>27</v>
      </c>
      <c r="D6777">
        <v>196.9</v>
      </c>
      <c r="E6777">
        <v>4</v>
      </c>
    </row>
    <row r="6778" spans="1:5" x14ac:dyDescent="0.2">
      <c r="A6778">
        <v>13855</v>
      </c>
      <c r="B6778">
        <v>12019</v>
      </c>
      <c r="C6778">
        <v>27</v>
      </c>
      <c r="D6778">
        <v>196.9</v>
      </c>
      <c r="E6778">
        <v>4</v>
      </c>
    </row>
    <row r="6779" spans="1:5" x14ac:dyDescent="0.2">
      <c r="A6779">
        <v>13860</v>
      </c>
      <c r="B6779">
        <v>12025</v>
      </c>
      <c r="C6779">
        <v>28</v>
      </c>
      <c r="D6779">
        <v>196.8</v>
      </c>
      <c r="E6779">
        <v>4.2</v>
      </c>
    </row>
    <row r="6780" spans="1:5" x14ac:dyDescent="0.2">
      <c r="A6780">
        <v>13865</v>
      </c>
      <c r="B6780">
        <v>12032</v>
      </c>
      <c r="C6780">
        <v>28</v>
      </c>
      <c r="D6780">
        <v>196.4</v>
      </c>
      <c r="E6780">
        <v>4.0999999999999996</v>
      </c>
    </row>
    <row r="6781" spans="1:5" x14ac:dyDescent="0.2">
      <c r="A6781">
        <v>13870</v>
      </c>
      <c r="B6781">
        <v>12040</v>
      </c>
      <c r="C6781">
        <v>26</v>
      </c>
      <c r="D6781">
        <v>196</v>
      </c>
      <c r="E6781">
        <v>3.9</v>
      </c>
    </row>
    <row r="6782" spans="1:5" x14ac:dyDescent="0.2">
      <c r="A6782">
        <v>13875</v>
      </c>
      <c r="B6782">
        <v>12048</v>
      </c>
      <c r="C6782">
        <v>25</v>
      </c>
      <c r="D6782">
        <v>195.5</v>
      </c>
      <c r="E6782">
        <v>3.7</v>
      </c>
    </row>
    <row r="6783" spans="1:5" x14ac:dyDescent="0.2">
      <c r="A6783">
        <v>13880</v>
      </c>
      <c r="B6783">
        <v>12055</v>
      </c>
      <c r="C6783">
        <v>27</v>
      </c>
      <c r="D6783">
        <v>195.2</v>
      </c>
      <c r="E6783">
        <v>4</v>
      </c>
    </row>
    <row r="6784" spans="1:5" x14ac:dyDescent="0.2">
      <c r="A6784">
        <v>13885</v>
      </c>
      <c r="B6784">
        <v>12060</v>
      </c>
      <c r="C6784">
        <v>29</v>
      </c>
      <c r="D6784">
        <v>195.1</v>
      </c>
      <c r="E6784">
        <v>4.3</v>
      </c>
    </row>
    <row r="6785" spans="1:5" x14ac:dyDescent="0.2">
      <c r="A6785">
        <v>13890</v>
      </c>
      <c r="B6785">
        <v>12065</v>
      </c>
      <c r="C6785">
        <v>29</v>
      </c>
      <c r="D6785">
        <v>195.2</v>
      </c>
      <c r="E6785">
        <v>4.4000000000000004</v>
      </c>
    </row>
    <row r="6786" spans="1:5" x14ac:dyDescent="0.2">
      <c r="A6786">
        <v>13895</v>
      </c>
      <c r="B6786">
        <v>12066</v>
      </c>
      <c r="C6786">
        <v>28</v>
      </c>
      <c r="D6786">
        <v>195.6</v>
      </c>
      <c r="E6786">
        <v>4.2</v>
      </c>
    </row>
    <row r="6787" spans="1:5" x14ac:dyDescent="0.2">
      <c r="A6787">
        <v>13900</v>
      </c>
      <c r="B6787">
        <v>12067</v>
      </c>
      <c r="C6787">
        <v>27</v>
      </c>
      <c r="D6787">
        <v>196.3</v>
      </c>
      <c r="E6787">
        <v>4</v>
      </c>
    </row>
    <row r="6788" spans="1:5" x14ac:dyDescent="0.2">
      <c r="A6788">
        <v>13905</v>
      </c>
      <c r="B6788">
        <v>12065</v>
      </c>
      <c r="C6788">
        <v>27</v>
      </c>
      <c r="D6788">
        <v>197.2</v>
      </c>
      <c r="E6788">
        <v>4</v>
      </c>
    </row>
    <row r="6789" spans="1:5" x14ac:dyDescent="0.2">
      <c r="A6789">
        <v>13910</v>
      </c>
      <c r="B6789">
        <v>12062</v>
      </c>
      <c r="C6789">
        <v>28</v>
      </c>
      <c r="D6789">
        <v>198.4</v>
      </c>
      <c r="E6789">
        <v>4.2</v>
      </c>
    </row>
    <row r="6790" spans="1:5" x14ac:dyDescent="0.2">
      <c r="A6790">
        <v>13915</v>
      </c>
      <c r="B6790">
        <v>12058</v>
      </c>
      <c r="C6790">
        <v>29</v>
      </c>
      <c r="D6790">
        <v>199.9</v>
      </c>
      <c r="E6790">
        <v>4.4000000000000004</v>
      </c>
    </row>
    <row r="6791" spans="1:5" x14ac:dyDescent="0.2">
      <c r="A6791">
        <v>13920</v>
      </c>
      <c r="B6791">
        <v>12051</v>
      </c>
      <c r="C6791">
        <v>30</v>
      </c>
      <c r="D6791">
        <v>201.5</v>
      </c>
      <c r="E6791">
        <v>4.5</v>
      </c>
    </row>
    <row r="6792" spans="1:5" x14ac:dyDescent="0.2">
      <c r="A6792">
        <v>13925</v>
      </c>
      <c r="B6792">
        <v>12044</v>
      </c>
      <c r="C6792">
        <v>29</v>
      </c>
      <c r="D6792">
        <v>203.4</v>
      </c>
      <c r="E6792">
        <v>4.4000000000000004</v>
      </c>
    </row>
    <row r="6793" spans="1:5" x14ac:dyDescent="0.2">
      <c r="A6793">
        <v>13930</v>
      </c>
      <c r="B6793">
        <v>12036</v>
      </c>
      <c r="C6793">
        <v>28</v>
      </c>
      <c r="D6793">
        <v>205.3</v>
      </c>
      <c r="E6793">
        <v>4.2</v>
      </c>
    </row>
    <row r="6794" spans="1:5" x14ac:dyDescent="0.2">
      <c r="A6794">
        <v>13935</v>
      </c>
      <c r="B6794">
        <v>12028</v>
      </c>
      <c r="C6794">
        <v>27</v>
      </c>
      <c r="D6794">
        <v>207.2</v>
      </c>
      <c r="E6794">
        <v>4.0999999999999996</v>
      </c>
    </row>
    <row r="6795" spans="1:5" x14ac:dyDescent="0.2">
      <c r="A6795">
        <v>13940</v>
      </c>
      <c r="B6795">
        <v>12020</v>
      </c>
      <c r="C6795">
        <v>27</v>
      </c>
      <c r="D6795">
        <v>209.1</v>
      </c>
      <c r="E6795">
        <v>4</v>
      </c>
    </row>
    <row r="6796" spans="1:5" x14ac:dyDescent="0.2">
      <c r="A6796">
        <v>13945</v>
      </c>
      <c r="B6796">
        <v>12013</v>
      </c>
      <c r="C6796">
        <v>27</v>
      </c>
      <c r="D6796">
        <v>210.8</v>
      </c>
      <c r="E6796">
        <v>4.0999999999999996</v>
      </c>
    </row>
    <row r="6797" spans="1:5" x14ac:dyDescent="0.2">
      <c r="A6797">
        <v>13950</v>
      </c>
      <c r="B6797">
        <v>12008</v>
      </c>
      <c r="C6797">
        <v>29</v>
      </c>
      <c r="D6797">
        <v>212.4</v>
      </c>
      <c r="E6797">
        <v>4.4000000000000004</v>
      </c>
    </row>
    <row r="6798" spans="1:5" x14ac:dyDescent="0.2">
      <c r="A6798">
        <v>13955</v>
      </c>
      <c r="B6798">
        <v>12004</v>
      </c>
      <c r="C6798">
        <v>31</v>
      </c>
      <c r="D6798">
        <v>213.7</v>
      </c>
      <c r="E6798">
        <v>4.7</v>
      </c>
    </row>
    <row r="6799" spans="1:5" x14ac:dyDescent="0.2">
      <c r="A6799">
        <v>13960</v>
      </c>
      <c r="B6799">
        <v>12002</v>
      </c>
      <c r="C6799">
        <v>33</v>
      </c>
      <c r="D6799">
        <v>214.7</v>
      </c>
      <c r="E6799">
        <v>5</v>
      </c>
    </row>
    <row r="6800" spans="1:5" x14ac:dyDescent="0.2">
      <c r="A6800">
        <v>13965</v>
      </c>
      <c r="B6800">
        <v>12001</v>
      </c>
      <c r="C6800">
        <v>35</v>
      </c>
      <c r="D6800">
        <v>215.6</v>
      </c>
      <c r="E6800">
        <v>5.3</v>
      </c>
    </row>
    <row r="6801" spans="1:5" x14ac:dyDescent="0.2">
      <c r="A6801">
        <v>13970</v>
      </c>
      <c r="B6801">
        <v>12002</v>
      </c>
      <c r="C6801">
        <v>37</v>
      </c>
      <c r="D6801">
        <v>216.2</v>
      </c>
      <c r="E6801">
        <v>5.5</v>
      </c>
    </row>
    <row r="6802" spans="1:5" x14ac:dyDescent="0.2">
      <c r="A6802">
        <v>13975</v>
      </c>
      <c r="B6802">
        <v>12004</v>
      </c>
      <c r="C6802">
        <v>38</v>
      </c>
      <c r="D6802">
        <v>216.7</v>
      </c>
      <c r="E6802">
        <v>5.7</v>
      </c>
    </row>
    <row r="6803" spans="1:5" x14ac:dyDescent="0.2">
      <c r="A6803">
        <v>13980</v>
      </c>
      <c r="B6803">
        <v>12007</v>
      </c>
      <c r="C6803">
        <v>39</v>
      </c>
      <c r="D6803">
        <v>217</v>
      </c>
      <c r="E6803">
        <v>5.9</v>
      </c>
    </row>
    <row r="6804" spans="1:5" x14ac:dyDescent="0.2">
      <c r="A6804">
        <v>13985</v>
      </c>
      <c r="B6804">
        <v>12011</v>
      </c>
      <c r="C6804">
        <v>39</v>
      </c>
      <c r="D6804">
        <v>217.1</v>
      </c>
      <c r="E6804">
        <v>5.9</v>
      </c>
    </row>
    <row r="6805" spans="1:5" x14ac:dyDescent="0.2">
      <c r="A6805">
        <v>13990</v>
      </c>
      <c r="B6805">
        <v>12016</v>
      </c>
      <c r="C6805">
        <v>39</v>
      </c>
      <c r="D6805">
        <v>217</v>
      </c>
      <c r="E6805">
        <v>6</v>
      </c>
    </row>
    <row r="6806" spans="1:5" x14ac:dyDescent="0.2">
      <c r="A6806">
        <v>13995</v>
      </c>
      <c r="B6806">
        <v>12023</v>
      </c>
      <c r="C6806">
        <v>39</v>
      </c>
      <c r="D6806">
        <v>216.8</v>
      </c>
      <c r="E6806">
        <v>6</v>
      </c>
    </row>
    <row r="6807" spans="1:5" x14ac:dyDescent="0.2">
      <c r="A6807">
        <v>14000</v>
      </c>
      <c r="B6807">
        <v>12030</v>
      </c>
      <c r="C6807">
        <v>39</v>
      </c>
      <c r="D6807">
        <v>216.5</v>
      </c>
      <c r="E6807">
        <v>5.9</v>
      </c>
    </row>
    <row r="6808" spans="1:5" x14ac:dyDescent="0.2">
      <c r="A6808">
        <v>14005</v>
      </c>
      <c r="B6808">
        <v>12037</v>
      </c>
      <c r="C6808">
        <v>38</v>
      </c>
      <c r="D6808">
        <v>216</v>
      </c>
      <c r="E6808">
        <v>5.8</v>
      </c>
    </row>
    <row r="6809" spans="1:5" x14ac:dyDescent="0.2">
      <c r="A6809">
        <v>14010</v>
      </c>
      <c r="B6809">
        <v>12046</v>
      </c>
      <c r="C6809">
        <v>38</v>
      </c>
      <c r="D6809">
        <v>215.5</v>
      </c>
      <c r="E6809">
        <v>5.7</v>
      </c>
    </row>
    <row r="6810" spans="1:5" x14ac:dyDescent="0.2">
      <c r="A6810">
        <v>14015</v>
      </c>
      <c r="B6810">
        <v>12055</v>
      </c>
      <c r="C6810">
        <v>37</v>
      </c>
      <c r="D6810">
        <v>214.8</v>
      </c>
      <c r="E6810">
        <v>5.6</v>
      </c>
    </row>
    <row r="6811" spans="1:5" x14ac:dyDescent="0.2">
      <c r="A6811">
        <v>14020</v>
      </c>
      <c r="B6811">
        <v>12065</v>
      </c>
      <c r="C6811">
        <v>36</v>
      </c>
      <c r="D6811">
        <v>214.1</v>
      </c>
      <c r="E6811">
        <v>5.4</v>
      </c>
    </row>
    <row r="6812" spans="1:5" x14ac:dyDescent="0.2">
      <c r="A6812">
        <v>14025</v>
      </c>
      <c r="B6812">
        <v>12075</v>
      </c>
      <c r="C6812">
        <v>34</v>
      </c>
      <c r="D6812">
        <v>213.3</v>
      </c>
      <c r="E6812">
        <v>5.2</v>
      </c>
    </row>
    <row r="6813" spans="1:5" x14ac:dyDescent="0.2">
      <c r="A6813">
        <v>14030</v>
      </c>
      <c r="B6813">
        <v>12086</v>
      </c>
      <c r="C6813">
        <v>33</v>
      </c>
      <c r="D6813">
        <v>212.4</v>
      </c>
      <c r="E6813">
        <v>5</v>
      </c>
    </row>
    <row r="6814" spans="1:5" x14ac:dyDescent="0.2">
      <c r="A6814">
        <v>14035</v>
      </c>
      <c r="B6814">
        <v>12096</v>
      </c>
      <c r="C6814">
        <v>32</v>
      </c>
      <c r="D6814">
        <v>211.5</v>
      </c>
      <c r="E6814">
        <v>4.8</v>
      </c>
    </row>
    <row r="6815" spans="1:5" x14ac:dyDescent="0.2">
      <c r="A6815">
        <v>14040</v>
      </c>
      <c r="B6815">
        <v>12108</v>
      </c>
      <c r="C6815">
        <v>30</v>
      </c>
      <c r="D6815">
        <v>210.6</v>
      </c>
      <c r="E6815">
        <v>4.5999999999999996</v>
      </c>
    </row>
    <row r="6816" spans="1:5" x14ac:dyDescent="0.2">
      <c r="A6816">
        <v>14045</v>
      </c>
      <c r="B6816">
        <v>12119</v>
      </c>
      <c r="C6816">
        <v>29</v>
      </c>
      <c r="D6816">
        <v>209.6</v>
      </c>
      <c r="E6816">
        <v>4.4000000000000004</v>
      </c>
    </row>
    <row r="6817" spans="1:5" x14ac:dyDescent="0.2">
      <c r="A6817">
        <v>14050</v>
      </c>
      <c r="B6817">
        <v>12130</v>
      </c>
      <c r="C6817">
        <v>28</v>
      </c>
      <c r="D6817">
        <v>208.7</v>
      </c>
      <c r="E6817">
        <v>4.2</v>
      </c>
    </row>
    <row r="6818" spans="1:5" x14ac:dyDescent="0.2">
      <c r="A6818">
        <v>14055</v>
      </c>
      <c r="B6818">
        <v>12141</v>
      </c>
      <c r="C6818">
        <v>27</v>
      </c>
      <c r="D6818">
        <v>207.7</v>
      </c>
      <c r="E6818">
        <v>4.0999999999999996</v>
      </c>
    </row>
    <row r="6819" spans="1:5" x14ac:dyDescent="0.2">
      <c r="A6819">
        <v>14060</v>
      </c>
      <c r="B6819">
        <v>12152</v>
      </c>
      <c r="C6819">
        <v>26</v>
      </c>
      <c r="D6819">
        <v>206.7</v>
      </c>
      <c r="E6819">
        <v>3.9</v>
      </c>
    </row>
    <row r="6820" spans="1:5" x14ac:dyDescent="0.2">
      <c r="A6820">
        <v>14065</v>
      </c>
      <c r="B6820">
        <v>12163</v>
      </c>
      <c r="C6820">
        <v>26</v>
      </c>
      <c r="D6820">
        <v>205.8</v>
      </c>
      <c r="E6820">
        <v>3.9</v>
      </c>
    </row>
    <row r="6821" spans="1:5" x14ac:dyDescent="0.2">
      <c r="A6821">
        <v>14070</v>
      </c>
      <c r="B6821">
        <v>12174</v>
      </c>
      <c r="C6821">
        <v>25</v>
      </c>
      <c r="D6821">
        <v>204.9</v>
      </c>
      <c r="E6821">
        <v>3.8</v>
      </c>
    </row>
    <row r="6822" spans="1:5" x14ac:dyDescent="0.2">
      <c r="A6822">
        <v>14075</v>
      </c>
      <c r="B6822">
        <v>12185</v>
      </c>
      <c r="C6822">
        <v>25</v>
      </c>
      <c r="D6822">
        <v>204.1</v>
      </c>
      <c r="E6822">
        <v>3.7</v>
      </c>
    </row>
    <row r="6823" spans="1:5" x14ac:dyDescent="0.2">
      <c r="A6823">
        <v>14080</v>
      </c>
      <c r="B6823">
        <v>12194</v>
      </c>
      <c r="C6823">
        <v>25</v>
      </c>
      <c r="D6823">
        <v>203.4</v>
      </c>
      <c r="E6823">
        <v>3.7</v>
      </c>
    </row>
    <row r="6824" spans="1:5" x14ac:dyDescent="0.2">
      <c r="A6824">
        <v>14085</v>
      </c>
      <c r="B6824">
        <v>12204</v>
      </c>
      <c r="C6824">
        <v>25</v>
      </c>
      <c r="D6824">
        <v>202.7</v>
      </c>
      <c r="E6824">
        <v>3.7</v>
      </c>
    </row>
    <row r="6825" spans="1:5" x14ac:dyDescent="0.2">
      <c r="A6825">
        <v>14090</v>
      </c>
      <c r="B6825">
        <v>12213</v>
      </c>
      <c r="C6825">
        <v>24</v>
      </c>
      <c r="D6825">
        <v>202.1</v>
      </c>
      <c r="E6825">
        <v>3.7</v>
      </c>
    </row>
    <row r="6826" spans="1:5" x14ac:dyDescent="0.2">
      <c r="A6826">
        <v>14095</v>
      </c>
      <c r="B6826">
        <v>12221</v>
      </c>
      <c r="C6826">
        <v>24</v>
      </c>
      <c r="D6826">
        <v>201.6</v>
      </c>
      <c r="E6826">
        <v>3.6</v>
      </c>
    </row>
    <row r="6827" spans="1:5" x14ac:dyDescent="0.2">
      <c r="A6827">
        <v>14100</v>
      </c>
      <c r="B6827">
        <v>12228</v>
      </c>
      <c r="C6827">
        <v>24</v>
      </c>
      <c r="D6827">
        <v>201.2</v>
      </c>
      <c r="E6827">
        <v>3.6</v>
      </c>
    </row>
    <row r="6828" spans="1:5" x14ac:dyDescent="0.2">
      <c r="A6828">
        <v>14105</v>
      </c>
      <c r="B6828">
        <v>12235</v>
      </c>
      <c r="C6828">
        <v>24</v>
      </c>
      <c r="D6828">
        <v>201</v>
      </c>
      <c r="E6828">
        <v>3.6</v>
      </c>
    </row>
    <row r="6829" spans="1:5" x14ac:dyDescent="0.2">
      <c r="A6829">
        <v>14110</v>
      </c>
      <c r="B6829">
        <v>12240</v>
      </c>
      <c r="C6829">
        <v>23</v>
      </c>
      <c r="D6829">
        <v>200.9</v>
      </c>
      <c r="E6829">
        <v>3.5</v>
      </c>
    </row>
    <row r="6830" spans="1:5" x14ac:dyDescent="0.2">
      <c r="A6830">
        <v>14115</v>
      </c>
      <c r="B6830">
        <v>12245</v>
      </c>
      <c r="C6830">
        <v>23</v>
      </c>
      <c r="D6830">
        <v>200.9</v>
      </c>
      <c r="E6830">
        <v>3.4</v>
      </c>
    </row>
    <row r="6831" spans="1:5" x14ac:dyDescent="0.2">
      <c r="A6831">
        <v>14120</v>
      </c>
      <c r="B6831">
        <v>12248</v>
      </c>
      <c r="C6831">
        <v>23</v>
      </c>
      <c r="D6831">
        <v>201.1</v>
      </c>
      <c r="E6831">
        <v>3.4</v>
      </c>
    </row>
    <row r="6832" spans="1:5" x14ac:dyDescent="0.2">
      <c r="A6832">
        <v>14125</v>
      </c>
      <c r="B6832">
        <v>12250</v>
      </c>
      <c r="C6832">
        <v>22</v>
      </c>
      <c r="D6832">
        <v>201.5</v>
      </c>
      <c r="E6832">
        <v>3.3</v>
      </c>
    </row>
    <row r="6833" spans="1:5" x14ac:dyDescent="0.2">
      <c r="A6833">
        <v>14130</v>
      </c>
      <c r="B6833">
        <v>12252</v>
      </c>
      <c r="C6833">
        <v>22</v>
      </c>
      <c r="D6833">
        <v>202</v>
      </c>
      <c r="E6833">
        <v>3.3</v>
      </c>
    </row>
    <row r="6834" spans="1:5" x14ac:dyDescent="0.2">
      <c r="A6834">
        <v>14135</v>
      </c>
      <c r="B6834">
        <v>12253</v>
      </c>
      <c r="C6834">
        <v>22</v>
      </c>
      <c r="D6834">
        <v>202.6</v>
      </c>
      <c r="E6834">
        <v>3.3</v>
      </c>
    </row>
    <row r="6835" spans="1:5" x14ac:dyDescent="0.2">
      <c r="A6835">
        <v>14140</v>
      </c>
      <c r="B6835">
        <v>12255</v>
      </c>
      <c r="C6835">
        <v>22</v>
      </c>
      <c r="D6835">
        <v>203</v>
      </c>
      <c r="E6835">
        <v>3.3</v>
      </c>
    </row>
    <row r="6836" spans="1:5" x14ac:dyDescent="0.2">
      <c r="A6836">
        <v>14145</v>
      </c>
      <c r="B6836">
        <v>12258</v>
      </c>
      <c r="C6836">
        <v>22</v>
      </c>
      <c r="D6836">
        <v>203.3</v>
      </c>
      <c r="E6836">
        <v>3.3</v>
      </c>
    </row>
    <row r="6837" spans="1:5" x14ac:dyDescent="0.2">
      <c r="A6837">
        <v>14150</v>
      </c>
      <c r="B6837">
        <v>12261</v>
      </c>
      <c r="C6837">
        <v>22</v>
      </c>
      <c r="D6837">
        <v>203.6</v>
      </c>
      <c r="E6837">
        <v>3.3</v>
      </c>
    </row>
    <row r="6838" spans="1:5" x14ac:dyDescent="0.2">
      <c r="A6838">
        <v>14155</v>
      </c>
      <c r="B6838">
        <v>12265</v>
      </c>
      <c r="C6838">
        <v>22</v>
      </c>
      <c r="D6838">
        <v>203.7</v>
      </c>
      <c r="E6838">
        <v>3.3</v>
      </c>
    </row>
    <row r="6839" spans="1:5" x14ac:dyDescent="0.2">
      <c r="A6839">
        <v>14160</v>
      </c>
      <c r="B6839">
        <v>12269</v>
      </c>
      <c r="C6839">
        <v>22</v>
      </c>
      <c r="D6839">
        <v>203.8</v>
      </c>
      <c r="E6839">
        <v>3.3</v>
      </c>
    </row>
    <row r="6840" spans="1:5" x14ac:dyDescent="0.2">
      <c r="A6840">
        <v>14165</v>
      </c>
      <c r="B6840">
        <v>12274</v>
      </c>
      <c r="C6840">
        <v>22</v>
      </c>
      <c r="D6840">
        <v>203.9</v>
      </c>
      <c r="E6840">
        <v>3.3</v>
      </c>
    </row>
    <row r="6841" spans="1:5" x14ac:dyDescent="0.2">
      <c r="A6841">
        <v>14170</v>
      </c>
      <c r="B6841">
        <v>12278</v>
      </c>
      <c r="C6841">
        <v>22</v>
      </c>
      <c r="D6841">
        <v>203.9</v>
      </c>
      <c r="E6841">
        <v>3.3</v>
      </c>
    </row>
    <row r="6842" spans="1:5" x14ac:dyDescent="0.2">
      <c r="A6842">
        <v>14175</v>
      </c>
      <c r="B6842">
        <v>12282</v>
      </c>
      <c r="C6842">
        <v>22</v>
      </c>
      <c r="D6842">
        <v>204</v>
      </c>
      <c r="E6842">
        <v>3.3</v>
      </c>
    </row>
    <row r="6843" spans="1:5" x14ac:dyDescent="0.2">
      <c r="A6843">
        <v>14180</v>
      </c>
      <c r="B6843">
        <v>12287</v>
      </c>
      <c r="C6843">
        <v>22</v>
      </c>
      <c r="D6843">
        <v>204.1</v>
      </c>
      <c r="E6843">
        <v>3.2</v>
      </c>
    </row>
    <row r="6844" spans="1:5" x14ac:dyDescent="0.2">
      <c r="A6844">
        <v>14185</v>
      </c>
      <c r="B6844">
        <v>12291</v>
      </c>
      <c r="C6844">
        <v>22</v>
      </c>
      <c r="D6844">
        <v>204.2</v>
      </c>
      <c r="E6844">
        <v>3.2</v>
      </c>
    </row>
    <row r="6845" spans="1:5" x14ac:dyDescent="0.2">
      <c r="A6845">
        <v>14190</v>
      </c>
      <c r="B6845">
        <v>12295</v>
      </c>
      <c r="C6845">
        <v>22</v>
      </c>
      <c r="D6845">
        <v>204.3</v>
      </c>
      <c r="E6845">
        <v>3.2</v>
      </c>
    </row>
    <row r="6846" spans="1:5" x14ac:dyDescent="0.2">
      <c r="A6846">
        <v>14195</v>
      </c>
      <c r="B6846">
        <v>12299</v>
      </c>
      <c r="C6846">
        <v>21</v>
      </c>
      <c r="D6846">
        <v>204.5</v>
      </c>
      <c r="E6846">
        <v>3.2</v>
      </c>
    </row>
    <row r="6847" spans="1:5" x14ac:dyDescent="0.2">
      <c r="A6847">
        <v>14200</v>
      </c>
      <c r="B6847">
        <v>12302</v>
      </c>
      <c r="C6847">
        <v>21</v>
      </c>
      <c r="D6847">
        <v>204.7</v>
      </c>
      <c r="E6847">
        <v>3.2</v>
      </c>
    </row>
    <row r="6848" spans="1:5" x14ac:dyDescent="0.2">
      <c r="A6848">
        <v>14205</v>
      </c>
      <c r="B6848">
        <v>12305</v>
      </c>
      <c r="C6848">
        <v>21</v>
      </c>
      <c r="D6848">
        <v>205</v>
      </c>
      <c r="E6848">
        <v>3.2</v>
      </c>
    </row>
    <row r="6849" spans="1:5" x14ac:dyDescent="0.2">
      <c r="A6849">
        <v>14210</v>
      </c>
      <c r="B6849">
        <v>12308</v>
      </c>
      <c r="C6849">
        <v>22</v>
      </c>
      <c r="D6849">
        <v>205.3</v>
      </c>
      <c r="E6849">
        <v>3.2</v>
      </c>
    </row>
    <row r="6850" spans="1:5" x14ac:dyDescent="0.2">
      <c r="A6850">
        <v>14215</v>
      </c>
      <c r="B6850">
        <v>12310</v>
      </c>
      <c r="C6850">
        <v>22</v>
      </c>
      <c r="D6850">
        <v>205.7</v>
      </c>
      <c r="E6850">
        <v>3.3</v>
      </c>
    </row>
    <row r="6851" spans="1:5" x14ac:dyDescent="0.2">
      <c r="A6851">
        <v>14220</v>
      </c>
      <c r="B6851">
        <v>12312</v>
      </c>
      <c r="C6851">
        <v>22</v>
      </c>
      <c r="D6851">
        <v>206.1</v>
      </c>
      <c r="E6851">
        <v>3.3</v>
      </c>
    </row>
    <row r="6852" spans="1:5" x14ac:dyDescent="0.2">
      <c r="A6852">
        <v>14225</v>
      </c>
      <c r="B6852">
        <v>12314</v>
      </c>
      <c r="C6852">
        <v>22</v>
      </c>
      <c r="D6852">
        <v>206.5</v>
      </c>
      <c r="E6852">
        <v>3.4</v>
      </c>
    </row>
    <row r="6853" spans="1:5" x14ac:dyDescent="0.2">
      <c r="A6853">
        <v>14230</v>
      </c>
      <c r="B6853">
        <v>12316</v>
      </c>
      <c r="C6853">
        <v>22</v>
      </c>
      <c r="D6853">
        <v>207</v>
      </c>
      <c r="E6853">
        <v>3.4</v>
      </c>
    </row>
    <row r="6854" spans="1:5" x14ac:dyDescent="0.2">
      <c r="A6854">
        <v>14235</v>
      </c>
      <c r="B6854">
        <v>12318</v>
      </c>
      <c r="C6854">
        <v>22</v>
      </c>
      <c r="D6854">
        <v>207.4</v>
      </c>
      <c r="E6854">
        <v>3.3</v>
      </c>
    </row>
    <row r="6855" spans="1:5" x14ac:dyDescent="0.2">
      <c r="A6855">
        <v>14240</v>
      </c>
      <c r="B6855">
        <v>12320</v>
      </c>
      <c r="C6855">
        <v>22</v>
      </c>
      <c r="D6855">
        <v>207.9</v>
      </c>
      <c r="E6855">
        <v>3.3</v>
      </c>
    </row>
    <row r="6856" spans="1:5" x14ac:dyDescent="0.2">
      <c r="A6856">
        <v>14245</v>
      </c>
      <c r="B6856">
        <v>12322</v>
      </c>
      <c r="C6856">
        <v>22</v>
      </c>
      <c r="D6856">
        <v>208.3</v>
      </c>
      <c r="E6856">
        <v>3.3</v>
      </c>
    </row>
    <row r="6857" spans="1:5" x14ac:dyDescent="0.2">
      <c r="A6857">
        <v>14250</v>
      </c>
      <c r="B6857">
        <v>12323</v>
      </c>
      <c r="C6857">
        <v>22</v>
      </c>
      <c r="D6857">
        <v>208.9</v>
      </c>
      <c r="E6857">
        <v>3.3</v>
      </c>
    </row>
    <row r="6858" spans="1:5" x14ac:dyDescent="0.2">
      <c r="A6858">
        <v>14255</v>
      </c>
      <c r="B6858">
        <v>12324</v>
      </c>
      <c r="C6858">
        <v>23</v>
      </c>
      <c r="D6858">
        <v>209.4</v>
      </c>
      <c r="E6858">
        <v>3.5</v>
      </c>
    </row>
    <row r="6859" spans="1:5" x14ac:dyDescent="0.2">
      <c r="A6859">
        <v>14260</v>
      </c>
      <c r="B6859">
        <v>12325</v>
      </c>
      <c r="C6859">
        <v>26</v>
      </c>
      <c r="D6859">
        <v>210.1</v>
      </c>
      <c r="E6859">
        <v>3.9</v>
      </c>
    </row>
    <row r="6860" spans="1:5" x14ac:dyDescent="0.2">
      <c r="A6860">
        <v>14265</v>
      </c>
      <c r="B6860">
        <v>12326</v>
      </c>
      <c r="C6860">
        <v>30</v>
      </c>
      <c r="D6860">
        <v>210.6</v>
      </c>
      <c r="E6860">
        <v>4.5</v>
      </c>
    </row>
    <row r="6861" spans="1:5" x14ac:dyDescent="0.2">
      <c r="A6861">
        <v>14270</v>
      </c>
      <c r="B6861">
        <v>12327</v>
      </c>
      <c r="C6861">
        <v>34</v>
      </c>
      <c r="D6861">
        <v>211.2</v>
      </c>
      <c r="E6861">
        <v>5.0999999999999996</v>
      </c>
    </row>
    <row r="6862" spans="1:5" x14ac:dyDescent="0.2">
      <c r="A6862">
        <v>14275</v>
      </c>
      <c r="B6862">
        <v>12328</v>
      </c>
      <c r="C6862">
        <v>39</v>
      </c>
      <c r="D6862">
        <v>211.8</v>
      </c>
      <c r="E6862">
        <v>5.8</v>
      </c>
    </row>
    <row r="6863" spans="1:5" x14ac:dyDescent="0.2">
      <c r="A6863">
        <v>14280</v>
      </c>
      <c r="B6863">
        <v>12330</v>
      </c>
      <c r="C6863">
        <v>43</v>
      </c>
      <c r="D6863">
        <v>212.3</v>
      </c>
      <c r="E6863">
        <v>6.5</v>
      </c>
    </row>
    <row r="6864" spans="1:5" x14ac:dyDescent="0.2">
      <c r="A6864">
        <v>14285</v>
      </c>
      <c r="B6864">
        <v>12332</v>
      </c>
      <c r="C6864">
        <v>47</v>
      </c>
      <c r="D6864">
        <v>212.7</v>
      </c>
      <c r="E6864">
        <v>7.1</v>
      </c>
    </row>
    <row r="6865" spans="1:5" x14ac:dyDescent="0.2">
      <c r="A6865">
        <v>14290</v>
      </c>
      <c r="B6865">
        <v>12335</v>
      </c>
      <c r="C6865">
        <v>50</v>
      </c>
      <c r="D6865">
        <v>213</v>
      </c>
      <c r="E6865">
        <v>7.5</v>
      </c>
    </row>
    <row r="6866" spans="1:5" x14ac:dyDescent="0.2">
      <c r="A6866">
        <v>14295</v>
      </c>
      <c r="B6866">
        <v>12338</v>
      </c>
      <c r="C6866">
        <v>52</v>
      </c>
      <c r="D6866">
        <v>213.2</v>
      </c>
      <c r="E6866">
        <v>7.8</v>
      </c>
    </row>
    <row r="6867" spans="1:5" x14ac:dyDescent="0.2">
      <c r="A6867">
        <v>14300</v>
      </c>
      <c r="B6867">
        <v>12343</v>
      </c>
      <c r="C6867">
        <v>52</v>
      </c>
      <c r="D6867">
        <v>213.3</v>
      </c>
      <c r="E6867">
        <v>7.9</v>
      </c>
    </row>
    <row r="6868" spans="1:5" x14ac:dyDescent="0.2">
      <c r="A6868">
        <v>14305</v>
      </c>
      <c r="B6868">
        <v>12347</v>
      </c>
      <c r="C6868">
        <v>51</v>
      </c>
      <c r="D6868">
        <v>213.2</v>
      </c>
      <c r="E6868">
        <v>7.8</v>
      </c>
    </row>
    <row r="6869" spans="1:5" x14ac:dyDescent="0.2">
      <c r="A6869">
        <v>14310</v>
      </c>
      <c r="B6869">
        <v>12353</v>
      </c>
      <c r="C6869">
        <v>49</v>
      </c>
      <c r="D6869">
        <v>213.1</v>
      </c>
      <c r="E6869">
        <v>7.5</v>
      </c>
    </row>
    <row r="6870" spans="1:5" x14ac:dyDescent="0.2">
      <c r="A6870">
        <v>14315</v>
      </c>
      <c r="B6870">
        <v>12359</v>
      </c>
      <c r="C6870">
        <v>47</v>
      </c>
      <c r="D6870">
        <v>213</v>
      </c>
      <c r="E6870">
        <v>7.1</v>
      </c>
    </row>
    <row r="6871" spans="1:5" x14ac:dyDescent="0.2">
      <c r="A6871">
        <v>14320</v>
      </c>
      <c r="B6871">
        <v>12365</v>
      </c>
      <c r="C6871">
        <v>43</v>
      </c>
      <c r="D6871">
        <v>212.8</v>
      </c>
      <c r="E6871">
        <v>6.5</v>
      </c>
    </row>
    <row r="6872" spans="1:5" x14ac:dyDescent="0.2">
      <c r="A6872">
        <v>14325</v>
      </c>
      <c r="B6872">
        <v>12371</v>
      </c>
      <c r="C6872">
        <v>40</v>
      </c>
      <c r="D6872">
        <v>212.6</v>
      </c>
      <c r="E6872">
        <v>6</v>
      </c>
    </row>
    <row r="6873" spans="1:5" x14ac:dyDescent="0.2">
      <c r="A6873">
        <v>14330</v>
      </c>
      <c r="B6873">
        <v>12377</v>
      </c>
      <c r="C6873">
        <v>36</v>
      </c>
      <c r="D6873">
        <v>212.5</v>
      </c>
      <c r="E6873">
        <v>5.4</v>
      </c>
    </row>
    <row r="6874" spans="1:5" x14ac:dyDescent="0.2">
      <c r="A6874">
        <v>14335</v>
      </c>
      <c r="B6874">
        <v>12382</v>
      </c>
      <c r="C6874">
        <v>33</v>
      </c>
      <c r="D6874">
        <v>212.5</v>
      </c>
      <c r="E6874">
        <v>4.9000000000000004</v>
      </c>
    </row>
    <row r="6875" spans="1:5" x14ac:dyDescent="0.2">
      <c r="A6875">
        <v>14340</v>
      </c>
      <c r="B6875">
        <v>12386</v>
      </c>
      <c r="C6875">
        <v>30</v>
      </c>
      <c r="D6875">
        <v>212.5</v>
      </c>
      <c r="E6875">
        <v>4.5</v>
      </c>
    </row>
    <row r="6876" spans="1:5" x14ac:dyDescent="0.2">
      <c r="A6876">
        <v>14345</v>
      </c>
      <c r="B6876">
        <v>12390</v>
      </c>
      <c r="C6876">
        <v>27</v>
      </c>
      <c r="D6876">
        <v>212.7</v>
      </c>
      <c r="E6876">
        <v>4.0999999999999996</v>
      </c>
    </row>
    <row r="6877" spans="1:5" x14ac:dyDescent="0.2">
      <c r="A6877">
        <v>14350</v>
      </c>
      <c r="B6877">
        <v>12393</v>
      </c>
      <c r="C6877">
        <v>25</v>
      </c>
      <c r="D6877">
        <v>213</v>
      </c>
      <c r="E6877">
        <v>3.8</v>
      </c>
    </row>
    <row r="6878" spans="1:5" x14ac:dyDescent="0.2">
      <c r="A6878">
        <v>14355</v>
      </c>
      <c r="B6878">
        <v>12395</v>
      </c>
      <c r="C6878">
        <v>24</v>
      </c>
      <c r="D6878">
        <v>213.4</v>
      </c>
      <c r="E6878">
        <v>3.7</v>
      </c>
    </row>
    <row r="6879" spans="1:5" x14ac:dyDescent="0.2">
      <c r="A6879">
        <v>14360</v>
      </c>
      <c r="B6879">
        <v>12397</v>
      </c>
      <c r="C6879">
        <v>23</v>
      </c>
      <c r="D6879">
        <v>213.9</v>
      </c>
      <c r="E6879">
        <v>3.5</v>
      </c>
    </row>
    <row r="6880" spans="1:5" x14ac:dyDescent="0.2">
      <c r="A6880">
        <v>14365</v>
      </c>
      <c r="B6880">
        <v>12397</v>
      </c>
      <c r="C6880">
        <v>23</v>
      </c>
      <c r="D6880">
        <v>214.5</v>
      </c>
      <c r="E6880">
        <v>3.5</v>
      </c>
    </row>
    <row r="6881" spans="1:5" x14ac:dyDescent="0.2">
      <c r="A6881">
        <v>14370</v>
      </c>
      <c r="B6881">
        <v>12398</v>
      </c>
      <c r="C6881">
        <v>23</v>
      </c>
      <c r="D6881">
        <v>215.2</v>
      </c>
      <c r="E6881">
        <v>3.4</v>
      </c>
    </row>
    <row r="6882" spans="1:5" x14ac:dyDescent="0.2">
      <c r="A6882">
        <v>14375</v>
      </c>
      <c r="B6882">
        <v>12398</v>
      </c>
      <c r="C6882">
        <v>23</v>
      </c>
      <c r="D6882">
        <v>215.9</v>
      </c>
      <c r="E6882">
        <v>3.4</v>
      </c>
    </row>
    <row r="6883" spans="1:5" x14ac:dyDescent="0.2">
      <c r="A6883">
        <v>14380</v>
      </c>
      <c r="B6883">
        <v>12397</v>
      </c>
      <c r="C6883">
        <v>23</v>
      </c>
      <c r="D6883">
        <v>216.7</v>
      </c>
      <c r="E6883">
        <v>3.4</v>
      </c>
    </row>
    <row r="6884" spans="1:5" x14ac:dyDescent="0.2">
      <c r="A6884">
        <v>14385</v>
      </c>
      <c r="B6884">
        <v>12397</v>
      </c>
      <c r="C6884">
        <v>23</v>
      </c>
      <c r="D6884">
        <v>217.5</v>
      </c>
      <c r="E6884">
        <v>3.5</v>
      </c>
    </row>
    <row r="6885" spans="1:5" x14ac:dyDescent="0.2">
      <c r="A6885">
        <v>14390</v>
      </c>
      <c r="B6885">
        <v>12396</v>
      </c>
      <c r="C6885">
        <v>23</v>
      </c>
      <c r="D6885">
        <v>218.3</v>
      </c>
      <c r="E6885">
        <v>3.5</v>
      </c>
    </row>
    <row r="6886" spans="1:5" x14ac:dyDescent="0.2">
      <c r="A6886">
        <v>14395</v>
      </c>
      <c r="B6886">
        <v>12396</v>
      </c>
      <c r="C6886">
        <v>23</v>
      </c>
      <c r="D6886">
        <v>219.1</v>
      </c>
      <c r="E6886">
        <v>3.5</v>
      </c>
    </row>
    <row r="6887" spans="1:5" x14ac:dyDescent="0.2">
      <c r="A6887">
        <v>14400</v>
      </c>
      <c r="B6887">
        <v>12396</v>
      </c>
      <c r="C6887">
        <v>23</v>
      </c>
      <c r="D6887">
        <v>219.9</v>
      </c>
      <c r="E6887">
        <v>3.6</v>
      </c>
    </row>
    <row r="6888" spans="1:5" x14ac:dyDescent="0.2">
      <c r="A6888">
        <v>14405</v>
      </c>
      <c r="B6888">
        <v>12396</v>
      </c>
      <c r="C6888">
        <v>24</v>
      </c>
      <c r="D6888">
        <v>220.6</v>
      </c>
      <c r="E6888">
        <v>3.6</v>
      </c>
    </row>
    <row r="6889" spans="1:5" x14ac:dyDescent="0.2">
      <c r="A6889">
        <v>14410</v>
      </c>
      <c r="B6889">
        <v>12396</v>
      </c>
      <c r="C6889">
        <v>24</v>
      </c>
      <c r="D6889">
        <v>221.4</v>
      </c>
      <c r="E6889">
        <v>3.6</v>
      </c>
    </row>
    <row r="6890" spans="1:5" x14ac:dyDescent="0.2">
      <c r="A6890">
        <v>14415</v>
      </c>
      <c r="B6890">
        <v>12396</v>
      </c>
      <c r="C6890">
        <v>24</v>
      </c>
      <c r="D6890">
        <v>222</v>
      </c>
      <c r="E6890">
        <v>3.7</v>
      </c>
    </row>
    <row r="6891" spans="1:5" x14ac:dyDescent="0.2">
      <c r="A6891">
        <v>14420</v>
      </c>
      <c r="B6891">
        <v>12397</v>
      </c>
      <c r="C6891">
        <v>25</v>
      </c>
      <c r="D6891">
        <v>222.7</v>
      </c>
      <c r="E6891">
        <v>3.7</v>
      </c>
    </row>
    <row r="6892" spans="1:5" x14ac:dyDescent="0.2">
      <c r="A6892">
        <v>14425</v>
      </c>
      <c r="B6892">
        <v>12398</v>
      </c>
      <c r="C6892">
        <v>25</v>
      </c>
      <c r="D6892">
        <v>223.3</v>
      </c>
      <c r="E6892">
        <v>3.8</v>
      </c>
    </row>
    <row r="6893" spans="1:5" x14ac:dyDescent="0.2">
      <c r="A6893">
        <v>14430</v>
      </c>
      <c r="B6893">
        <v>12398</v>
      </c>
      <c r="C6893">
        <v>25</v>
      </c>
      <c r="D6893">
        <v>223.9</v>
      </c>
      <c r="E6893">
        <v>3.8</v>
      </c>
    </row>
    <row r="6894" spans="1:5" x14ac:dyDescent="0.2">
      <c r="A6894">
        <v>14435</v>
      </c>
      <c r="B6894">
        <v>12400</v>
      </c>
      <c r="C6894">
        <v>26</v>
      </c>
      <c r="D6894">
        <v>224.5</v>
      </c>
      <c r="E6894">
        <v>3.9</v>
      </c>
    </row>
    <row r="6895" spans="1:5" x14ac:dyDescent="0.2">
      <c r="A6895">
        <v>14440</v>
      </c>
      <c r="B6895">
        <v>12401</v>
      </c>
      <c r="C6895">
        <v>26</v>
      </c>
      <c r="D6895">
        <v>225.1</v>
      </c>
      <c r="E6895">
        <v>4</v>
      </c>
    </row>
    <row r="6896" spans="1:5" x14ac:dyDescent="0.2">
      <c r="A6896">
        <v>14445</v>
      </c>
      <c r="B6896">
        <v>12402</v>
      </c>
      <c r="C6896">
        <v>26</v>
      </c>
      <c r="D6896">
        <v>225.6</v>
      </c>
      <c r="E6896">
        <v>4</v>
      </c>
    </row>
    <row r="6897" spans="1:5" x14ac:dyDescent="0.2">
      <c r="A6897">
        <v>14450</v>
      </c>
      <c r="B6897">
        <v>12403</v>
      </c>
      <c r="C6897">
        <v>27</v>
      </c>
      <c r="D6897">
        <v>226.1</v>
      </c>
      <c r="E6897">
        <v>4.0999999999999996</v>
      </c>
    </row>
    <row r="6898" spans="1:5" x14ac:dyDescent="0.2">
      <c r="A6898">
        <v>14455</v>
      </c>
      <c r="B6898">
        <v>12405</v>
      </c>
      <c r="C6898">
        <v>27</v>
      </c>
      <c r="D6898">
        <v>226.6</v>
      </c>
      <c r="E6898">
        <v>4.0999999999999996</v>
      </c>
    </row>
    <row r="6899" spans="1:5" x14ac:dyDescent="0.2">
      <c r="A6899">
        <v>14460</v>
      </c>
      <c r="B6899">
        <v>12407</v>
      </c>
      <c r="C6899">
        <v>27</v>
      </c>
      <c r="D6899">
        <v>227.1</v>
      </c>
      <c r="E6899">
        <v>4.0999999999999996</v>
      </c>
    </row>
    <row r="6900" spans="1:5" x14ac:dyDescent="0.2">
      <c r="A6900">
        <v>14465</v>
      </c>
      <c r="B6900">
        <v>12408</v>
      </c>
      <c r="C6900">
        <v>27</v>
      </c>
      <c r="D6900">
        <v>227.6</v>
      </c>
      <c r="E6900">
        <v>4.0999999999999996</v>
      </c>
    </row>
    <row r="6901" spans="1:5" x14ac:dyDescent="0.2">
      <c r="A6901">
        <v>14470</v>
      </c>
      <c r="B6901">
        <v>12410</v>
      </c>
      <c r="C6901">
        <v>27</v>
      </c>
      <c r="D6901">
        <v>228.1</v>
      </c>
      <c r="E6901">
        <v>4.2</v>
      </c>
    </row>
    <row r="6902" spans="1:5" x14ac:dyDescent="0.2">
      <c r="A6902">
        <v>14475</v>
      </c>
      <c r="B6902">
        <v>12412</v>
      </c>
      <c r="C6902">
        <v>27</v>
      </c>
      <c r="D6902">
        <v>228.6</v>
      </c>
      <c r="E6902">
        <v>4.2</v>
      </c>
    </row>
    <row r="6903" spans="1:5" x14ac:dyDescent="0.2">
      <c r="A6903">
        <v>14480</v>
      </c>
      <c r="B6903">
        <v>12414</v>
      </c>
      <c r="C6903">
        <v>27</v>
      </c>
      <c r="D6903">
        <v>229</v>
      </c>
      <c r="E6903">
        <v>4.2</v>
      </c>
    </row>
    <row r="6904" spans="1:5" x14ac:dyDescent="0.2">
      <c r="A6904">
        <v>14485</v>
      </c>
      <c r="B6904">
        <v>12415</v>
      </c>
      <c r="C6904">
        <v>27</v>
      </c>
      <c r="D6904">
        <v>229.5</v>
      </c>
      <c r="E6904">
        <v>4.2</v>
      </c>
    </row>
    <row r="6905" spans="1:5" x14ac:dyDescent="0.2">
      <c r="A6905">
        <v>14490</v>
      </c>
      <c r="B6905">
        <v>12417</v>
      </c>
      <c r="C6905">
        <v>27</v>
      </c>
      <c r="D6905">
        <v>229.9</v>
      </c>
      <c r="E6905">
        <v>4.2</v>
      </c>
    </row>
    <row r="6906" spans="1:5" x14ac:dyDescent="0.2">
      <c r="A6906">
        <v>14495</v>
      </c>
      <c r="B6906">
        <v>12419</v>
      </c>
      <c r="C6906">
        <v>28</v>
      </c>
      <c r="D6906">
        <v>230.4</v>
      </c>
      <c r="E6906">
        <v>4.2</v>
      </c>
    </row>
    <row r="6907" spans="1:5" x14ac:dyDescent="0.2">
      <c r="A6907">
        <v>14500</v>
      </c>
      <c r="B6907">
        <v>12421</v>
      </c>
      <c r="C6907">
        <v>28</v>
      </c>
      <c r="D6907">
        <v>230.8</v>
      </c>
      <c r="E6907">
        <v>4.2</v>
      </c>
    </row>
    <row r="6908" spans="1:5" x14ac:dyDescent="0.2">
      <c r="A6908">
        <v>14505</v>
      </c>
      <c r="B6908">
        <v>12423</v>
      </c>
      <c r="C6908">
        <v>28</v>
      </c>
      <c r="D6908">
        <v>231.2</v>
      </c>
      <c r="E6908">
        <v>4.3</v>
      </c>
    </row>
    <row r="6909" spans="1:5" x14ac:dyDescent="0.2">
      <c r="A6909">
        <v>14510</v>
      </c>
      <c r="B6909">
        <v>12426</v>
      </c>
      <c r="C6909">
        <v>28</v>
      </c>
      <c r="D6909">
        <v>231.6</v>
      </c>
      <c r="E6909">
        <v>4.3</v>
      </c>
    </row>
    <row r="6910" spans="1:5" x14ac:dyDescent="0.2">
      <c r="A6910">
        <v>14515</v>
      </c>
      <c r="B6910">
        <v>12428</v>
      </c>
      <c r="C6910">
        <v>28</v>
      </c>
      <c r="D6910">
        <v>232.1</v>
      </c>
      <c r="E6910">
        <v>4.3</v>
      </c>
    </row>
    <row r="6911" spans="1:5" x14ac:dyDescent="0.2">
      <c r="A6911">
        <v>14520</v>
      </c>
      <c r="B6911">
        <v>12430</v>
      </c>
      <c r="C6911">
        <v>29</v>
      </c>
      <c r="D6911">
        <v>232.5</v>
      </c>
      <c r="E6911">
        <v>4.4000000000000004</v>
      </c>
    </row>
    <row r="6912" spans="1:5" x14ac:dyDescent="0.2">
      <c r="A6912">
        <v>14525</v>
      </c>
      <c r="B6912">
        <v>12432</v>
      </c>
      <c r="C6912">
        <v>29</v>
      </c>
      <c r="D6912">
        <v>232.9</v>
      </c>
      <c r="E6912">
        <v>4.4000000000000004</v>
      </c>
    </row>
    <row r="6913" spans="1:5" x14ac:dyDescent="0.2">
      <c r="A6913">
        <v>14530</v>
      </c>
      <c r="B6913">
        <v>12435</v>
      </c>
      <c r="C6913">
        <v>29</v>
      </c>
      <c r="D6913">
        <v>233.2</v>
      </c>
      <c r="E6913">
        <v>4.5</v>
      </c>
    </row>
    <row r="6914" spans="1:5" x14ac:dyDescent="0.2">
      <c r="A6914">
        <v>14535</v>
      </c>
      <c r="B6914">
        <v>12437</v>
      </c>
      <c r="C6914">
        <v>29</v>
      </c>
      <c r="D6914">
        <v>233.6</v>
      </c>
      <c r="E6914">
        <v>4.5</v>
      </c>
    </row>
    <row r="6915" spans="1:5" x14ac:dyDescent="0.2">
      <c r="A6915">
        <v>14540</v>
      </c>
      <c r="B6915">
        <v>12440</v>
      </c>
      <c r="C6915">
        <v>30</v>
      </c>
      <c r="D6915">
        <v>234</v>
      </c>
      <c r="E6915">
        <v>4.5</v>
      </c>
    </row>
    <row r="6916" spans="1:5" x14ac:dyDescent="0.2">
      <c r="A6916">
        <v>14545</v>
      </c>
      <c r="B6916">
        <v>12442</v>
      </c>
      <c r="C6916">
        <v>30</v>
      </c>
      <c r="D6916">
        <v>234.3</v>
      </c>
      <c r="E6916">
        <v>4.5999999999999996</v>
      </c>
    </row>
    <row r="6917" spans="1:5" x14ac:dyDescent="0.2">
      <c r="A6917">
        <v>14550</v>
      </c>
      <c r="B6917">
        <v>12445</v>
      </c>
      <c r="C6917">
        <v>30</v>
      </c>
      <c r="D6917">
        <v>234.7</v>
      </c>
      <c r="E6917">
        <v>4.5999999999999996</v>
      </c>
    </row>
    <row r="6918" spans="1:5" x14ac:dyDescent="0.2">
      <c r="A6918">
        <v>14555</v>
      </c>
      <c r="B6918">
        <v>12447</v>
      </c>
      <c r="C6918">
        <v>30</v>
      </c>
      <c r="D6918">
        <v>235.1</v>
      </c>
      <c r="E6918">
        <v>4.5999999999999996</v>
      </c>
    </row>
    <row r="6919" spans="1:5" x14ac:dyDescent="0.2">
      <c r="A6919">
        <v>14560</v>
      </c>
      <c r="B6919">
        <v>12449</v>
      </c>
      <c r="C6919">
        <v>30</v>
      </c>
      <c r="D6919">
        <v>235.5</v>
      </c>
      <c r="E6919">
        <v>4.5999999999999996</v>
      </c>
    </row>
    <row r="6920" spans="1:5" x14ac:dyDescent="0.2">
      <c r="A6920">
        <v>14565</v>
      </c>
      <c r="B6920">
        <v>12452</v>
      </c>
      <c r="C6920">
        <v>30</v>
      </c>
      <c r="D6920">
        <v>235.8</v>
      </c>
      <c r="E6920">
        <v>4.5999999999999996</v>
      </c>
    </row>
    <row r="6921" spans="1:5" x14ac:dyDescent="0.2">
      <c r="A6921">
        <v>14570</v>
      </c>
      <c r="B6921">
        <v>12454</v>
      </c>
      <c r="C6921">
        <v>30</v>
      </c>
      <c r="D6921">
        <v>236.2</v>
      </c>
      <c r="E6921">
        <v>4.5999999999999996</v>
      </c>
    </row>
    <row r="6922" spans="1:5" x14ac:dyDescent="0.2">
      <c r="A6922">
        <v>14575</v>
      </c>
      <c r="B6922">
        <v>12456</v>
      </c>
      <c r="C6922">
        <v>30</v>
      </c>
      <c r="D6922">
        <v>236.6</v>
      </c>
      <c r="E6922">
        <v>4.5999999999999996</v>
      </c>
    </row>
    <row r="6923" spans="1:5" x14ac:dyDescent="0.2">
      <c r="A6923">
        <v>14580</v>
      </c>
      <c r="B6923">
        <v>12458</v>
      </c>
      <c r="C6923">
        <v>29</v>
      </c>
      <c r="D6923">
        <v>237.1</v>
      </c>
      <c r="E6923">
        <v>4.5</v>
      </c>
    </row>
    <row r="6924" spans="1:5" x14ac:dyDescent="0.2">
      <c r="A6924">
        <v>14585</v>
      </c>
      <c r="B6924">
        <v>12461</v>
      </c>
      <c r="C6924">
        <v>30</v>
      </c>
      <c r="D6924">
        <v>237.5</v>
      </c>
      <c r="E6924">
        <v>4.5</v>
      </c>
    </row>
    <row r="6925" spans="1:5" x14ac:dyDescent="0.2">
      <c r="A6925">
        <v>14590</v>
      </c>
      <c r="B6925">
        <v>12463</v>
      </c>
      <c r="C6925">
        <v>29</v>
      </c>
      <c r="D6925">
        <v>237.9</v>
      </c>
      <c r="E6925">
        <v>4.5</v>
      </c>
    </row>
    <row r="6926" spans="1:5" x14ac:dyDescent="0.2">
      <c r="A6926">
        <v>14595</v>
      </c>
      <c r="B6926">
        <v>12464</v>
      </c>
      <c r="C6926">
        <v>29</v>
      </c>
      <c r="D6926">
        <v>238.4</v>
      </c>
      <c r="E6926">
        <v>4.5</v>
      </c>
    </row>
    <row r="6927" spans="1:5" x14ac:dyDescent="0.2">
      <c r="A6927">
        <v>14600</v>
      </c>
      <c r="B6927">
        <v>12466</v>
      </c>
      <c r="C6927">
        <v>29</v>
      </c>
      <c r="D6927">
        <v>238.9</v>
      </c>
      <c r="E6927">
        <v>4.5</v>
      </c>
    </row>
    <row r="6928" spans="1:5" x14ac:dyDescent="0.2">
      <c r="A6928">
        <v>14605</v>
      </c>
      <c r="B6928">
        <v>12468</v>
      </c>
      <c r="C6928">
        <v>29</v>
      </c>
      <c r="D6928">
        <v>239.3</v>
      </c>
      <c r="E6928">
        <v>4.5</v>
      </c>
    </row>
    <row r="6929" spans="1:5" x14ac:dyDescent="0.2">
      <c r="A6929">
        <v>14610</v>
      </c>
      <c r="B6929">
        <v>12470</v>
      </c>
      <c r="C6929">
        <v>29</v>
      </c>
      <c r="D6929">
        <v>239.8</v>
      </c>
      <c r="E6929">
        <v>4.5</v>
      </c>
    </row>
    <row r="6930" spans="1:5" x14ac:dyDescent="0.2">
      <c r="A6930">
        <v>14615</v>
      </c>
      <c r="B6930">
        <v>12471</v>
      </c>
      <c r="C6930">
        <v>29</v>
      </c>
      <c r="D6930">
        <v>240.3</v>
      </c>
      <c r="E6930">
        <v>4.4000000000000004</v>
      </c>
    </row>
    <row r="6931" spans="1:5" x14ac:dyDescent="0.2">
      <c r="A6931">
        <v>14620</v>
      </c>
      <c r="B6931">
        <v>12473</v>
      </c>
      <c r="C6931">
        <v>28</v>
      </c>
      <c r="D6931">
        <v>240.8</v>
      </c>
      <c r="E6931">
        <v>4.4000000000000004</v>
      </c>
    </row>
    <row r="6932" spans="1:5" x14ac:dyDescent="0.2">
      <c r="A6932">
        <v>14625</v>
      </c>
      <c r="B6932">
        <v>12474</v>
      </c>
      <c r="C6932">
        <v>28</v>
      </c>
      <c r="D6932">
        <v>241.3</v>
      </c>
      <c r="E6932">
        <v>4.3</v>
      </c>
    </row>
    <row r="6933" spans="1:5" x14ac:dyDescent="0.2">
      <c r="A6933">
        <v>14630</v>
      </c>
      <c r="B6933">
        <v>12476</v>
      </c>
      <c r="C6933">
        <v>28</v>
      </c>
      <c r="D6933">
        <v>241.8</v>
      </c>
      <c r="E6933">
        <v>4.3</v>
      </c>
    </row>
    <row r="6934" spans="1:5" x14ac:dyDescent="0.2">
      <c r="A6934">
        <v>14635</v>
      </c>
      <c r="B6934">
        <v>12477</v>
      </c>
      <c r="C6934">
        <v>27</v>
      </c>
      <c r="D6934">
        <v>242.4</v>
      </c>
      <c r="E6934">
        <v>4.2</v>
      </c>
    </row>
    <row r="6935" spans="1:5" x14ac:dyDescent="0.2">
      <c r="A6935">
        <v>14640</v>
      </c>
      <c r="B6935">
        <v>12478</v>
      </c>
      <c r="C6935">
        <v>27</v>
      </c>
      <c r="D6935">
        <v>243</v>
      </c>
      <c r="E6935">
        <v>4.2</v>
      </c>
    </row>
    <row r="6936" spans="1:5" x14ac:dyDescent="0.2">
      <c r="A6936">
        <v>14645</v>
      </c>
      <c r="B6936">
        <v>12479</v>
      </c>
      <c r="C6936">
        <v>27</v>
      </c>
      <c r="D6936">
        <v>243.6</v>
      </c>
      <c r="E6936">
        <v>4.2</v>
      </c>
    </row>
    <row r="6937" spans="1:5" x14ac:dyDescent="0.2">
      <c r="A6937">
        <v>14650</v>
      </c>
      <c r="B6937">
        <v>12480</v>
      </c>
      <c r="C6937">
        <v>27</v>
      </c>
      <c r="D6937">
        <v>244.2</v>
      </c>
      <c r="E6937">
        <v>4.2</v>
      </c>
    </row>
    <row r="6938" spans="1:5" x14ac:dyDescent="0.2">
      <c r="A6938">
        <v>14655</v>
      </c>
      <c r="B6938">
        <v>12480</v>
      </c>
      <c r="C6938">
        <v>28</v>
      </c>
      <c r="D6938">
        <v>245</v>
      </c>
      <c r="E6938">
        <v>4.3</v>
      </c>
    </row>
    <row r="6939" spans="1:5" x14ac:dyDescent="0.2">
      <c r="A6939">
        <v>14660</v>
      </c>
      <c r="B6939">
        <v>12480</v>
      </c>
      <c r="C6939">
        <v>29</v>
      </c>
      <c r="D6939">
        <v>245.8</v>
      </c>
      <c r="E6939">
        <v>4.5</v>
      </c>
    </row>
    <row r="6940" spans="1:5" x14ac:dyDescent="0.2">
      <c r="A6940">
        <v>14665</v>
      </c>
      <c r="B6940">
        <v>12479</v>
      </c>
      <c r="C6940">
        <v>30</v>
      </c>
      <c r="D6940">
        <v>246.7</v>
      </c>
      <c r="E6940">
        <v>4.7</v>
      </c>
    </row>
    <row r="6941" spans="1:5" x14ac:dyDescent="0.2">
      <c r="A6941">
        <v>14670</v>
      </c>
      <c r="B6941">
        <v>12477</v>
      </c>
      <c r="C6941">
        <v>32</v>
      </c>
      <c r="D6941">
        <v>247.8</v>
      </c>
      <c r="E6941">
        <v>5</v>
      </c>
    </row>
    <row r="6942" spans="1:5" x14ac:dyDescent="0.2">
      <c r="A6942">
        <v>14675</v>
      </c>
      <c r="B6942">
        <v>12474</v>
      </c>
      <c r="C6942">
        <v>34</v>
      </c>
      <c r="D6942">
        <v>249</v>
      </c>
      <c r="E6942">
        <v>5.4</v>
      </c>
    </row>
    <row r="6943" spans="1:5" x14ac:dyDescent="0.2">
      <c r="A6943">
        <v>14680</v>
      </c>
      <c r="B6943">
        <v>12470</v>
      </c>
      <c r="C6943">
        <v>37</v>
      </c>
      <c r="D6943">
        <v>250.3</v>
      </c>
      <c r="E6943">
        <v>5.8</v>
      </c>
    </row>
    <row r="6944" spans="1:5" x14ac:dyDescent="0.2">
      <c r="A6944">
        <v>14685</v>
      </c>
      <c r="B6944">
        <v>12465</v>
      </c>
      <c r="C6944">
        <v>40</v>
      </c>
      <c r="D6944">
        <v>251.8</v>
      </c>
      <c r="E6944">
        <v>6.3</v>
      </c>
    </row>
    <row r="6945" spans="1:5" x14ac:dyDescent="0.2">
      <c r="A6945">
        <v>14690</v>
      </c>
      <c r="B6945">
        <v>12459</v>
      </c>
      <c r="C6945">
        <v>43</v>
      </c>
      <c r="D6945">
        <v>253.5</v>
      </c>
      <c r="E6945">
        <v>6.7</v>
      </c>
    </row>
    <row r="6946" spans="1:5" x14ac:dyDescent="0.2">
      <c r="A6946">
        <v>14695</v>
      </c>
      <c r="B6946">
        <v>12452</v>
      </c>
      <c r="C6946">
        <v>46</v>
      </c>
      <c r="D6946">
        <v>255.4</v>
      </c>
      <c r="E6946">
        <v>7.1</v>
      </c>
    </row>
    <row r="6947" spans="1:5" x14ac:dyDescent="0.2">
      <c r="A6947">
        <v>14700</v>
      </c>
      <c r="B6947">
        <v>12445</v>
      </c>
      <c r="C6947">
        <v>48</v>
      </c>
      <c r="D6947">
        <v>257.3</v>
      </c>
      <c r="E6947">
        <v>7.5</v>
      </c>
    </row>
    <row r="6948" spans="1:5" x14ac:dyDescent="0.2">
      <c r="A6948">
        <v>14705</v>
      </c>
      <c r="B6948">
        <v>12436</v>
      </c>
      <c r="C6948">
        <v>50</v>
      </c>
      <c r="D6948">
        <v>259.39999999999998</v>
      </c>
      <c r="E6948">
        <v>7.8</v>
      </c>
    </row>
    <row r="6949" spans="1:5" x14ac:dyDescent="0.2">
      <c r="A6949">
        <v>14710</v>
      </c>
      <c r="B6949">
        <v>12427</v>
      </c>
      <c r="C6949">
        <v>51</v>
      </c>
      <c r="D6949">
        <v>261.60000000000002</v>
      </c>
      <c r="E6949">
        <v>8</v>
      </c>
    </row>
    <row r="6950" spans="1:5" x14ac:dyDescent="0.2">
      <c r="A6950">
        <v>14715</v>
      </c>
      <c r="B6950">
        <v>12417</v>
      </c>
      <c r="C6950">
        <v>51</v>
      </c>
      <c r="D6950">
        <v>263.89999999999998</v>
      </c>
      <c r="E6950">
        <v>8.1</v>
      </c>
    </row>
    <row r="6951" spans="1:5" x14ac:dyDescent="0.2">
      <c r="A6951">
        <v>14720</v>
      </c>
      <c r="B6951">
        <v>12408</v>
      </c>
      <c r="C6951">
        <v>51</v>
      </c>
      <c r="D6951">
        <v>266.2</v>
      </c>
      <c r="E6951">
        <v>8</v>
      </c>
    </row>
    <row r="6952" spans="1:5" x14ac:dyDescent="0.2">
      <c r="A6952">
        <v>14725</v>
      </c>
      <c r="B6952">
        <v>12398</v>
      </c>
      <c r="C6952">
        <v>50</v>
      </c>
      <c r="D6952">
        <v>268.39999999999998</v>
      </c>
      <c r="E6952">
        <v>7.8</v>
      </c>
    </row>
    <row r="6953" spans="1:5" x14ac:dyDescent="0.2">
      <c r="A6953">
        <v>14730</v>
      </c>
      <c r="B6953">
        <v>12389</v>
      </c>
      <c r="C6953">
        <v>48</v>
      </c>
      <c r="D6953">
        <v>270.60000000000002</v>
      </c>
      <c r="E6953">
        <v>7.5</v>
      </c>
    </row>
    <row r="6954" spans="1:5" x14ac:dyDescent="0.2">
      <c r="A6954">
        <v>14735</v>
      </c>
      <c r="B6954">
        <v>12381</v>
      </c>
      <c r="C6954">
        <v>45</v>
      </c>
      <c r="D6954">
        <v>272.60000000000002</v>
      </c>
      <c r="E6954">
        <v>7.1</v>
      </c>
    </row>
    <row r="6955" spans="1:5" x14ac:dyDescent="0.2">
      <c r="A6955">
        <v>14740</v>
      </c>
      <c r="B6955">
        <v>12375</v>
      </c>
      <c r="C6955">
        <v>42</v>
      </c>
      <c r="D6955">
        <v>274.5</v>
      </c>
      <c r="E6955">
        <v>6.7</v>
      </c>
    </row>
    <row r="6956" spans="1:5" x14ac:dyDescent="0.2">
      <c r="A6956">
        <v>14745</v>
      </c>
      <c r="B6956">
        <v>12369</v>
      </c>
      <c r="C6956">
        <v>40</v>
      </c>
      <c r="D6956">
        <v>276.10000000000002</v>
      </c>
      <c r="E6956">
        <v>6.3</v>
      </c>
    </row>
    <row r="6957" spans="1:5" x14ac:dyDescent="0.2">
      <c r="A6957">
        <v>14750</v>
      </c>
      <c r="B6957">
        <v>12366</v>
      </c>
      <c r="C6957">
        <v>38</v>
      </c>
      <c r="D6957">
        <v>277.39999999999998</v>
      </c>
      <c r="E6957">
        <v>6</v>
      </c>
    </row>
    <row r="6958" spans="1:5" x14ac:dyDescent="0.2">
      <c r="A6958">
        <v>14755</v>
      </c>
      <c r="B6958">
        <v>12364</v>
      </c>
      <c r="C6958">
        <v>36</v>
      </c>
      <c r="D6958">
        <v>278.39999999999998</v>
      </c>
      <c r="E6958">
        <v>5.7</v>
      </c>
    </row>
    <row r="6959" spans="1:5" x14ac:dyDescent="0.2">
      <c r="A6959">
        <v>14760</v>
      </c>
      <c r="B6959">
        <v>12364</v>
      </c>
      <c r="C6959">
        <v>36</v>
      </c>
      <c r="D6959">
        <v>279.2</v>
      </c>
      <c r="E6959">
        <v>5.7</v>
      </c>
    </row>
    <row r="6960" spans="1:5" x14ac:dyDescent="0.2">
      <c r="A6960">
        <v>14765</v>
      </c>
      <c r="B6960">
        <v>12366</v>
      </c>
      <c r="C6960">
        <v>37</v>
      </c>
      <c r="D6960">
        <v>279.60000000000002</v>
      </c>
      <c r="E6960">
        <v>5.9</v>
      </c>
    </row>
    <row r="6961" spans="1:5" x14ac:dyDescent="0.2">
      <c r="A6961">
        <v>14770</v>
      </c>
      <c r="B6961">
        <v>12370</v>
      </c>
      <c r="C6961">
        <v>38</v>
      </c>
      <c r="D6961">
        <v>279.8</v>
      </c>
      <c r="E6961">
        <v>6.1</v>
      </c>
    </row>
    <row r="6962" spans="1:5" x14ac:dyDescent="0.2">
      <c r="A6962">
        <v>14775</v>
      </c>
      <c r="B6962">
        <v>12375</v>
      </c>
      <c r="C6962">
        <v>40</v>
      </c>
      <c r="D6962">
        <v>279.8</v>
      </c>
      <c r="E6962">
        <v>6.4</v>
      </c>
    </row>
    <row r="6963" spans="1:5" x14ac:dyDescent="0.2">
      <c r="A6963">
        <v>14780</v>
      </c>
      <c r="B6963">
        <v>12382</v>
      </c>
      <c r="C6963">
        <v>42</v>
      </c>
      <c r="D6963">
        <v>279.5</v>
      </c>
      <c r="E6963">
        <v>6.7</v>
      </c>
    </row>
    <row r="6964" spans="1:5" x14ac:dyDescent="0.2">
      <c r="A6964">
        <v>14785</v>
      </c>
      <c r="B6964">
        <v>12389</v>
      </c>
      <c r="C6964">
        <v>44</v>
      </c>
      <c r="D6964">
        <v>279.2</v>
      </c>
      <c r="E6964">
        <v>7</v>
      </c>
    </row>
    <row r="6965" spans="1:5" x14ac:dyDescent="0.2">
      <c r="A6965">
        <v>14790</v>
      </c>
      <c r="B6965">
        <v>12397</v>
      </c>
      <c r="C6965">
        <v>45</v>
      </c>
      <c r="D6965">
        <v>278.60000000000002</v>
      </c>
      <c r="E6965">
        <v>7.2</v>
      </c>
    </row>
    <row r="6966" spans="1:5" x14ac:dyDescent="0.2">
      <c r="A6966">
        <v>14795</v>
      </c>
      <c r="B6966">
        <v>12406</v>
      </c>
      <c r="C6966">
        <v>46</v>
      </c>
      <c r="D6966">
        <v>278</v>
      </c>
      <c r="E6966">
        <v>7.4</v>
      </c>
    </row>
    <row r="6967" spans="1:5" x14ac:dyDescent="0.2">
      <c r="A6967">
        <v>14800</v>
      </c>
      <c r="B6967">
        <v>12414</v>
      </c>
      <c r="C6967">
        <v>47</v>
      </c>
      <c r="D6967">
        <v>277.39999999999998</v>
      </c>
      <c r="E6967">
        <v>7.4</v>
      </c>
    </row>
    <row r="6968" spans="1:5" x14ac:dyDescent="0.2">
      <c r="A6968">
        <v>14805</v>
      </c>
      <c r="B6968">
        <v>12423</v>
      </c>
      <c r="C6968">
        <v>47</v>
      </c>
      <c r="D6968">
        <v>276.8</v>
      </c>
      <c r="E6968">
        <v>7.4</v>
      </c>
    </row>
    <row r="6969" spans="1:5" x14ac:dyDescent="0.2">
      <c r="A6969">
        <v>14810</v>
      </c>
      <c r="B6969">
        <v>12432</v>
      </c>
      <c r="C6969">
        <v>46</v>
      </c>
      <c r="D6969">
        <v>276.10000000000002</v>
      </c>
      <c r="E6969">
        <v>7.3</v>
      </c>
    </row>
    <row r="6970" spans="1:5" x14ac:dyDescent="0.2">
      <c r="A6970">
        <v>14815</v>
      </c>
      <c r="B6970">
        <v>12441</v>
      </c>
      <c r="C6970">
        <v>45</v>
      </c>
      <c r="D6970">
        <v>275.5</v>
      </c>
      <c r="E6970">
        <v>7.2</v>
      </c>
    </row>
    <row r="6971" spans="1:5" x14ac:dyDescent="0.2">
      <c r="A6971">
        <v>14820</v>
      </c>
      <c r="B6971">
        <v>12449</v>
      </c>
      <c r="C6971">
        <v>44</v>
      </c>
      <c r="D6971">
        <v>275</v>
      </c>
      <c r="E6971">
        <v>7</v>
      </c>
    </row>
    <row r="6972" spans="1:5" x14ac:dyDescent="0.2">
      <c r="A6972">
        <v>14825</v>
      </c>
      <c r="B6972">
        <v>12457</v>
      </c>
      <c r="C6972">
        <v>43</v>
      </c>
      <c r="D6972">
        <v>274.5</v>
      </c>
      <c r="E6972">
        <v>6.8</v>
      </c>
    </row>
    <row r="6973" spans="1:5" x14ac:dyDescent="0.2">
      <c r="A6973">
        <v>14830</v>
      </c>
      <c r="B6973">
        <v>12464</v>
      </c>
      <c r="C6973">
        <v>41</v>
      </c>
      <c r="D6973">
        <v>274.10000000000002</v>
      </c>
      <c r="E6973">
        <v>6.5</v>
      </c>
    </row>
    <row r="6974" spans="1:5" x14ac:dyDescent="0.2">
      <c r="A6974">
        <v>14835</v>
      </c>
      <c r="B6974">
        <v>12471</v>
      </c>
      <c r="C6974">
        <v>39</v>
      </c>
      <c r="D6974">
        <v>273.8</v>
      </c>
      <c r="E6974">
        <v>6.2</v>
      </c>
    </row>
    <row r="6975" spans="1:5" x14ac:dyDescent="0.2">
      <c r="A6975">
        <v>14840</v>
      </c>
      <c r="B6975">
        <v>12477</v>
      </c>
      <c r="C6975">
        <v>37</v>
      </c>
      <c r="D6975">
        <v>273.60000000000002</v>
      </c>
      <c r="E6975">
        <v>5.9</v>
      </c>
    </row>
    <row r="6976" spans="1:5" x14ac:dyDescent="0.2">
      <c r="A6976">
        <v>14845</v>
      </c>
      <c r="B6976">
        <v>12482</v>
      </c>
      <c r="C6976">
        <v>35</v>
      </c>
      <c r="D6976">
        <v>273.60000000000002</v>
      </c>
      <c r="E6976">
        <v>5.6</v>
      </c>
    </row>
    <row r="6977" spans="1:5" x14ac:dyDescent="0.2">
      <c r="A6977">
        <v>14850</v>
      </c>
      <c r="B6977">
        <v>12487</v>
      </c>
      <c r="C6977">
        <v>34</v>
      </c>
      <c r="D6977">
        <v>273.60000000000002</v>
      </c>
      <c r="E6977">
        <v>5.4</v>
      </c>
    </row>
    <row r="6978" spans="1:5" x14ac:dyDescent="0.2">
      <c r="A6978">
        <v>14855</v>
      </c>
      <c r="B6978">
        <v>12491</v>
      </c>
      <c r="C6978">
        <v>32</v>
      </c>
      <c r="D6978">
        <v>273.7</v>
      </c>
      <c r="E6978">
        <v>5.0999999999999996</v>
      </c>
    </row>
    <row r="6979" spans="1:5" x14ac:dyDescent="0.2">
      <c r="A6979">
        <v>14860</v>
      </c>
      <c r="B6979">
        <v>12494</v>
      </c>
      <c r="C6979">
        <v>31</v>
      </c>
      <c r="D6979">
        <v>274</v>
      </c>
      <c r="E6979">
        <v>5</v>
      </c>
    </row>
    <row r="6980" spans="1:5" x14ac:dyDescent="0.2">
      <c r="A6980">
        <v>14865</v>
      </c>
      <c r="B6980">
        <v>12497</v>
      </c>
      <c r="C6980">
        <v>30</v>
      </c>
      <c r="D6980">
        <v>274.3</v>
      </c>
      <c r="E6980">
        <v>4.8</v>
      </c>
    </row>
    <row r="6981" spans="1:5" x14ac:dyDescent="0.2">
      <c r="A6981">
        <v>14870</v>
      </c>
      <c r="B6981">
        <v>12500</v>
      </c>
      <c r="C6981">
        <v>30</v>
      </c>
      <c r="D6981">
        <v>274.7</v>
      </c>
      <c r="E6981">
        <v>4.7</v>
      </c>
    </row>
    <row r="6982" spans="1:5" x14ac:dyDescent="0.2">
      <c r="A6982">
        <v>14875</v>
      </c>
      <c r="B6982">
        <v>12502</v>
      </c>
      <c r="C6982">
        <v>29</v>
      </c>
      <c r="D6982">
        <v>275.10000000000002</v>
      </c>
      <c r="E6982">
        <v>4.5999999999999996</v>
      </c>
    </row>
    <row r="6983" spans="1:5" x14ac:dyDescent="0.2">
      <c r="A6983">
        <v>14880</v>
      </c>
      <c r="B6983">
        <v>12504</v>
      </c>
      <c r="C6983">
        <v>29</v>
      </c>
      <c r="D6983">
        <v>275.60000000000002</v>
      </c>
      <c r="E6983">
        <v>4.5999999999999996</v>
      </c>
    </row>
    <row r="6984" spans="1:5" x14ac:dyDescent="0.2">
      <c r="A6984">
        <v>14885</v>
      </c>
      <c r="B6984">
        <v>12505</v>
      </c>
      <c r="C6984">
        <v>29</v>
      </c>
      <c r="D6984">
        <v>276.10000000000002</v>
      </c>
      <c r="E6984">
        <v>4.5999999999999996</v>
      </c>
    </row>
    <row r="6985" spans="1:5" x14ac:dyDescent="0.2">
      <c r="A6985">
        <v>14890</v>
      </c>
      <c r="B6985">
        <v>12507</v>
      </c>
      <c r="C6985">
        <v>29</v>
      </c>
      <c r="D6985">
        <v>276.60000000000002</v>
      </c>
      <c r="E6985">
        <v>4.5999999999999996</v>
      </c>
    </row>
    <row r="6986" spans="1:5" x14ac:dyDescent="0.2">
      <c r="A6986">
        <v>14895</v>
      </c>
      <c r="B6986">
        <v>12508</v>
      </c>
      <c r="C6986">
        <v>29</v>
      </c>
      <c r="D6986">
        <v>277.10000000000002</v>
      </c>
      <c r="E6986">
        <v>4.5999999999999996</v>
      </c>
    </row>
    <row r="6987" spans="1:5" x14ac:dyDescent="0.2">
      <c r="A6987">
        <v>14900</v>
      </c>
      <c r="B6987">
        <v>12510</v>
      </c>
      <c r="C6987">
        <v>29</v>
      </c>
      <c r="D6987">
        <v>277.60000000000002</v>
      </c>
      <c r="E6987">
        <v>4.5999999999999996</v>
      </c>
    </row>
    <row r="6988" spans="1:5" x14ac:dyDescent="0.2">
      <c r="A6988">
        <v>14905</v>
      </c>
      <c r="B6988">
        <v>12512</v>
      </c>
      <c r="C6988">
        <v>30</v>
      </c>
      <c r="D6988">
        <v>278.10000000000002</v>
      </c>
      <c r="E6988">
        <v>4.7</v>
      </c>
    </row>
    <row r="6989" spans="1:5" x14ac:dyDescent="0.2">
      <c r="A6989">
        <v>14910</v>
      </c>
      <c r="B6989">
        <v>12514</v>
      </c>
      <c r="C6989">
        <v>30</v>
      </c>
      <c r="D6989">
        <v>278.60000000000002</v>
      </c>
      <c r="E6989">
        <v>4.8</v>
      </c>
    </row>
    <row r="6990" spans="1:5" x14ac:dyDescent="0.2">
      <c r="A6990">
        <v>14915</v>
      </c>
      <c r="B6990">
        <v>12516</v>
      </c>
      <c r="C6990">
        <v>31</v>
      </c>
      <c r="D6990">
        <v>279</v>
      </c>
      <c r="E6990">
        <v>4.9000000000000004</v>
      </c>
    </row>
    <row r="6991" spans="1:5" x14ac:dyDescent="0.2">
      <c r="A6991">
        <v>14920</v>
      </c>
      <c r="B6991">
        <v>12519</v>
      </c>
      <c r="C6991">
        <v>32</v>
      </c>
      <c r="D6991">
        <v>279.3</v>
      </c>
      <c r="E6991">
        <v>5.0999999999999996</v>
      </c>
    </row>
    <row r="6992" spans="1:5" x14ac:dyDescent="0.2">
      <c r="A6992">
        <v>14925</v>
      </c>
      <c r="B6992">
        <v>12522</v>
      </c>
      <c r="C6992">
        <v>33</v>
      </c>
      <c r="D6992">
        <v>279.60000000000002</v>
      </c>
      <c r="E6992">
        <v>5.2</v>
      </c>
    </row>
    <row r="6993" spans="1:5" x14ac:dyDescent="0.2">
      <c r="A6993">
        <v>14930</v>
      </c>
      <c r="B6993">
        <v>12525</v>
      </c>
      <c r="C6993">
        <v>34</v>
      </c>
      <c r="D6993">
        <v>279.8</v>
      </c>
      <c r="E6993">
        <v>5.4</v>
      </c>
    </row>
    <row r="6994" spans="1:5" x14ac:dyDescent="0.2">
      <c r="A6994">
        <v>14935</v>
      </c>
      <c r="B6994">
        <v>12529</v>
      </c>
      <c r="C6994">
        <v>35</v>
      </c>
      <c r="D6994">
        <v>280</v>
      </c>
      <c r="E6994">
        <v>5.5</v>
      </c>
    </row>
    <row r="6995" spans="1:5" x14ac:dyDescent="0.2">
      <c r="A6995">
        <v>14940</v>
      </c>
      <c r="B6995">
        <v>12534</v>
      </c>
      <c r="C6995">
        <v>36</v>
      </c>
      <c r="D6995">
        <v>280.10000000000002</v>
      </c>
      <c r="E6995">
        <v>5.7</v>
      </c>
    </row>
    <row r="6996" spans="1:5" x14ac:dyDescent="0.2">
      <c r="A6996">
        <v>14945</v>
      </c>
      <c r="B6996">
        <v>12538</v>
      </c>
      <c r="C6996">
        <v>36</v>
      </c>
      <c r="D6996">
        <v>280.10000000000002</v>
      </c>
      <c r="E6996">
        <v>5.8</v>
      </c>
    </row>
    <row r="6997" spans="1:5" x14ac:dyDescent="0.2">
      <c r="A6997">
        <v>14950</v>
      </c>
      <c r="B6997">
        <v>12543</v>
      </c>
      <c r="C6997">
        <v>37</v>
      </c>
      <c r="D6997">
        <v>280.2</v>
      </c>
      <c r="E6997">
        <v>5.9</v>
      </c>
    </row>
    <row r="6998" spans="1:5" x14ac:dyDescent="0.2">
      <c r="A6998">
        <v>14955</v>
      </c>
      <c r="B6998">
        <v>12548</v>
      </c>
      <c r="C6998">
        <v>38</v>
      </c>
      <c r="D6998">
        <v>280.2</v>
      </c>
      <c r="E6998">
        <v>6</v>
      </c>
    </row>
    <row r="6999" spans="1:5" x14ac:dyDescent="0.2">
      <c r="A6999">
        <v>14960</v>
      </c>
      <c r="B6999">
        <v>12553</v>
      </c>
      <c r="C6999">
        <v>38</v>
      </c>
      <c r="D6999">
        <v>280.10000000000002</v>
      </c>
      <c r="E6999">
        <v>6.1</v>
      </c>
    </row>
    <row r="7000" spans="1:5" x14ac:dyDescent="0.2">
      <c r="A7000">
        <v>14965</v>
      </c>
      <c r="B7000">
        <v>12558</v>
      </c>
      <c r="C7000">
        <v>39</v>
      </c>
      <c r="D7000">
        <v>280</v>
      </c>
      <c r="E7000">
        <v>6.2</v>
      </c>
    </row>
    <row r="7001" spans="1:5" x14ac:dyDescent="0.2">
      <c r="A7001">
        <v>14970</v>
      </c>
      <c r="B7001">
        <v>12564</v>
      </c>
      <c r="C7001">
        <v>39</v>
      </c>
      <c r="D7001">
        <v>279.89999999999998</v>
      </c>
      <c r="E7001">
        <v>6.3</v>
      </c>
    </row>
    <row r="7002" spans="1:5" x14ac:dyDescent="0.2">
      <c r="A7002">
        <v>14975</v>
      </c>
      <c r="B7002">
        <v>12569</v>
      </c>
      <c r="C7002">
        <v>40</v>
      </c>
      <c r="D7002">
        <v>279.8</v>
      </c>
      <c r="E7002">
        <v>6.3</v>
      </c>
    </row>
    <row r="7003" spans="1:5" x14ac:dyDescent="0.2">
      <c r="A7003">
        <v>14980</v>
      </c>
      <c r="B7003">
        <v>12575</v>
      </c>
      <c r="C7003">
        <v>40</v>
      </c>
      <c r="D7003">
        <v>279.7</v>
      </c>
      <c r="E7003">
        <v>6.3</v>
      </c>
    </row>
    <row r="7004" spans="1:5" x14ac:dyDescent="0.2">
      <c r="A7004">
        <v>14985</v>
      </c>
      <c r="B7004">
        <v>12580</v>
      </c>
      <c r="C7004">
        <v>39</v>
      </c>
      <c r="D7004">
        <v>279.60000000000002</v>
      </c>
      <c r="E7004">
        <v>6.3</v>
      </c>
    </row>
    <row r="7005" spans="1:5" x14ac:dyDescent="0.2">
      <c r="A7005">
        <v>14990</v>
      </c>
      <c r="B7005">
        <v>12585</v>
      </c>
      <c r="C7005">
        <v>39</v>
      </c>
      <c r="D7005">
        <v>279.60000000000002</v>
      </c>
      <c r="E7005">
        <v>6.2</v>
      </c>
    </row>
    <row r="7006" spans="1:5" x14ac:dyDescent="0.2">
      <c r="A7006">
        <v>14995</v>
      </c>
      <c r="B7006">
        <v>12591</v>
      </c>
      <c r="C7006">
        <v>39</v>
      </c>
      <c r="D7006">
        <v>279.5</v>
      </c>
      <c r="E7006">
        <v>6.2</v>
      </c>
    </row>
    <row r="7007" spans="1:5" x14ac:dyDescent="0.2">
      <c r="A7007">
        <v>15000</v>
      </c>
      <c r="B7007">
        <v>12595</v>
      </c>
      <c r="C7007">
        <v>38</v>
      </c>
      <c r="D7007">
        <v>279.60000000000002</v>
      </c>
      <c r="E7007">
        <v>6.1</v>
      </c>
    </row>
    <row r="7008" spans="1:5" x14ac:dyDescent="0.2">
      <c r="A7008">
        <v>15010</v>
      </c>
      <c r="B7008">
        <v>12604</v>
      </c>
      <c r="C7008">
        <v>37</v>
      </c>
      <c r="D7008">
        <v>279.8</v>
      </c>
      <c r="E7008">
        <v>5.9</v>
      </c>
    </row>
    <row r="7009" spans="1:5" x14ac:dyDescent="0.2">
      <c r="A7009">
        <v>15020</v>
      </c>
      <c r="B7009">
        <v>12611</v>
      </c>
      <c r="C7009">
        <v>36</v>
      </c>
      <c r="D7009">
        <v>280.2</v>
      </c>
      <c r="E7009">
        <v>5.8</v>
      </c>
    </row>
    <row r="7010" spans="1:5" x14ac:dyDescent="0.2">
      <c r="A7010">
        <v>15030</v>
      </c>
      <c r="B7010">
        <v>12616</v>
      </c>
      <c r="C7010">
        <v>36</v>
      </c>
      <c r="D7010">
        <v>280.8</v>
      </c>
      <c r="E7010">
        <v>5.7</v>
      </c>
    </row>
    <row r="7011" spans="1:5" x14ac:dyDescent="0.2">
      <c r="A7011">
        <v>15040</v>
      </c>
      <c r="B7011">
        <v>12622</v>
      </c>
      <c r="C7011">
        <v>35</v>
      </c>
      <c r="D7011">
        <v>281.60000000000002</v>
      </c>
      <c r="E7011">
        <v>5.7</v>
      </c>
    </row>
    <row r="7012" spans="1:5" x14ac:dyDescent="0.2">
      <c r="A7012">
        <v>15050</v>
      </c>
      <c r="B7012">
        <v>12626</v>
      </c>
      <c r="C7012">
        <v>36</v>
      </c>
      <c r="D7012">
        <v>282.39999999999998</v>
      </c>
      <c r="E7012">
        <v>5.7</v>
      </c>
    </row>
    <row r="7013" spans="1:5" x14ac:dyDescent="0.2">
      <c r="A7013">
        <v>15060</v>
      </c>
      <c r="B7013">
        <v>12631</v>
      </c>
      <c r="C7013">
        <v>36</v>
      </c>
      <c r="D7013">
        <v>283.10000000000002</v>
      </c>
      <c r="E7013">
        <v>5.8</v>
      </c>
    </row>
    <row r="7014" spans="1:5" x14ac:dyDescent="0.2">
      <c r="A7014">
        <v>15070</v>
      </c>
      <c r="B7014">
        <v>12636</v>
      </c>
      <c r="C7014">
        <v>37</v>
      </c>
      <c r="D7014">
        <v>283.8</v>
      </c>
      <c r="E7014">
        <v>6</v>
      </c>
    </row>
    <row r="7015" spans="1:5" x14ac:dyDescent="0.2">
      <c r="A7015">
        <v>15080</v>
      </c>
      <c r="B7015">
        <v>12642</v>
      </c>
      <c r="C7015">
        <v>39</v>
      </c>
      <c r="D7015">
        <v>284.39999999999998</v>
      </c>
      <c r="E7015">
        <v>6.2</v>
      </c>
    </row>
    <row r="7016" spans="1:5" x14ac:dyDescent="0.2">
      <c r="A7016">
        <v>15090</v>
      </c>
      <c r="B7016">
        <v>12650</v>
      </c>
      <c r="C7016">
        <v>40</v>
      </c>
      <c r="D7016">
        <v>284.8</v>
      </c>
      <c r="E7016">
        <v>6.4</v>
      </c>
    </row>
    <row r="7017" spans="1:5" x14ac:dyDescent="0.2">
      <c r="A7017">
        <v>15100</v>
      </c>
      <c r="B7017">
        <v>12658</v>
      </c>
      <c r="C7017">
        <v>41</v>
      </c>
      <c r="D7017">
        <v>285.10000000000002</v>
      </c>
      <c r="E7017">
        <v>6.5</v>
      </c>
    </row>
    <row r="7018" spans="1:5" x14ac:dyDescent="0.2">
      <c r="A7018">
        <v>15110</v>
      </c>
      <c r="B7018">
        <v>12667</v>
      </c>
      <c r="C7018">
        <v>41</v>
      </c>
      <c r="D7018">
        <v>285.10000000000002</v>
      </c>
      <c r="E7018">
        <v>6.6</v>
      </c>
    </row>
    <row r="7019" spans="1:5" x14ac:dyDescent="0.2">
      <c r="A7019">
        <v>15120</v>
      </c>
      <c r="B7019">
        <v>12677</v>
      </c>
      <c r="C7019">
        <v>41</v>
      </c>
      <c r="D7019">
        <v>285.10000000000002</v>
      </c>
      <c r="E7019">
        <v>6.5</v>
      </c>
    </row>
    <row r="7020" spans="1:5" x14ac:dyDescent="0.2">
      <c r="A7020">
        <v>15130</v>
      </c>
      <c r="B7020">
        <v>12687</v>
      </c>
      <c r="C7020">
        <v>40</v>
      </c>
      <c r="D7020">
        <v>285</v>
      </c>
      <c r="E7020">
        <v>6.4</v>
      </c>
    </row>
    <row r="7021" spans="1:5" x14ac:dyDescent="0.2">
      <c r="A7021">
        <v>15140</v>
      </c>
      <c r="B7021">
        <v>12697</v>
      </c>
      <c r="C7021">
        <v>39</v>
      </c>
      <c r="D7021">
        <v>285</v>
      </c>
      <c r="E7021">
        <v>6.2</v>
      </c>
    </row>
    <row r="7022" spans="1:5" x14ac:dyDescent="0.2">
      <c r="A7022">
        <v>15150</v>
      </c>
      <c r="B7022">
        <v>12707</v>
      </c>
      <c r="C7022">
        <v>38</v>
      </c>
      <c r="D7022">
        <v>285.10000000000002</v>
      </c>
      <c r="E7022">
        <v>6</v>
      </c>
    </row>
    <row r="7023" spans="1:5" x14ac:dyDescent="0.2">
      <c r="A7023">
        <v>15160</v>
      </c>
      <c r="B7023">
        <v>12715</v>
      </c>
      <c r="C7023">
        <v>37</v>
      </c>
      <c r="D7023">
        <v>285.3</v>
      </c>
      <c r="E7023">
        <v>5.9</v>
      </c>
    </row>
    <row r="7024" spans="1:5" x14ac:dyDescent="0.2">
      <c r="A7024">
        <v>15170</v>
      </c>
      <c r="B7024">
        <v>12723</v>
      </c>
      <c r="C7024">
        <v>36</v>
      </c>
      <c r="D7024">
        <v>285.5</v>
      </c>
      <c r="E7024">
        <v>5.7</v>
      </c>
    </row>
    <row r="7025" spans="1:5" x14ac:dyDescent="0.2">
      <c r="A7025">
        <v>15180</v>
      </c>
      <c r="B7025">
        <v>12730</v>
      </c>
      <c r="C7025">
        <v>35</v>
      </c>
      <c r="D7025">
        <v>285.89999999999998</v>
      </c>
      <c r="E7025">
        <v>5.6</v>
      </c>
    </row>
    <row r="7026" spans="1:5" x14ac:dyDescent="0.2">
      <c r="A7026">
        <v>15190</v>
      </c>
      <c r="B7026">
        <v>12737</v>
      </c>
      <c r="C7026">
        <v>35</v>
      </c>
      <c r="D7026">
        <v>286.39999999999998</v>
      </c>
      <c r="E7026">
        <v>5.6</v>
      </c>
    </row>
    <row r="7027" spans="1:5" x14ac:dyDescent="0.2">
      <c r="A7027">
        <v>15200</v>
      </c>
      <c r="B7027">
        <v>12744</v>
      </c>
      <c r="C7027">
        <v>35</v>
      </c>
      <c r="D7027">
        <v>286.89999999999998</v>
      </c>
      <c r="E7027">
        <v>5.6</v>
      </c>
    </row>
    <row r="7028" spans="1:5" x14ac:dyDescent="0.2">
      <c r="A7028">
        <v>15210</v>
      </c>
      <c r="B7028">
        <v>12751</v>
      </c>
      <c r="C7028">
        <v>35</v>
      </c>
      <c r="D7028">
        <v>287.3</v>
      </c>
      <c r="E7028">
        <v>5.6</v>
      </c>
    </row>
    <row r="7029" spans="1:5" x14ac:dyDescent="0.2">
      <c r="A7029">
        <v>15220</v>
      </c>
      <c r="B7029">
        <v>12758</v>
      </c>
      <c r="C7029">
        <v>36</v>
      </c>
      <c r="D7029">
        <v>287.7</v>
      </c>
      <c r="E7029">
        <v>5.7</v>
      </c>
    </row>
    <row r="7030" spans="1:5" x14ac:dyDescent="0.2">
      <c r="A7030">
        <v>15230</v>
      </c>
      <c r="B7030">
        <v>12766</v>
      </c>
      <c r="C7030">
        <v>36</v>
      </c>
      <c r="D7030">
        <v>288</v>
      </c>
      <c r="E7030">
        <v>5.8</v>
      </c>
    </row>
    <row r="7031" spans="1:5" x14ac:dyDescent="0.2">
      <c r="A7031">
        <v>15240</v>
      </c>
      <c r="B7031">
        <v>12775</v>
      </c>
      <c r="C7031">
        <v>38</v>
      </c>
      <c r="D7031">
        <v>288.2</v>
      </c>
      <c r="E7031">
        <v>6.1</v>
      </c>
    </row>
    <row r="7032" spans="1:5" x14ac:dyDescent="0.2">
      <c r="A7032">
        <v>15250</v>
      </c>
      <c r="B7032">
        <v>12783</v>
      </c>
      <c r="C7032">
        <v>40</v>
      </c>
      <c r="D7032">
        <v>288.3</v>
      </c>
      <c r="E7032">
        <v>6.4</v>
      </c>
    </row>
    <row r="7033" spans="1:5" x14ac:dyDescent="0.2">
      <c r="A7033">
        <v>15260</v>
      </c>
      <c r="B7033">
        <v>12793</v>
      </c>
      <c r="C7033">
        <v>42</v>
      </c>
      <c r="D7033">
        <v>288.3</v>
      </c>
      <c r="E7033">
        <v>6.7</v>
      </c>
    </row>
    <row r="7034" spans="1:5" x14ac:dyDescent="0.2">
      <c r="A7034">
        <v>15270</v>
      </c>
      <c r="B7034">
        <v>12803</v>
      </c>
      <c r="C7034">
        <v>43</v>
      </c>
      <c r="D7034">
        <v>288.2</v>
      </c>
      <c r="E7034">
        <v>6.9</v>
      </c>
    </row>
    <row r="7035" spans="1:5" x14ac:dyDescent="0.2">
      <c r="A7035">
        <v>15280</v>
      </c>
      <c r="B7035">
        <v>12814</v>
      </c>
      <c r="C7035">
        <v>44</v>
      </c>
      <c r="D7035">
        <v>288.10000000000002</v>
      </c>
      <c r="E7035">
        <v>7</v>
      </c>
    </row>
    <row r="7036" spans="1:5" x14ac:dyDescent="0.2">
      <c r="A7036">
        <v>15290</v>
      </c>
      <c r="B7036">
        <v>12825</v>
      </c>
      <c r="C7036">
        <v>44</v>
      </c>
      <c r="D7036">
        <v>287.89999999999998</v>
      </c>
      <c r="E7036">
        <v>7.1</v>
      </c>
    </row>
    <row r="7037" spans="1:5" x14ac:dyDescent="0.2">
      <c r="A7037">
        <v>15300</v>
      </c>
      <c r="B7037">
        <v>12836</v>
      </c>
      <c r="C7037">
        <v>44</v>
      </c>
      <c r="D7037">
        <v>287.7</v>
      </c>
      <c r="E7037">
        <v>7</v>
      </c>
    </row>
    <row r="7038" spans="1:5" x14ac:dyDescent="0.2">
      <c r="A7038">
        <v>15310</v>
      </c>
      <c r="B7038">
        <v>12846</v>
      </c>
      <c r="C7038">
        <v>43</v>
      </c>
      <c r="D7038">
        <v>287.60000000000002</v>
      </c>
      <c r="E7038">
        <v>7</v>
      </c>
    </row>
    <row r="7039" spans="1:5" x14ac:dyDescent="0.2">
      <c r="A7039">
        <v>15320</v>
      </c>
      <c r="B7039">
        <v>12856</v>
      </c>
      <c r="C7039">
        <v>43</v>
      </c>
      <c r="D7039">
        <v>287.5</v>
      </c>
      <c r="E7039">
        <v>6.9</v>
      </c>
    </row>
    <row r="7040" spans="1:5" x14ac:dyDescent="0.2">
      <c r="A7040">
        <v>15330</v>
      </c>
      <c r="B7040">
        <v>12866</v>
      </c>
      <c r="C7040">
        <v>43</v>
      </c>
      <c r="D7040">
        <v>287.60000000000002</v>
      </c>
      <c r="E7040">
        <v>6.9</v>
      </c>
    </row>
    <row r="7041" spans="1:5" x14ac:dyDescent="0.2">
      <c r="A7041">
        <v>15340</v>
      </c>
      <c r="B7041">
        <v>12874</v>
      </c>
      <c r="C7041">
        <v>43</v>
      </c>
      <c r="D7041">
        <v>287.8</v>
      </c>
      <c r="E7041">
        <v>6.9</v>
      </c>
    </row>
    <row r="7042" spans="1:5" x14ac:dyDescent="0.2">
      <c r="A7042">
        <v>15350</v>
      </c>
      <c r="B7042">
        <v>12881</v>
      </c>
      <c r="C7042">
        <v>42</v>
      </c>
      <c r="D7042">
        <v>288.2</v>
      </c>
      <c r="E7042">
        <v>6.8</v>
      </c>
    </row>
    <row r="7043" spans="1:5" x14ac:dyDescent="0.2">
      <c r="A7043">
        <v>15360</v>
      </c>
      <c r="B7043">
        <v>12887</v>
      </c>
      <c r="C7043">
        <v>41</v>
      </c>
      <c r="D7043">
        <v>288.8</v>
      </c>
      <c r="E7043">
        <v>6.6</v>
      </c>
    </row>
    <row r="7044" spans="1:5" x14ac:dyDescent="0.2">
      <c r="A7044">
        <v>15370</v>
      </c>
      <c r="B7044">
        <v>12892</v>
      </c>
      <c r="C7044">
        <v>40</v>
      </c>
      <c r="D7044">
        <v>289.60000000000002</v>
      </c>
      <c r="E7044">
        <v>6.5</v>
      </c>
    </row>
    <row r="7045" spans="1:5" x14ac:dyDescent="0.2">
      <c r="A7045">
        <v>15380</v>
      </c>
      <c r="B7045">
        <v>12896</v>
      </c>
      <c r="C7045">
        <v>40</v>
      </c>
      <c r="D7045">
        <v>290.5</v>
      </c>
      <c r="E7045">
        <v>6.4</v>
      </c>
    </row>
    <row r="7046" spans="1:5" x14ac:dyDescent="0.2">
      <c r="A7046">
        <v>15390</v>
      </c>
      <c r="B7046">
        <v>12900</v>
      </c>
      <c r="C7046">
        <v>39</v>
      </c>
      <c r="D7046">
        <v>291.5</v>
      </c>
      <c r="E7046">
        <v>6.3</v>
      </c>
    </row>
    <row r="7047" spans="1:5" x14ac:dyDescent="0.2">
      <c r="A7047">
        <v>15400</v>
      </c>
      <c r="B7047">
        <v>12902</v>
      </c>
      <c r="C7047">
        <v>39</v>
      </c>
      <c r="D7047">
        <v>292.60000000000002</v>
      </c>
      <c r="E7047">
        <v>6.3</v>
      </c>
    </row>
    <row r="7048" spans="1:5" x14ac:dyDescent="0.2">
      <c r="A7048">
        <v>15410</v>
      </c>
      <c r="B7048">
        <v>12905</v>
      </c>
      <c r="C7048">
        <v>40</v>
      </c>
      <c r="D7048">
        <v>293.8</v>
      </c>
      <c r="E7048">
        <v>6.5</v>
      </c>
    </row>
    <row r="7049" spans="1:5" x14ac:dyDescent="0.2">
      <c r="A7049">
        <v>15420</v>
      </c>
      <c r="B7049">
        <v>12907</v>
      </c>
      <c r="C7049">
        <v>41</v>
      </c>
      <c r="D7049">
        <v>295</v>
      </c>
      <c r="E7049">
        <v>6.6</v>
      </c>
    </row>
    <row r="7050" spans="1:5" x14ac:dyDescent="0.2">
      <c r="A7050">
        <v>15430</v>
      </c>
      <c r="B7050">
        <v>12910</v>
      </c>
      <c r="C7050">
        <v>42</v>
      </c>
      <c r="D7050">
        <v>296.10000000000002</v>
      </c>
      <c r="E7050">
        <v>6.8</v>
      </c>
    </row>
    <row r="7051" spans="1:5" x14ac:dyDescent="0.2">
      <c r="A7051">
        <v>15440</v>
      </c>
      <c r="B7051">
        <v>12912</v>
      </c>
      <c r="C7051">
        <v>42</v>
      </c>
      <c r="D7051">
        <v>297.3</v>
      </c>
      <c r="E7051">
        <v>6.8</v>
      </c>
    </row>
    <row r="7052" spans="1:5" x14ac:dyDescent="0.2">
      <c r="A7052">
        <v>15450</v>
      </c>
      <c r="B7052">
        <v>12915</v>
      </c>
      <c r="C7052">
        <v>42</v>
      </c>
      <c r="D7052">
        <v>298.39999999999998</v>
      </c>
      <c r="E7052">
        <v>6.8</v>
      </c>
    </row>
    <row r="7053" spans="1:5" x14ac:dyDescent="0.2">
      <c r="A7053">
        <v>15460</v>
      </c>
      <c r="B7053">
        <v>12919</v>
      </c>
      <c r="C7053">
        <v>42</v>
      </c>
      <c r="D7053">
        <v>299.39999999999998</v>
      </c>
      <c r="E7053">
        <v>6.8</v>
      </c>
    </row>
    <row r="7054" spans="1:5" x14ac:dyDescent="0.2">
      <c r="A7054">
        <v>15470</v>
      </c>
      <c r="B7054">
        <v>12922</v>
      </c>
      <c r="C7054">
        <v>42</v>
      </c>
      <c r="D7054">
        <v>300.39999999999998</v>
      </c>
      <c r="E7054">
        <v>6.8</v>
      </c>
    </row>
    <row r="7055" spans="1:5" x14ac:dyDescent="0.2">
      <c r="A7055">
        <v>15480</v>
      </c>
      <c r="B7055">
        <v>12927</v>
      </c>
      <c r="C7055">
        <v>43</v>
      </c>
      <c r="D7055">
        <v>301.3</v>
      </c>
      <c r="E7055">
        <v>6.9</v>
      </c>
    </row>
    <row r="7056" spans="1:5" x14ac:dyDescent="0.2">
      <c r="A7056">
        <v>15490</v>
      </c>
      <c r="B7056">
        <v>12931</v>
      </c>
      <c r="C7056">
        <v>43</v>
      </c>
      <c r="D7056">
        <v>302.10000000000002</v>
      </c>
      <c r="E7056">
        <v>7</v>
      </c>
    </row>
    <row r="7057" spans="1:5" x14ac:dyDescent="0.2">
      <c r="A7057">
        <v>15500</v>
      </c>
      <c r="B7057">
        <v>12936</v>
      </c>
      <c r="C7057">
        <v>44</v>
      </c>
      <c r="D7057">
        <v>302.89999999999998</v>
      </c>
      <c r="E7057">
        <v>7.2</v>
      </c>
    </row>
    <row r="7058" spans="1:5" x14ac:dyDescent="0.2">
      <c r="A7058">
        <v>15510</v>
      </c>
      <c r="B7058">
        <v>12942</v>
      </c>
      <c r="C7058">
        <v>45</v>
      </c>
      <c r="D7058">
        <v>303.5</v>
      </c>
      <c r="E7058">
        <v>7.3</v>
      </c>
    </row>
    <row r="7059" spans="1:5" x14ac:dyDescent="0.2">
      <c r="A7059">
        <v>15520</v>
      </c>
      <c r="B7059">
        <v>12948</v>
      </c>
      <c r="C7059">
        <v>45</v>
      </c>
      <c r="D7059">
        <v>304.10000000000002</v>
      </c>
      <c r="E7059">
        <v>7.3</v>
      </c>
    </row>
    <row r="7060" spans="1:5" x14ac:dyDescent="0.2">
      <c r="A7060">
        <v>15530</v>
      </c>
      <c r="B7060">
        <v>12954</v>
      </c>
      <c r="C7060">
        <v>45</v>
      </c>
      <c r="D7060">
        <v>304.60000000000002</v>
      </c>
      <c r="E7060">
        <v>7.3</v>
      </c>
    </row>
    <row r="7061" spans="1:5" x14ac:dyDescent="0.2">
      <c r="A7061">
        <v>15540</v>
      </c>
      <c r="B7061">
        <v>12962</v>
      </c>
      <c r="C7061">
        <v>45</v>
      </c>
      <c r="D7061">
        <v>305</v>
      </c>
      <c r="E7061">
        <v>7.3</v>
      </c>
    </row>
    <row r="7062" spans="1:5" x14ac:dyDescent="0.2">
      <c r="A7062">
        <v>15550</v>
      </c>
      <c r="B7062">
        <v>12969</v>
      </c>
      <c r="C7062">
        <v>45</v>
      </c>
      <c r="D7062">
        <v>305.39999999999998</v>
      </c>
      <c r="E7062">
        <v>7.3</v>
      </c>
    </row>
    <row r="7063" spans="1:5" x14ac:dyDescent="0.2">
      <c r="A7063">
        <v>15560</v>
      </c>
      <c r="B7063">
        <v>12977</v>
      </c>
      <c r="C7063">
        <v>45</v>
      </c>
      <c r="D7063">
        <v>305.7</v>
      </c>
      <c r="E7063">
        <v>7.3</v>
      </c>
    </row>
    <row r="7064" spans="1:5" x14ac:dyDescent="0.2">
      <c r="A7064">
        <v>15570</v>
      </c>
      <c r="B7064">
        <v>12985</v>
      </c>
      <c r="C7064">
        <v>44</v>
      </c>
      <c r="D7064">
        <v>305.89999999999998</v>
      </c>
      <c r="E7064">
        <v>7.2</v>
      </c>
    </row>
    <row r="7065" spans="1:5" x14ac:dyDescent="0.2">
      <c r="A7065">
        <v>15580</v>
      </c>
      <c r="B7065">
        <v>12994</v>
      </c>
      <c r="C7065">
        <v>43</v>
      </c>
      <c r="D7065">
        <v>306.10000000000002</v>
      </c>
      <c r="E7065">
        <v>6.9</v>
      </c>
    </row>
    <row r="7066" spans="1:5" x14ac:dyDescent="0.2">
      <c r="A7066">
        <v>15590</v>
      </c>
      <c r="B7066">
        <v>13003</v>
      </c>
      <c r="C7066">
        <v>41</v>
      </c>
      <c r="D7066">
        <v>306.2</v>
      </c>
      <c r="E7066">
        <v>6.6</v>
      </c>
    </row>
    <row r="7067" spans="1:5" x14ac:dyDescent="0.2">
      <c r="A7067">
        <v>15600</v>
      </c>
      <c r="B7067">
        <v>13012</v>
      </c>
      <c r="C7067">
        <v>38</v>
      </c>
      <c r="D7067">
        <v>306.3</v>
      </c>
      <c r="E7067">
        <v>6.3</v>
      </c>
    </row>
    <row r="7068" spans="1:5" x14ac:dyDescent="0.2">
      <c r="A7068">
        <v>15610</v>
      </c>
      <c r="B7068">
        <v>13021</v>
      </c>
      <c r="C7068">
        <v>37</v>
      </c>
      <c r="D7068">
        <v>306.39999999999998</v>
      </c>
      <c r="E7068">
        <v>6</v>
      </c>
    </row>
    <row r="7069" spans="1:5" x14ac:dyDescent="0.2">
      <c r="A7069">
        <v>15620</v>
      </c>
      <c r="B7069">
        <v>13031</v>
      </c>
      <c r="C7069">
        <v>36</v>
      </c>
      <c r="D7069">
        <v>306.5</v>
      </c>
      <c r="E7069">
        <v>5.8</v>
      </c>
    </row>
    <row r="7070" spans="1:5" x14ac:dyDescent="0.2">
      <c r="A7070">
        <v>15630</v>
      </c>
      <c r="B7070">
        <v>13040</v>
      </c>
      <c r="C7070">
        <v>35</v>
      </c>
      <c r="D7070">
        <v>306.60000000000002</v>
      </c>
      <c r="E7070">
        <v>5.8</v>
      </c>
    </row>
    <row r="7071" spans="1:5" x14ac:dyDescent="0.2">
      <c r="A7071">
        <v>15640</v>
      </c>
      <c r="B7071">
        <v>13048</v>
      </c>
      <c r="C7071">
        <v>35</v>
      </c>
      <c r="D7071">
        <v>306.7</v>
      </c>
      <c r="E7071">
        <v>5.8</v>
      </c>
    </row>
    <row r="7072" spans="1:5" x14ac:dyDescent="0.2">
      <c r="A7072">
        <v>15650</v>
      </c>
      <c r="B7072">
        <v>13057</v>
      </c>
      <c r="C7072">
        <v>36</v>
      </c>
      <c r="D7072">
        <v>306.89999999999998</v>
      </c>
      <c r="E7072">
        <v>5.8</v>
      </c>
    </row>
    <row r="7073" spans="1:5" x14ac:dyDescent="0.2">
      <c r="A7073">
        <v>15660</v>
      </c>
      <c r="B7073">
        <v>13065</v>
      </c>
      <c r="C7073">
        <v>36</v>
      </c>
      <c r="D7073">
        <v>307.10000000000002</v>
      </c>
      <c r="E7073">
        <v>5.9</v>
      </c>
    </row>
    <row r="7074" spans="1:5" x14ac:dyDescent="0.2">
      <c r="A7074">
        <v>15670</v>
      </c>
      <c r="B7074">
        <v>13074</v>
      </c>
      <c r="C7074">
        <v>36</v>
      </c>
      <c r="D7074">
        <v>307.39999999999998</v>
      </c>
      <c r="E7074">
        <v>5.9</v>
      </c>
    </row>
    <row r="7075" spans="1:5" x14ac:dyDescent="0.2">
      <c r="A7075">
        <v>15680</v>
      </c>
      <c r="B7075">
        <v>13081</v>
      </c>
      <c r="C7075">
        <v>36</v>
      </c>
      <c r="D7075">
        <v>307.7</v>
      </c>
      <c r="E7075">
        <v>5.9</v>
      </c>
    </row>
    <row r="7076" spans="1:5" x14ac:dyDescent="0.2">
      <c r="A7076">
        <v>15690</v>
      </c>
      <c r="B7076">
        <v>13089</v>
      </c>
      <c r="C7076">
        <v>37</v>
      </c>
      <c r="D7076">
        <v>308</v>
      </c>
      <c r="E7076">
        <v>6</v>
      </c>
    </row>
    <row r="7077" spans="1:5" x14ac:dyDescent="0.2">
      <c r="A7077">
        <v>15700</v>
      </c>
      <c r="B7077">
        <v>13096</v>
      </c>
      <c r="C7077">
        <v>38</v>
      </c>
      <c r="D7077">
        <v>308.39999999999998</v>
      </c>
      <c r="E7077">
        <v>6.2</v>
      </c>
    </row>
    <row r="7078" spans="1:5" x14ac:dyDescent="0.2">
      <c r="A7078">
        <v>15710</v>
      </c>
      <c r="B7078">
        <v>13104</v>
      </c>
      <c r="C7078">
        <v>39</v>
      </c>
      <c r="D7078">
        <v>308.7</v>
      </c>
      <c r="E7078">
        <v>6.4</v>
      </c>
    </row>
    <row r="7079" spans="1:5" x14ac:dyDescent="0.2">
      <c r="A7079">
        <v>15720</v>
      </c>
      <c r="B7079">
        <v>13112</v>
      </c>
      <c r="C7079">
        <v>41</v>
      </c>
      <c r="D7079">
        <v>309.10000000000002</v>
      </c>
      <c r="E7079">
        <v>6.7</v>
      </c>
    </row>
    <row r="7080" spans="1:5" x14ac:dyDescent="0.2">
      <c r="A7080">
        <v>15730</v>
      </c>
      <c r="B7080">
        <v>13119</v>
      </c>
      <c r="C7080">
        <v>42</v>
      </c>
      <c r="D7080">
        <v>309.39999999999998</v>
      </c>
      <c r="E7080">
        <v>6.9</v>
      </c>
    </row>
    <row r="7081" spans="1:5" x14ac:dyDescent="0.2">
      <c r="A7081">
        <v>15740</v>
      </c>
      <c r="B7081">
        <v>13127</v>
      </c>
      <c r="C7081">
        <v>43</v>
      </c>
      <c r="D7081">
        <v>309.7</v>
      </c>
      <c r="E7081">
        <v>7</v>
      </c>
    </row>
    <row r="7082" spans="1:5" x14ac:dyDescent="0.2">
      <c r="A7082">
        <v>15750</v>
      </c>
      <c r="B7082">
        <v>13135</v>
      </c>
      <c r="C7082">
        <v>43</v>
      </c>
      <c r="D7082">
        <v>310</v>
      </c>
      <c r="E7082">
        <v>6.9</v>
      </c>
    </row>
    <row r="7083" spans="1:5" x14ac:dyDescent="0.2">
      <c r="A7083">
        <v>15760</v>
      </c>
      <c r="B7083">
        <v>13144</v>
      </c>
      <c r="C7083">
        <v>42</v>
      </c>
      <c r="D7083">
        <v>310.2</v>
      </c>
      <c r="E7083">
        <v>6.8</v>
      </c>
    </row>
    <row r="7084" spans="1:5" x14ac:dyDescent="0.2">
      <c r="A7084">
        <v>15770</v>
      </c>
      <c r="B7084">
        <v>13153</v>
      </c>
      <c r="C7084">
        <v>41</v>
      </c>
      <c r="D7084">
        <v>310.3</v>
      </c>
      <c r="E7084">
        <v>6.7</v>
      </c>
    </row>
    <row r="7085" spans="1:5" x14ac:dyDescent="0.2">
      <c r="A7085">
        <v>15780</v>
      </c>
      <c r="B7085">
        <v>13161</v>
      </c>
      <c r="C7085">
        <v>40</v>
      </c>
      <c r="D7085">
        <v>310.5</v>
      </c>
      <c r="E7085">
        <v>6.6</v>
      </c>
    </row>
    <row r="7086" spans="1:5" x14ac:dyDescent="0.2">
      <c r="A7086">
        <v>15790</v>
      </c>
      <c r="B7086">
        <v>13170</v>
      </c>
      <c r="C7086">
        <v>40</v>
      </c>
      <c r="D7086">
        <v>310.7</v>
      </c>
      <c r="E7086">
        <v>6.6</v>
      </c>
    </row>
    <row r="7087" spans="1:5" x14ac:dyDescent="0.2">
      <c r="A7087">
        <v>15800</v>
      </c>
      <c r="B7087">
        <v>13178</v>
      </c>
      <c r="C7087">
        <v>41</v>
      </c>
      <c r="D7087">
        <v>310.89999999999998</v>
      </c>
      <c r="E7087">
        <v>6.6</v>
      </c>
    </row>
    <row r="7088" spans="1:5" x14ac:dyDescent="0.2">
      <c r="A7088">
        <v>15810</v>
      </c>
      <c r="B7088">
        <v>13187</v>
      </c>
      <c r="C7088">
        <v>41</v>
      </c>
      <c r="D7088">
        <v>311.10000000000002</v>
      </c>
      <c r="E7088">
        <v>6.6</v>
      </c>
    </row>
    <row r="7089" spans="1:5" x14ac:dyDescent="0.2">
      <c r="A7089">
        <v>15820</v>
      </c>
      <c r="B7089">
        <v>13194</v>
      </c>
      <c r="C7089">
        <v>41</v>
      </c>
      <c r="D7089">
        <v>311.39999999999998</v>
      </c>
      <c r="E7089">
        <v>6.6</v>
      </c>
    </row>
    <row r="7090" spans="1:5" x14ac:dyDescent="0.2">
      <c r="A7090">
        <v>15830</v>
      </c>
      <c r="B7090">
        <v>13202</v>
      </c>
      <c r="C7090">
        <v>40</v>
      </c>
      <c r="D7090">
        <v>311.8</v>
      </c>
      <c r="E7090">
        <v>6.5</v>
      </c>
    </row>
    <row r="7091" spans="1:5" x14ac:dyDescent="0.2">
      <c r="A7091">
        <v>15840</v>
      </c>
      <c r="B7091">
        <v>13209</v>
      </c>
      <c r="C7091">
        <v>40</v>
      </c>
      <c r="D7091">
        <v>312.3</v>
      </c>
      <c r="E7091">
        <v>6.5</v>
      </c>
    </row>
    <row r="7092" spans="1:5" x14ac:dyDescent="0.2">
      <c r="A7092">
        <v>15850</v>
      </c>
      <c r="B7092">
        <v>13216</v>
      </c>
      <c r="C7092">
        <v>39</v>
      </c>
      <c r="D7092">
        <v>312.7</v>
      </c>
      <c r="E7092">
        <v>6.4</v>
      </c>
    </row>
    <row r="7093" spans="1:5" x14ac:dyDescent="0.2">
      <c r="A7093">
        <v>15860</v>
      </c>
      <c r="B7093">
        <v>13222</v>
      </c>
      <c r="C7093">
        <v>39</v>
      </c>
      <c r="D7093">
        <v>313.3</v>
      </c>
      <c r="E7093">
        <v>6.4</v>
      </c>
    </row>
    <row r="7094" spans="1:5" x14ac:dyDescent="0.2">
      <c r="A7094">
        <v>15870</v>
      </c>
      <c r="B7094">
        <v>13228</v>
      </c>
      <c r="C7094">
        <v>39</v>
      </c>
      <c r="D7094">
        <v>313.89999999999998</v>
      </c>
      <c r="E7094">
        <v>6.5</v>
      </c>
    </row>
    <row r="7095" spans="1:5" x14ac:dyDescent="0.2">
      <c r="A7095">
        <v>15880</v>
      </c>
      <c r="B7095">
        <v>13233</v>
      </c>
      <c r="C7095">
        <v>40</v>
      </c>
      <c r="D7095">
        <v>314.60000000000002</v>
      </c>
      <c r="E7095">
        <v>6.5</v>
      </c>
    </row>
    <row r="7096" spans="1:5" x14ac:dyDescent="0.2">
      <c r="A7096">
        <v>15890</v>
      </c>
      <c r="B7096">
        <v>13238</v>
      </c>
      <c r="C7096">
        <v>40</v>
      </c>
      <c r="D7096">
        <v>315.39999999999998</v>
      </c>
      <c r="E7096">
        <v>6.5</v>
      </c>
    </row>
    <row r="7097" spans="1:5" x14ac:dyDescent="0.2">
      <c r="A7097">
        <v>15900</v>
      </c>
      <c r="B7097">
        <v>13243</v>
      </c>
      <c r="C7097">
        <v>39</v>
      </c>
      <c r="D7097">
        <v>316.2</v>
      </c>
      <c r="E7097">
        <v>6.4</v>
      </c>
    </row>
    <row r="7098" spans="1:5" x14ac:dyDescent="0.2">
      <c r="A7098">
        <v>15910</v>
      </c>
      <c r="B7098">
        <v>13247</v>
      </c>
      <c r="C7098">
        <v>38</v>
      </c>
      <c r="D7098">
        <v>317.10000000000002</v>
      </c>
      <c r="E7098">
        <v>6.3</v>
      </c>
    </row>
    <row r="7099" spans="1:5" x14ac:dyDescent="0.2">
      <c r="A7099">
        <v>15920</v>
      </c>
      <c r="B7099">
        <v>13252</v>
      </c>
      <c r="C7099">
        <v>38</v>
      </c>
      <c r="D7099">
        <v>317.89999999999998</v>
      </c>
      <c r="E7099">
        <v>6.2</v>
      </c>
    </row>
    <row r="7100" spans="1:5" x14ac:dyDescent="0.2">
      <c r="A7100">
        <v>15930</v>
      </c>
      <c r="B7100">
        <v>13257</v>
      </c>
      <c r="C7100">
        <v>38</v>
      </c>
      <c r="D7100">
        <v>318.8</v>
      </c>
      <c r="E7100">
        <v>6.2</v>
      </c>
    </row>
    <row r="7101" spans="1:5" x14ac:dyDescent="0.2">
      <c r="A7101">
        <v>15940</v>
      </c>
      <c r="B7101">
        <v>13262</v>
      </c>
      <c r="C7101">
        <v>38</v>
      </c>
      <c r="D7101">
        <v>319.5</v>
      </c>
      <c r="E7101">
        <v>6.2</v>
      </c>
    </row>
    <row r="7102" spans="1:5" x14ac:dyDescent="0.2">
      <c r="A7102">
        <v>15950</v>
      </c>
      <c r="B7102">
        <v>13268</v>
      </c>
      <c r="C7102">
        <v>38</v>
      </c>
      <c r="D7102">
        <v>320</v>
      </c>
      <c r="E7102">
        <v>6.2</v>
      </c>
    </row>
    <row r="7103" spans="1:5" x14ac:dyDescent="0.2">
      <c r="A7103">
        <v>15960</v>
      </c>
      <c r="B7103">
        <v>13275</v>
      </c>
      <c r="C7103">
        <v>37</v>
      </c>
      <c r="D7103">
        <v>320.5</v>
      </c>
      <c r="E7103">
        <v>6.1</v>
      </c>
    </row>
    <row r="7104" spans="1:5" x14ac:dyDescent="0.2">
      <c r="A7104">
        <v>15970</v>
      </c>
      <c r="B7104">
        <v>13283</v>
      </c>
      <c r="C7104">
        <v>37</v>
      </c>
      <c r="D7104">
        <v>320.8</v>
      </c>
      <c r="E7104">
        <v>6.1</v>
      </c>
    </row>
    <row r="7105" spans="1:5" x14ac:dyDescent="0.2">
      <c r="A7105">
        <v>15980</v>
      </c>
      <c r="B7105">
        <v>13291</v>
      </c>
      <c r="C7105">
        <v>36</v>
      </c>
      <c r="D7105">
        <v>321.10000000000002</v>
      </c>
      <c r="E7105">
        <v>6</v>
      </c>
    </row>
    <row r="7106" spans="1:5" x14ac:dyDescent="0.2">
      <c r="A7106">
        <v>15990</v>
      </c>
      <c r="B7106">
        <v>13300</v>
      </c>
      <c r="C7106">
        <v>36</v>
      </c>
      <c r="D7106">
        <v>321.2</v>
      </c>
      <c r="E7106">
        <v>5.9</v>
      </c>
    </row>
    <row r="7107" spans="1:5" x14ac:dyDescent="0.2">
      <c r="A7107">
        <v>16000</v>
      </c>
      <c r="B7107">
        <v>13309</v>
      </c>
      <c r="C7107">
        <v>36</v>
      </c>
      <c r="D7107">
        <v>321.39999999999998</v>
      </c>
      <c r="E7107">
        <v>5.9</v>
      </c>
    </row>
    <row r="7108" spans="1:5" x14ac:dyDescent="0.2">
      <c r="A7108">
        <v>16010</v>
      </c>
      <c r="B7108">
        <v>13317</v>
      </c>
      <c r="C7108">
        <v>36</v>
      </c>
      <c r="D7108">
        <v>321.5</v>
      </c>
      <c r="E7108">
        <v>5.9</v>
      </c>
    </row>
    <row r="7109" spans="1:5" x14ac:dyDescent="0.2">
      <c r="A7109">
        <v>16020</v>
      </c>
      <c r="B7109">
        <v>13326</v>
      </c>
      <c r="C7109">
        <v>37</v>
      </c>
      <c r="D7109">
        <v>321.7</v>
      </c>
      <c r="E7109">
        <v>6</v>
      </c>
    </row>
    <row r="7110" spans="1:5" x14ac:dyDescent="0.2">
      <c r="A7110">
        <v>16030</v>
      </c>
      <c r="B7110">
        <v>13335</v>
      </c>
      <c r="C7110">
        <v>37</v>
      </c>
      <c r="D7110">
        <v>321.89999999999998</v>
      </c>
      <c r="E7110">
        <v>6.1</v>
      </c>
    </row>
    <row r="7111" spans="1:5" x14ac:dyDescent="0.2">
      <c r="A7111">
        <v>16040</v>
      </c>
      <c r="B7111">
        <v>13343</v>
      </c>
      <c r="C7111">
        <v>38</v>
      </c>
      <c r="D7111">
        <v>322.2</v>
      </c>
      <c r="E7111">
        <v>6.2</v>
      </c>
    </row>
    <row r="7112" spans="1:5" x14ac:dyDescent="0.2">
      <c r="A7112">
        <v>16050</v>
      </c>
      <c r="B7112">
        <v>13350</v>
      </c>
      <c r="C7112">
        <v>38</v>
      </c>
      <c r="D7112">
        <v>322.60000000000002</v>
      </c>
      <c r="E7112">
        <v>6.2</v>
      </c>
    </row>
    <row r="7113" spans="1:5" x14ac:dyDescent="0.2">
      <c r="A7113">
        <v>16060</v>
      </c>
      <c r="B7113">
        <v>13356</v>
      </c>
      <c r="C7113">
        <v>37</v>
      </c>
      <c r="D7113">
        <v>323.10000000000002</v>
      </c>
      <c r="E7113">
        <v>6.1</v>
      </c>
    </row>
    <row r="7114" spans="1:5" x14ac:dyDescent="0.2">
      <c r="A7114">
        <v>16070</v>
      </c>
      <c r="B7114">
        <v>13363</v>
      </c>
      <c r="C7114">
        <v>36</v>
      </c>
      <c r="D7114">
        <v>323.7</v>
      </c>
      <c r="E7114">
        <v>5.9</v>
      </c>
    </row>
    <row r="7115" spans="1:5" x14ac:dyDescent="0.2">
      <c r="A7115">
        <v>16080</v>
      </c>
      <c r="B7115">
        <v>13368</v>
      </c>
      <c r="C7115">
        <v>34</v>
      </c>
      <c r="D7115">
        <v>324.39999999999998</v>
      </c>
      <c r="E7115">
        <v>5.7</v>
      </c>
    </row>
    <row r="7116" spans="1:5" x14ac:dyDescent="0.2">
      <c r="A7116">
        <v>16090</v>
      </c>
      <c r="B7116">
        <v>13373</v>
      </c>
      <c r="C7116">
        <v>33</v>
      </c>
      <c r="D7116">
        <v>325.10000000000002</v>
      </c>
      <c r="E7116">
        <v>5.5</v>
      </c>
    </row>
    <row r="7117" spans="1:5" x14ac:dyDescent="0.2">
      <c r="A7117">
        <v>16100</v>
      </c>
      <c r="B7117">
        <v>13378</v>
      </c>
      <c r="C7117">
        <v>33</v>
      </c>
      <c r="D7117">
        <v>325.89999999999998</v>
      </c>
      <c r="E7117">
        <v>5.4</v>
      </c>
    </row>
    <row r="7118" spans="1:5" x14ac:dyDescent="0.2">
      <c r="A7118">
        <v>16110</v>
      </c>
      <c r="B7118">
        <v>13383</v>
      </c>
      <c r="C7118">
        <v>33</v>
      </c>
      <c r="D7118">
        <v>326.8</v>
      </c>
      <c r="E7118">
        <v>5.4</v>
      </c>
    </row>
    <row r="7119" spans="1:5" x14ac:dyDescent="0.2">
      <c r="A7119">
        <v>16120</v>
      </c>
      <c r="B7119">
        <v>13388</v>
      </c>
      <c r="C7119">
        <v>33</v>
      </c>
      <c r="D7119">
        <v>327.60000000000002</v>
      </c>
      <c r="E7119">
        <v>5.5</v>
      </c>
    </row>
    <row r="7120" spans="1:5" x14ac:dyDescent="0.2">
      <c r="A7120">
        <v>16130</v>
      </c>
      <c r="B7120">
        <v>13393</v>
      </c>
      <c r="C7120">
        <v>33</v>
      </c>
      <c r="D7120">
        <v>328.3</v>
      </c>
      <c r="E7120">
        <v>5.5</v>
      </c>
    </row>
    <row r="7121" spans="1:5" x14ac:dyDescent="0.2">
      <c r="A7121">
        <v>16140</v>
      </c>
      <c r="B7121">
        <v>13398</v>
      </c>
      <c r="C7121">
        <v>33</v>
      </c>
      <c r="D7121">
        <v>329</v>
      </c>
      <c r="E7121">
        <v>5.5</v>
      </c>
    </row>
    <row r="7122" spans="1:5" x14ac:dyDescent="0.2">
      <c r="A7122">
        <v>16150</v>
      </c>
      <c r="B7122">
        <v>13404</v>
      </c>
      <c r="C7122">
        <v>33</v>
      </c>
      <c r="D7122">
        <v>329.6</v>
      </c>
      <c r="E7122">
        <v>5.5</v>
      </c>
    </row>
    <row r="7123" spans="1:5" x14ac:dyDescent="0.2">
      <c r="A7123">
        <v>16160</v>
      </c>
      <c r="B7123">
        <v>13410</v>
      </c>
      <c r="C7123">
        <v>33</v>
      </c>
      <c r="D7123">
        <v>330.3</v>
      </c>
      <c r="E7123">
        <v>5.5</v>
      </c>
    </row>
    <row r="7124" spans="1:5" x14ac:dyDescent="0.2">
      <c r="A7124">
        <v>16170</v>
      </c>
      <c r="B7124">
        <v>13417</v>
      </c>
      <c r="C7124">
        <v>33</v>
      </c>
      <c r="D7124">
        <v>330.8</v>
      </c>
      <c r="E7124">
        <v>5.5</v>
      </c>
    </row>
    <row r="7125" spans="1:5" x14ac:dyDescent="0.2">
      <c r="A7125">
        <v>16180</v>
      </c>
      <c r="B7125">
        <v>13423</v>
      </c>
      <c r="C7125">
        <v>34</v>
      </c>
      <c r="D7125">
        <v>331.3</v>
      </c>
      <c r="E7125">
        <v>5.6</v>
      </c>
    </row>
    <row r="7126" spans="1:5" x14ac:dyDescent="0.2">
      <c r="A7126">
        <v>16190</v>
      </c>
      <c r="B7126">
        <v>13430</v>
      </c>
      <c r="C7126">
        <v>35</v>
      </c>
      <c r="D7126">
        <v>331.8</v>
      </c>
      <c r="E7126">
        <v>5.7</v>
      </c>
    </row>
    <row r="7127" spans="1:5" x14ac:dyDescent="0.2">
      <c r="A7127">
        <v>16200</v>
      </c>
      <c r="B7127">
        <v>13437</v>
      </c>
      <c r="C7127">
        <v>35</v>
      </c>
      <c r="D7127">
        <v>332.3</v>
      </c>
      <c r="E7127">
        <v>5.8</v>
      </c>
    </row>
    <row r="7128" spans="1:5" x14ac:dyDescent="0.2">
      <c r="A7128">
        <v>16210</v>
      </c>
      <c r="B7128">
        <v>13444</v>
      </c>
      <c r="C7128">
        <v>36</v>
      </c>
      <c r="D7128">
        <v>332.7</v>
      </c>
      <c r="E7128">
        <v>5.9</v>
      </c>
    </row>
    <row r="7129" spans="1:5" x14ac:dyDescent="0.2">
      <c r="A7129">
        <v>16220</v>
      </c>
      <c r="B7129">
        <v>13451</v>
      </c>
      <c r="C7129">
        <v>35</v>
      </c>
      <c r="D7129">
        <v>333.1</v>
      </c>
      <c r="E7129">
        <v>5.9</v>
      </c>
    </row>
    <row r="7130" spans="1:5" x14ac:dyDescent="0.2">
      <c r="A7130">
        <v>16230</v>
      </c>
      <c r="B7130">
        <v>13459</v>
      </c>
      <c r="C7130">
        <v>35</v>
      </c>
      <c r="D7130">
        <v>333.5</v>
      </c>
      <c r="E7130">
        <v>5.8</v>
      </c>
    </row>
    <row r="7131" spans="1:5" x14ac:dyDescent="0.2">
      <c r="A7131">
        <v>16240</v>
      </c>
      <c r="B7131">
        <v>13466</v>
      </c>
      <c r="C7131">
        <v>34</v>
      </c>
      <c r="D7131">
        <v>333.9</v>
      </c>
      <c r="E7131">
        <v>5.7</v>
      </c>
    </row>
    <row r="7132" spans="1:5" x14ac:dyDescent="0.2">
      <c r="A7132">
        <v>16250</v>
      </c>
      <c r="B7132">
        <v>13474</v>
      </c>
      <c r="C7132">
        <v>34</v>
      </c>
      <c r="D7132">
        <v>334.2</v>
      </c>
      <c r="E7132">
        <v>5.6</v>
      </c>
    </row>
    <row r="7133" spans="1:5" x14ac:dyDescent="0.2">
      <c r="A7133">
        <v>16260</v>
      </c>
      <c r="B7133">
        <v>13482</v>
      </c>
      <c r="C7133">
        <v>34</v>
      </c>
      <c r="D7133">
        <v>334.5</v>
      </c>
      <c r="E7133">
        <v>5.6</v>
      </c>
    </row>
    <row r="7134" spans="1:5" x14ac:dyDescent="0.2">
      <c r="A7134">
        <v>16270</v>
      </c>
      <c r="B7134">
        <v>13490</v>
      </c>
      <c r="C7134">
        <v>34</v>
      </c>
      <c r="D7134">
        <v>334.8</v>
      </c>
      <c r="E7134">
        <v>5.7</v>
      </c>
    </row>
    <row r="7135" spans="1:5" x14ac:dyDescent="0.2">
      <c r="A7135">
        <v>16280</v>
      </c>
      <c r="B7135">
        <v>13498</v>
      </c>
      <c r="C7135">
        <v>35</v>
      </c>
      <c r="D7135">
        <v>335</v>
      </c>
      <c r="E7135">
        <v>5.8</v>
      </c>
    </row>
    <row r="7136" spans="1:5" x14ac:dyDescent="0.2">
      <c r="A7136">
        <v>16290</v>
      </c>
      <c r="B7136">
        <v>13507</v>
      </c>
      <c r="C7136">
        <v>36</v>
      </c>
      <c r="D7136">
        <v>335.2</v>
      </c>
      <c r="E7136">
        <v>5.9</v>
      </c>
    </row>
    <row r="7137" spans="1:5" x14ac:dyDescent="0.2">
      <c r="A7137">
        <v>16300</v>
      </c>
      <c r="B7137">
        <v>13516</v>
      </c>
      <c r="C7137">
        <v>36</v>
      </c>
      <c r="D7137">
        <v>335.3</v>
      </c>
      <c r="E7137">
        <v>6</v>
      </c>
    </row>
    <row r="7138" spans="1:5" x14ac:dyDescent="0.2">
      <c r="A7138">
        <v>16310</v>
      </c>
      <c r="B7138">
        <v>13525</v>
      </c>
      <c r="C7138">
        <v>36</v>
      </c>
      <c r="D7138">
        <v>335.4</v>
      </c>
      <c r="E7138">
        <v>6</v>
      </c>
    </row>
    <row r="7139" spans="1:5" x14ac:dyDescent="0.2">
      <c r="A7139">
        <v>16320</v>
      </c>
      <c r="B7139">
        <v>13535</v>
      </c>
      <c r="C7139">
        <v>36</v>
      </c>
      <c r="D7139">
        <v>335.4</v>
      </c>
      <c r="E7139">
        <v>5.9</v>
      </c>
    </row>
    <row r="7140" spans="1:5" x14ac:dyDescent="0.2">
      <c r="A7140">
        <v>16330</v>
      </c>
      <c r="B7140">
        <v>13544</v>
      </c>
      <c r="C7140">
        <v>36</v>
      </c>
      <c r="D7140">
        <v>335.4</v>
      </c>
      <c r="E7140">
        <v>5.9</v>
      </c>
    </row>
    <row r="7141" spans="1:5" x14ac:dyDescent="0.2">
      <c r="A7141">
        <v>16340</v>
      </c>
      <c r="B7141">
        <v>13554</v>
      </c>
      <c r="C7141">
        <v>36</v>
      </c>
      <c r="D7141">
        <v>335.5</v>
      </c>
      <c r="E7141">
        <v>5.9</v>
      </c>
    </row>
    <row r="7142" spans="1:5" x14ac:dyDescent="0.2">
      <c r="A7142">
        <v>16350</v>
      </c>
      <c r="B7142">
        <v>13563</v>
      </c>
      <c r="C7142">
        <v>36</v>
      </c>
      <c r="D7142">
        <v>335.6</v>
      </c>
      <c r="E7142">
        <v>6</v>
      </c>
    </row>
    <row r="7143" spans="1:5" x14ac:dyDescent="0.2">
      <c r="A7143">
        <v>16360</v>
      </c>
      <c r="B7143">
        <v>13572</v>
      </c>
      <c r="C7143">
        <v>36</v>
      </c>
      <c r="D7143">
        <v>335.7</v>
      </c>
      <c r="E7143">
        <v>6.1</v>
      </c>
    </row>
    <row r="7144" spans="1:5" x14ac:dyDescent="0.2">
      <c r="A7144">
        <v>16370</v>
      </c>
      <c r="B7144">
        <v>13581</v>
      </c>
      <c r="C7144">
        <v>37</v>
      </c>
      <c r="D7144">
        <v>335.9</v>
      </c>
      <c r="E7144">
        <v>6.2</v>
      </c>
    </row>
    <row r="7145" spans="1:5" x14ac:dyDescent="0.2">
      <c r="A7145">
        <v>16380</v>
      </c>
      <c r="B7145">
        <v>13588</v>
      </c>
      <c r="C7145">
        <v>38</v>
      </c>
      <c r="D7145">
        <v>336.2</v>
      </c>
      <c r="E7145">
        <v>6.3</v>
      </c>
    </row>
    <row r="7146" spans="1:5" x14ac:dyDescent="0.2">
      <c r="A7146">
        <v>16390</v>
      </c>
      <c r="B7146">
        <v>13595</v>
      </c>
      <c r="C7146">
        <v>38</v>
      </c>
      <c r="D7146">
        <v>336.6</v>
      </c>
      <c r="E7146">
        <v>6.3</v>
      </c>
    </row>
    <row r="7147" spans="1:5" x14ac:dyDescent="0.2">
      <c r="A7147">
        <v>16400</v>
      </c>
      <c r="B7147">
        <v>13602</v>
      </c>
      <c r="C7147">
        <v>37</v>
      </c>
      <c r="D7147">
        <v>337.2</v>
      </c>
      <c r="E7147">
        <v>6.2</v>
      </c>
    </row>
    <row r="7148" spans="1:5" x14ac:dyDescent="0.2">
      <c r="A7148">
        <v>16410</v>
      </c>
      <c r="B7148">
        <v>13608</v>
      </c>
      <c r="C7148">
        <v>37</v>
      </c>
      <c r="D7148">
        <v>337.8</v>
      </c>
      <c r="E7148">
        <v>6.1</v>
      </c>
    </row>
    <row r="7149" spans="1:5" x14ac:dyDescent="0.2">
      <c r="A7149">
        <v>16420</v>
      </c>
      <c r="B7149">
        <v>13613</v>
      </c>
      <c r="C7149">
        <v>36</v>
      </c>
      <c r="D7149">
        <v>338.6</v>
      </c>
      <c r="E7149">
        <v>6.1</v>
      </c>
    </row>
    <row r="7150" spans="1:5" x14ac:dyDescent="0.2">
      <c r="A7150">
        <v>16430</v>
      </c>
      <c r="B7150">
        <v>13618</v>
      </c>
      <c r="C7150">
        <v>36</v>
      </c>
      <c r="D7150">
        <v>339.4</v>
      </c>
      <c r="E7150">
        <v>6</v>
      </c>
    </row>
    <row r="7151" spans="1:5" x14ac:dyDescent="0.2">
      <c r="A7151">
        <v>16440</v>
      </c>
      <c r="B7151">
        <v>13623</v>
      </c>
      <c r="C7151">
        <v>36</v>
      </c>
      <c r="D7151">
        <v>340.2</v>
      </c>
      <c r="E7151">
        <v>6</v>
      </c>
    </row>
    <row r="7152" spans="1:5" x14ac:dyDescent="0.2">
      <c r="A7152">
        <v>16450</v>
      </c>
      <c r="B7152">
        <v>13627</v>
      </c>
      <c r="C7152">
        <v>37</v>
      </c>
      <c r="D7152">
        <v>341</v>
      </c>
      <c r="E7152">
        <v>6.1</v>
      </c>
    </row>
    <row r="7153" spans="1:5" x14ac:dyDescent="0.2">
      <c r="A7153">
        <v>16460</v>
      </c>
      <c r="B7153">
        <v>13632</v>
      </c>
      <c r="C7153">
        <v>37</v>
      </c>
      <c r="D7153">
        <v>341.9</v>
      </c>
      <c r="E7153">
        <v>6.2</v>
      </c>
    </row>
    <row r="7154" spans="1:5" x14ac:dyDescent="0.2">
      <c r="A7154">
        <v>16470</v>
      </c>
      <c r="B7154">
        <v>13636</v>
      </c>
      <c r="C7154">
        <v>39</v>
      </c>
      <c r="D7154">
        <v>342.8</v>
      </c>
      <c r="E7154">
        <v>6.4</v>
      </c>
    </row>
    <row r="7155" spans="1:5" x14ac:dyDescent="0.2">
      <c r="A7155">
        <v>16480</v>
      </c>
      <c r="B7155">
        <v>13641</v>
      </c>
      <c r="C7155">
        <v>40</v>
      </c>
      <c r="D7155">
        <v>343.6</v>
      </c>
      <c r="E7155">
        <v>6.7</v>
      </c>
    </row>
    <row r="7156" spans="1:5" x14ac:dyDescent="0.2">
      <c r="A7156">
        <v>16490</v>
      </c>
      <c r="B7156">
        <v>13646</v>
      </c>
      <c r="C7156">
        <v>41</v>
      </c>
      <c r="D7156">
        <v>344.4</v>
      </c>
      <c r="E7156">
        <v>6.9</v>
      </c>
    </row>
    <row r="7157" spans="1:5" x14ac:dyDescent="0.2">
      <c r="A7157">
        <v>16500</v>
      </c>
      <c r="B7157">
        <v>13652</v>
      </c>
      <c r="C7157">
        <v>42</v>
      </c>
      <c r="D7157">
        <v>345.1</v>
      </c>
      <c r="E7157">
        <v>7</v>
      </c>
    </row>
    <row r="7158" spans="1:5" x14ac:dyDescent="0.2">
      <c r="A7158">
        <v>16510</v>
      </c>
      <c r="B7158">
        <v>13657</v>
      </c>
      <c r="C7158">
        <v>42</v>
      </c>
      <c r="D7158">
        <v>345.7</v>
      </c>
      <c r="E7158">
        <v>7</v>
      </c>
    </row>
    <row r="7159" spans="1:5" x14ac:dyDescent="0.2">
      <c r="A7159">
        <v>16520</v>
      </c>
      <c r="B7159">
        <v>13664</v>
      </c>
      <c r="C7159">
        <v>42</v>
      </c>
      <c r="D7159">
        <v>346.3</v>
      </c>
      <c r="E7159">
        <v>7</v>
      </c>
    </row>
    <row r="7160" spans="1:5" x14ac:dyDescent="0.2">
      <c r="A7160">
        <v>16530</v>
      </c>
      <c r="B7160">
        <v>13671</v>
      </c>
      <c r="C7160">
        <v>41</v>
      </c>
      <c r="D7160">
        <v>346.8</v>
      </c>
      <c r="E7160">
        <v>6.9</v>
      </c>
    </row>
    <row r="7161" spans="1:5" x14ac:dyDescent="0.2">
      <c r="A7161">
        <v>16540</v>
      </c>
      <c r="B7161">
        <v>13678</v>
      </c>
      <c r="C7161">
        <v>41</v>
      </c>
      <c r="D7161">
        <v>347.2</v>
      </c>
      <c r="E7161">
        <v>6.8</v>
      </c>
    </row>
    <row r="7162" spans="1:5" x14ac:dyDescent="0.2">
      <c r="A7162">
        <v>16550</v>
      </c>
      <c r="B7162">
        <v>13686</v>
      </c>
      <c r="C7162">
        <v>40</v>
      </c>
      <c r="D7162">
        <v>347.5</v>
      </c>
      <c r="E7162">
        <v>6.7</v>
      </c>
    </row>
    <row r="7163" spans="1:5" x14ac:dyDescent="0.2">
      <c r="A7163">
        <v>16560</v>
      </c>
      <c r="B7163">
        <v>13694</v>
      </c>
      <c r="C7163">
        <v>40</v>
      </c>
      <c r="D7163">
        <v>347.8</v>
      </c>
      <c r="E7163">
        <v>6.7</v>
      </c>
    </row>
    <row r="7164" spans="1:5" x14ac:dyDescent="0.2">
      <c r="A7164">
        <v>16570</v>
      </c>
      <c r="B7164">
        <v>13702</v>
      </c>
      <c r="C7164">
        <v>40</v>
      </c>
      <c r="D7164">
        <v>348.1</v>
      </c>
      <c r="E7164">
        <v>6.7</v>
      </c>
    </row>
    <row r="7165" spans="1:5" x14ac:dyDescent="0.2">
      <c r="A7165">
        <v>16580</v>
      </c>
      <c r="B7165">
        <v>13710</v>
      </c>
      <c r="C7165">
        <v>41</v>
      </c>
      <c r="D7165">
        <v>348.4</v>
      </c>
      <c r="E7165">
        <v>6.8</v>
      </c>
    </row>
    <row r="7166" spans="1:5" x14ac:dyDescent="0.2">
      <c r="A7166">
        <v>16590</v>
      </c>
      <c r="B7166">
        <v>13718</v>
      </c>
      <c r="C7166">
        <v>41</v>
      </c>
      <c r="D7166">
        <v>348.7</v>
      </c>
      <c r="E7166">
        <v>7</v>
      </c>
    </row>
    <row r="7167" spans="1:5" x14ac:dyDescent="0.2">
      <c r="A7167">
        <v>16600</v>
      </c>
      <c r="B7167">
        <v>13726</v>
      </c>
      <c r="C7167">
        <v>42</v>
      </c>
      <c r="D7167">
        <v>349</v>
      </c>
      <c r="E7167">
        <v>7.1</v>
      </c>
    </row>
    <row r="7168" spans="1:5" x14ac:dyDescent="0.2">
      <c r="A7168">
        <v>16610</v>
      </c>
      <c r="B7168">
        <v>13733</v>
      </c>
      <c r="C7168">
        <v>43</v>
      </c>
      <c r="D7168">
        <v>349.3</v>
      </c>
      <c r="E7168">
        <v>7.1</v>
      </c>
    </row>
    <row r="7169" spans="1:5" x14ac:dyDescent="0.2">
      <c r="A7169">
        <v>16620</v>
      </c>
      <c r="B7169">
        <v>13741</v>
      </c>
      <c r="C7169">
        <v>43</v>
      </c>
      <c r="D7169">
        <v>349.7</v>
      </c>
      <c r="E7169">
        <v>7.1</v>
      </c>
    </row>
    <row r="7170" spans="1:5" x14ac:dyDescent="0.2">
      <c r="A7170">
        <v>16630</v>
      </c>
      <c r="B7170">
        <v>13748</v>
      </c>
      <c r="C7170">
        <v>42</v>
      </c>
      <c r="D7170">
        <v>350.1</v>
      </c>
      <c r="E7170">
        <v>7</v>
      </c>
    </row>
    <row r="7171" spans="1:5" x14ac:dyDescent="0.2">
      <c r="A7171">
        <v>16640</v>
      </c>
      <c r="B7171">
        <v>13755</v>
      </c>
      <c r="C7171">
        <v>41</v>
      </c>
      <c r="D7171">
        <v>350.6</v>
      </c>
      <c r="E7171">
        <v>6.9</v>
      </c>
    </row>
    <row r="7172" spans="1:5" x14ac:dyDescent="0.2">
      <c r="A7172">
        <v>16650</v>
      </c>
      <c r="B7172">
        <v>13762</v>
      </c>
      <c r="C7172">
        <v>40</v>
      </c>
      <c r="D7172">
        <v>351.1</v>
      </c>
      <c r="E7172">
        <v>6.7</v>
      </c>
    </row>
    <row r="7173" spans="1:5" x14ac:dyDescent="0.2">
      <c r="A7173">
        <v>16660</v>
      </c>
      <c r="B7173">
        <v>13768</v>
      </c>
      <c r="C7173">
        <v>39</v>
      </c>
      <c r="D7173">
        <v>351.6</v>
      </c>
      <c r="E7173">
        <v>6.6</v>
      </c>
    </row>
    <row r="7174" spans="1:5" x14ac:dyDescent="0.2">
      <c r="A7174">
        <v>16670</v>
      </c>
      <c r="B7174">
        <v>13774</v>
      </c>
      <c r="C7174">
        <v>39</v>
      </c>
      <c r="D7174">
        <v>352.3</v>
      </c>
      <c r="E7174">
        <v>6.5</v>
      </c>
    </row>
    <row r="7175" spans="1:5" x14ac:dyDescent="0.2">
      <c r="A7175">
        <v>16680</v>
      </c>
      <c r="B7175">
        <v>13780</v>
      </c>
      <c r="C7175">
        <v>39</v>
      </c>
      <c r="D7175">
        <v>352.9</v>
      </c>
      <c r="E7175">
        <v>6.5</v>
      </c>
    </row>
    <row r="7176" spans="1:5" x14ac:dyDescent="0.2">
      <c r="A7176">
        <v>16690</v>
      </c>
      <c r="B7176">
        <v>13785</v>
      </c>
      <c r="C7176">
        <v>39</v>
      </c>
      <c r="D7176">
        <v>353.7</v>
      </c>
      <c r="E7176">
        <v>6.5</v>
      </c>
    </row>
    <row r="7177" spans="1:5" x14ac:dyDescent="0.2">
      <c r="A7177">
        <v>16700</v>
      </c>
      <c r="B7177">
        <v>13790</v>
      </c>
      <c r="C7177">
        <v>39</v>
      </c>
      <c r="D7177">
        <v>354.4</v>
      </c>
      <c r="E7177">
        <v>6.6</v>
      </c>
    </row>
    <row r="7178" spans="1:5" x14ac:dyDescent="0.2">
      <c r="A7178">
        <v>16710</v>
      </c>
      <c r="B7178">
        <v>13795</v>
      </c>
      <c r="C7178">
        <v>40</v>
      </c>
      <c r="D7178">
        <v>355.3</v>
      </c>
      <c r="E7178">
        <v>6.7</v>
      </c>
    </row>
    <row r="7179" spans="1:5" x14ac:dyDescent="0.2">
      <c r="A7179">
        <v>16720</v>
      </c>
      <c r="B7179">
        <v>13800</v>
      </c>
      <c r="C7179">
        <v>40</v>
      </c>
      <c r="D7179">
        <v>356.1</v>
      </c>
      <c r="E7179">
        <v>6.7</v>
      </c>
    </row>
    <row r="7180" spans="1:5" x14ac:dyDescent="0.2">
      <c r="A7180">
        <v>16730</v>
      </c>
      <c r="B7180">
        <v>13804</v>
      </c>
      <c r="C7180">
        <v>40</v>
      </c>
      <c r="D7180">
        <v>357.1</v>
      </c>
      <c r="E7180">
        <v>6.8</v>
      </c>
    </row>
    <row r="7181" spans="1:5" x14ac:dyDescent="0.2">
      <c r="A7181">
        <v>16740</v>
      </c>
      <c r="B7181">
        <v>13808</v>
      </c>
      <c r="C7181">
        <v>40</v>
      </c>
      <c r="D7181">
        <v>358.1</v>
      </c>
      <c r="E7181">
        <v>6.7</v>
      </c>
    </row>
    <row r="7182" spans="1:5" x14ac:dyDescent="0.2">
      <c r="A7182">
        <v>16750</v>
      </c>
      <c r="B7182">
        <v>13811</v>
      </c>
      <c r="C7182">
        <v>39</v>
      </c>
      <c r="D7182">
        <v>359.1</v>
      </c>
      <c r="E7182">
        <v>6.6</v>
      </c>
    </row>
    <row r="7183" spans="1:5" x14ac:dyDescent="0.2">
      <c r="A7183">
        <v>16760</v>
      </c>
      <c r="B7183">
        <v>13815</v>
      </c>
      <c r="C7183">
        <v>38</v>
      </c>
      <c r="D7183">
        <v>360.2</v>
      </c>
      <c r="E7183">
        <v>6.4</v>
      </c>
    </row>
    <row r="7184" spans="1:5" x14ac:dyDescent="0.2">
      <c r="A7184">
        <v>16770</v>
      </c>
      <c r="B7184">
        <v>13818</v>
      </c>
      <c r="C7184">
        <v>37</v>
      </c>
      <c r="D7184">
        <v>361.2</v>
      </c>
      <c r="E7184">
        <v>6.2</v>
      </c>
    </row>
    <row r="7185" spans="1:5" x14ac:dyDescent="0.2">
      <c r="A7185">
        <v>16780</v>
      </c>
      <c r="B7185">
        <v>13821</v>
      </c>
      <c r="C7185">
        <v>36</v>
      </c>
      <c r="D7185">
        <v>362.3</v>
      </c>
      <c r="E7185">
        <v>6.1</v>
      </c>
    </row>
    <row r="7186" spans="1:5" x14ac:dyDescent="0.2">
      <c r="A7186">
        <v>16790</v>
      </c>
      <c r="B7186">
        <v>13824</v>
      </c>
      <c r="C7186">
        <v>35</v>
      </c>
      <c r="D7186">
        <v>363.5</v>
      </c>
      <c r="E7186">
        <v>6</v>
      </c>
    </row>
    <row r="7187" spans="1:5" x14ac:dyDescent="0.2">
      <c r="A7187">
        <v>16800</v>
      </c>
      <c r="B7187">
        <v>13827</v>
      </c>
      <c r="C7187">
        <v>35</v>
      </c>
      <c r="D7187">
        <v>364.6</v>
      </c>
      <c r="E7187">
        <v>6</v>
      </c>
    </row>
    <row r="7188" spans="1:5" x14ac:dyDescent="0.2">
      <c r="A7188">
        <v>16810</v>
      </c>
      <c r="B7188">
        <v>13830</v>
      </c>
      <c r="C7188">
        <v>35</v>
      </c>
      <c r="D7188">
        <v>365.7</v>
      </c>
      <c r="E7188">
        <v>6</v>
      </c>
    </row>
    <row r="7189" spans="1:5" x14ac:dyDescent="0.2">
      <c r="A7189">
        <v>16820</v>
      </c>
      <c r="B7189">
        <v>13834</v>
      </c>
      <c r="C7189">
        <v>35</v>
      </c>
      <c r="D7189">
        <v>366.8</v>
      </c>
      <c r="E7189">
        <v>6</v>
      </c>
    </row>
    <row r="7190" spans="1:5" x14ac:dyDescent="0.2">
      <c r="A7190">
        <v>16830</v>
      </c>
      <c r="B7190">
        <v>13837</v>
      </c>
      <c r="C7190">
        <v>36</v>
      </c>
      <c r="D7190">
        <v>367.9</v>
      </c>
      <c r="E7190">
        <v>6.1</v>
      </c>
    </row>
    <row r="7191" spans="1:5" x14ac:dyDescent="0.2">
      <c r="A7191">
        <v>16840</v>
      </c>
      <c r="B7191">
        <v>13841</v>
      </c>
      <c r="C7191">
        <v>36</v>
      </c>
      <c r="D7191">
        <v>369</v>
      </c>
      <c r="E7191">
        <v>6.1</v>
      </c>
    </row>
    <row r="7192" spans="1:5" x14ac:dyDescent="0.2">
      <c r="A7192">
        <v>16850</v>
      </c>
      <c r="B7192">
        <v>13844</v>
      </c>
      <c r="C7192">
        <v>36</v>
      </c>
      <c r="D7192">
        <v>370</v>
      </c>
      <c r="E7192">
        <v>6.1</v>
      </c>
    </row>
    <row r="7193" spans="1:5" x14ac:dyDescent="0.2">
      <c r="A7193">
        <v>16860</v>
      </c>
      <c r="B7193">
        <v>13848</v>
      </c>
      <c r="C7193">
        <v>35</v>
      </c>
      <c r="D7193">
        <v>371</v>
      </c>
      <c r="E7193">
        <v>6</v>
      </c>
    </row>
    <row r="7194" spans="1:5" x14ac:dyDescent="0.2">
      <c r="A7194">
        <v>16870</v>
      </c>
      <c r="B7194">
        <v>13853</v>
      </c>
      <c r="C7194">
        <v>35</v>
      </c>
      <c r="D7194">
        <v>371.9</v>
      </c>
      <c r="E7194">
        <v>5.9</v>
      </c>
    </row>
    <row r="7195" spans="1:5" x14ac:dyDescent="0.2">
      <c r="A7195">
        <v>16880</v>
      </c>
      <c r="B7195">
        <v>13857</v>
      </c>
      <c r="C7195">
        <v>34</v>
      </c>
      <c r="D7195">
        <v>372.8</v>
      </c>
      <c r="E7195">
        <v>5.9</v>
      </c>
    </row>
    <row r="7196" spans="1:5" x14ac:dyDescent="0.2">
      <c r="A7196">
        <v>16890</v>
      </c>
      <c r="B7196">
        <v>13862</v>
      </c>
      <c r="C7196">
        <v>34</v>
      </c>
      <c r="D7196">
        <v>373.6</v>
      </c>
      <c r="E7196">
        <v>5.9</v>
      </c>
    </row>
    <row r="7197" spans="1:5" x14ac:dyDescent="0.2">
      <c r="A7197">
        <v>16900</v>
      </c>
      <c r="B7197">
        <v>13867</v>
      </c>
      <c r="C7197">
        <v>35</v>
      </c>
      <c r="D7197">
        <v>374.4</v>
      </c>
      <c r="E7197">
        <v>6</v>
      </c>
    </row>
    <row r="7198" spans="1:5" x14ac:dyDescent="0.2">
      <c r="A7198">
        <v>16910</v>
      </c>
      <c r="B7198">
        <v>13873</v>
      </c>
      <c r="C7198">
        <v>36</v>
      </c>
      <c r="D7198">
        <v>375</v>
      </c>
      <c r="E7198">
        <v>6.1</v>
      </c>
    </row>
    <row r="7199" spans="1:5" x14ac:dyDescent="0.2">
      <c r="A7199">
        <v>16920</v>
      </c>
      <c r="B7199">
        <v>13879</v>
      </c>
      <c r="C7199">
        <v>37</v>
      </c>
      <c r="D7199">
        <v>375.7</v>
      </c>
      <c r="E7199">
        <v>6.3</v>
      </c>
    </row>
    <row r="7200" spans="1:5" x14ac:dyDescent="0.2">
      <c r="A7200">
        <v>16930</v>
      </c>
      <c r="B7200">
        <v>13886</v>
      </c>
      <c r="C7200">
        <v>37</v>
      </c>
      <c r="D7200">
        <v>376.2</v>
      </c>
      <c r="E7200">
        <v>6.3</v>
      </c>
    </row>
    <row r="7201" spans="1:5" x14ac:dyDescent="0.2">
      <c r="A7201">
        <v>16940</v>
      </c>
      <c r="B7201">
        <v>13892</v>
      </c>
      <c r="C7201">
        <v>37</v>
      </c>
      <c r="D7201">
        <v>376.7</v>
      </c>
      <c r="E7201">
        <v>6.4</v>
      </c>
    </row>
    <row r="7202" spans="1:5" x14ac:dyDescent="0.2">
      <c r="A7202">
        <v>16950</v>
      </c>
      <c r="B7202">
        <v>13900</v>
      </c>
      <c r="C7202">
        <v>37</v>
      </c>
      <c r="D7202">
        <v>377.1</v>
      </c>
      <c r="E7202">
        <v>6.3</v>
      </c>
    </row>
    <row r="7203" spans="1:5" x14ac:dyDescent="0.2">
      <c r="A7203">
        <v>16960</v>
      </c>
      <c r="B7203">
        <v>13908</v>
      </c>
      <c r="C7203">
        <v>36</v>
      </c>
      <c r="D7203">
        <v>377.4</v>
      </c>
      <c r="E7203">
        <v>6.2</v>
      </c>
    </row>
    <row r="7204" spans="1:5" x14ac:dyDescent="0.2">
      <c r="A7204">
        <v>16970</v>
      </c>
      <c r="B7204">
        <v>13916</v>
      </c>
      <c r="C7204">
        <v>36</v>
      </c>
      <c r="D7204">
        <v>377.6</v>
      </c>
      <c r="E7204">
        <v>6.2</v>
      </c>
    </row>
    <row r="7205" spans="1:5" x14ac:dyDescent="0.2">
      <c r="A7205">
        <v>16980</v>
      </c>
      <c r="B7205">
        <v>13926</v>
      </c>
      <c r="C7205">
        <v>36</v>
      </c>
      <c r="D7205">
        <v>377.7</v>
      </c>
      <c r="E7205">
        <v>6.1</v>
      </c>
    </row>
    <row r="7206" spans="1:5" x14ac:dyDescent="0.2">
      <c r="A7206">
        <v>16990</v>
      </c>
      <c r="B7206">
        <v>13936</v>
      </c>
      <c r="C7206">
        <v>36</v>
      </c>
      <c r="D7206">
        <v>377.5</v>
      </c>
      <c r="E7206">
        <v>6.2</v>
      </c>
    </row>
    <row r="7207" spans="1:5" x14ac:dyDescent="0.2">
      <c r="A7207">
        <v>17000</v>
      </c>
      <c r="B7207">
        <v>13947</v>
      </c>
      <c r="C7207">
        <v>36</v>
      </c>
      <c r="D7207">
        <v>377.3</v>
      </c>
      <c r="E7207">
        <v>6.2</v>
      </c>
    </row>
    <row r="7208" spans="1:5" x14ac:dyDescent="0.2">
      <c r="A7208">
        <v>17010</v>
      </c>
      <c r="B7208">
        <v>13960</v>
      </c>
      <c r="C7208">
        <v>37</v>
      </c>
      <c r="D7208">
        <v>376.8</v>
      </c>
      <c r="E7208">
        <v>6.4</v>
      </c>
    </row>
    <row r="7209" spans="1:5" x14ac:dyDescent="0.2">
      <c r="A7209">
        <v>17020</v>
      </c>
      <c r="B7209">
        <v>13974</v>
      </c>
      <c r="C7209">
        <v>38</v>
      </c>
      <c r="D7209">
        <v>376.1</v>
      </c>
      <c r="E7209">
        <v>6.6</v>
      </c>
    </row>
    <row r="7210" spans="1:5" x14ac:dyDescent="0.2">
      <c r="A7210">
        <v>17030</v>
      </c>
      <c r="B7210">
        <v>13988</v>
      </c>
      <c r="C7210">
        <v>39</v>
      </c>
      <c r="D7210">
        <v>375.3</v>
      </c>
      <c r="E7210">
        <v>6.7</v>
      </c>
    </row>
    <row r="7211" spans="1:5" x14ac:dyDescent="0.2">
      <c r="A7211">
        <v>17040</v>
      </c>
      <c r="B7211">
        <v>14005</v>
      </c>
      <c r="C7211">
        <v>40</v>
      </c>
      <c r="D7211">
        <v>374.1</v>
      </c>
      <c r="E7211">
        <v>6.8</v>
      </c>
    </row>
    <row r="7212" spans="1:5" x14ac:dyDescent="0.2">
      <c r="A7212">
        <v>17050</v>
      </c>
      <c r="B7212">
        <v>14022</v>
      </c>
      <c r="C7212">
        <v>41</v>
      </c>
      <c r="D7212">
        <v>372.8</v>
      </c>
      <c r="E7212">
        <v>7</v>
      </c>
    </row>
    <row r="7213" spans="1:5" x14ac:dyDescent="0.2">
      <c r="A7213">
        <v>17060</v>
      </c>
      <c r="B7213">
        <v>14041</v>
      </c>
      <c r="C7213">
        <v>42</v>
      </c>
      <c r="D7213">
        <v>371.2</v>
      </c>
      <c r="E7213">
        <v>7.1</v>
      </c>
    </row>
    <row r="7214" spans="1:5" x14ac:dyDescent="0.2">
      <c r="A7214">
        <v>17070</v>
      </c>
      <c r="B7214">
        <v>14061</v>
      </c>
      <c r="C7214">
        <v>43</v>
      </c>
      <c r="D7214">
        <v>369.5</v>
      </c>
      <c r="E7214">
        <v>7.4</v>
      </c>
    </row>
    <row r="7215" spans="1:5" x14ac:dyDescent="0.2">
      <c r="A7215">
        <v>17080</v>
      </c>
      <c r="B7215">
        <v>14080</v>
      </c>
      <c r="C7215">
        <v>45</v>
      </c>
      <c r="D7215">
        <v>367.9</v>
      </c>
      <c r="E7215">
        <v>7.7</v>
      </c>
    </row>
    <row r="7216" spans="1:5" x14ac:dyDescent="0.2">
      <c r="A7216">
        <v>17090</v>
      </c>
      <c r="B7216">
        <v>14099</v>
      </c>
      <c r="C7216">
        <v>47</v>
      </c>
      <c r="D7216">
        <v>366.4</v>
      </c>
      <c r="E7216">
        <v>8</v>
      </c>
    </row>
    <row r="7217" spans="1:5" x14ac:dyDescent="0.2">
      <c r="A7217">
        <v>17100</v>
      </c>
      <c r="B7217">
        <v>14116</v>
      </c>
      <c r="C7217">
        <v>48</v>
      </c>
      <c r="D7217">
        <v>365.2</v>
      </c>
      <c r="E7217">
        <v>8.1999999999999993</v>
      </c>
    </row>
    <row r="7218" spans="1:5" x14ac:dyDescent="0.2">
      <c r="A7218">
        <v>17110</v>
      </c>
      <c r="B7218">
        <v>14129</v>
      </c>
      <c r="C7218">
        <v>48</v>
      </c>
      <c r="D7218">
        <v>364.5</v>
      </c>
      <c r="E7218">
        <v>8.1</v>
      </c>
    </row>
    <row r="7219" spans="1:5" x14ac:dyDescent="0.2">
      <c r="A7219">
        <v>17120</v>
      </c>
      <c r="B7219">
        <v>14140</v>
      </c>
      <c r="C7219">
        <v>46</v>
      </c>
      <c r="D7219">
        <v>364.3</v>
      </c>
      <c r="E7219">
        <v>7.8</v>
      </c>
    </row>
    <row r="7220" spans="1:5" x14ac:dyDescent="0.2">
      <c r="A7220">
        <v>17130</v>
      </c>
      <c r="B7220">
        <v>14148</v>
      </c>
      <c r="C7220">
        <v>43</v>
      </c>
      <c r="D7220">
        <v>364.6</v>
      </c>
      <c r="E7220">
        <v>7.4</v>
      </c>
    </row>
    <row r="7221" spans="1:5" x14ac:dyDescent="0.2">
      <c r="A7221">
        <v>17140</v>
      </c>
      <c r="B7221">
        <v>14154</v>
      </c>
      <c r="C7221">
        <v>41</v>
      </c>
      <c r="D7221">
        <v>365.3</v>
      </c>
      <c r="E7221">
        <v>7</v>
      </c>
    </row>
    <row r="7222" spans="1:5" x14ac:dyDescent="0.2">
      <c r="A7222">
        <v>17150</v>
      </c>
      <c r="B7222">
        <v>14157</v>
      </c>
      <c r="C7222">
        <v>39</v>
      </c>
      <c r="D7222">
        <v>366.3</v>
      </c>
      <c r="E7222">
        <v>6.7</v>
      </c>
    </row>
    <row r="7223" spans="1:5" x14ac:dyDescent="0.2">
      <c r="A7223">
        <v>17160</v>
      </c>
      <c r="B7223">
        <v>14159</v>
      </c>
      <c r="C7223">
        <v>40</v>
      </c>
      <c r="D7223">
        <v>367.7</v>
      </c>
      <c r="E7223">
        <v>6.8</v>
      </c>
    </row>
    <row r="7224" spans="1:5" x14ac:dyDescent="0.2">
      <c r="A7224">
        <v>17170</v>
      </c>
      <c r="B7224">
        <v>14159</v>
      </c>
      <c r="C7224">
        <v>42</v>
      </c>
      <c r="D7224">
        <v>369.3</v>
      </c>
      <c r="E7224">
        <v>7.1</v>
      </c>
    </row>
    <row r="7225" spans="1:5" x14ac:dyDescent="0.2">
      <c r="A7225">
        <v>17180</v>
      </c>
      <c r="B7225">
        <v>14158</v>
      </c>
      <c r="C7225">
        <v>45</v>
      </c>
      <c r="D7225">
        <v>371.2</v>
      </c>
      <c r="E7225">
        <v>7.7</v>
      </c>
    </row>
    <row r="7226" spans="1:5" x14ac:dyDescent="0.2">
      <c r="A7226">
        <v>17190</v>
      </c>
      <c r="B7226">
        <v>14157</v>
      </c>
      <c r="C7226">
        <v>49</v>
      </c>
      <c r="D7226">
        <v>373.1</v>
      </c>
      <c r="E7226">
        <v>8.3000000000000007</v>
      </c>
    </row>
    <row r="7227" spans="1:5" x14ac:dyDescent="0.2">
      <c r="A7227">
        <v>17200</v>
      </c>
      <c r="B7227">
        <v>14154</v>
      </c>
      <c r="C7227">
        <v>52</v>
      </c>
      <c r="D7227">
        <v>375.1</v>
      </c>
      <c r="E7227">
        <v>8.8000000000000007</v>
      </c>
    </row>
    <row r="7228" spans="1:5" x14ac:dyDescent="0.2">
      <c r="A7228">
        <v>17210</v>
      </c>
      <c r="B7228">
        <v>14152</v>
      </c>
      <c r="C7228">
        <v>53</v>
      </c>
      <c r="D7228">
        <v>377.2</v>
      </c>
      <c r="E7228">
        <v>9.1</v>
      </c>
    </row>
    <row r="7229" spans="1:5" x14ac:dyDescent="0.2">
      <c r="A7229">
        <v>17220</v>
      </c>
      <c r="B7229">
        <v>14150</v>
      </c>
      <c r="C7229">
        <v>53</v>
      </c>
      <c r="D7229">
        <v>379.2</v>
      </c>
      <c r="E7229">
        <v>9</v>
      </c>
    </row>
    <row r="7230" spans="1:5" x14ac:dyDescent="0.2">
      <c r="A7230">
        <v>17230</v>
      </c>
      <c r="B7230">
        <v>14149</v>
      </c>
      <c r="C7230">
        <v>50</v>
      </c>
      <c r="D7230">
        <v>381.1</v>
      </c>
      <c r="E7230">
        <v>8.5</v>
      </c>
    </row>
    <row r="7231" spans="1:5" x14ac:dyDescent="0.2">
      <c r="A7231">
        <v>17240</v>
      </c>
      <c r="B7231">
        <v>14148</v>
      </c>
      <c r="C7231">
        <v>46</v>
      </c>
      <c r="D7231">
        <v>382.9</v>
      </c>
      <c r="E7231">
        <v>7.9</v>
      </c>
    </row>
    <row r="7232" spans="1:5" x14ac:dyDescent="0.2">
      <c r="A7232">
        <v>17250</v>
      </c>
      <c r="B7232">
        <v>14148</v>
      </c>
      <c r="C7232">
        <v>42</v>
      </c>
      <c r="D7232">
        <v>384.5</v>
      </c>
      <c r="E7232">
        <v>7.2</v>
      </c>
    </row>
    <row r="7233" spans="1:5" x14ac:dyDescent="0.2">
      <c r="A7233">
        <v>17260</v>
      </c>
      <c r="B7233">
        <v>14150</v>
      </c>
      <c r="C7233">
        <v>41</v>
      </c>
      <c r="D7233">
        <v>385.9</v>
      </c>
      <c r="E7233">
        <v>7.1</v>
      </c>
    </row>
    <row r="7234" spans="1:5" x14ac:dyDescent="0.2">
      <c r="A7234">
        <v>17270</v>
      </c>
      <c r="B7234">
        <v>14153</v>
      </c>
      <c r="C7234">
        <v>43</v>
      </c>
      <c r="D7234">
        <v>387.1</v>
      </c>
      <c r="E7234">
        <v>7.5</v>
      </c>
    </row>
    <row r="7235" spans="1:5" x14ac:dyDescent="0.2">
      <c r="A7235">
        <v>17280</v>
      </c>
      <c r="B7235">
        <v>14158</v>
      </c>
      <c r="C7235">
        <v>49</v>
      </c>
      <c r="D7235">
        <v>387.9</v>
      </c>
      <c r="E7235">
        <v>8.4</v>
      </c>
    </row>
    <row r="7236" spans="1:5" x14ac:dyDescent="0.2">
      <c r="A7236">
        <v>17290</v>
      </c>
      <c r="B7236">
        <v>14165</v>
      </c>
      <c r="C7236">
        <v>55</v>
      </c>
      <c r="D7236">
        <v>388.4</v>
      </c>
      <c r="E7236">
        <v>9.5</v>
      </c>
    </row>
    <row r="7237" spans="1:5" x14ac:dyDescent="0.2">
      <c r="A7237">
        <v>17300</v>
      </c>
      <c r="B7237">
        <v>14174</v>
      </c>
      <c r="C7237">
        <v>61</v>
      </c>
      <c r="D7237">
        <v>388.5</v>
      </c>
      <c r="E7237">
        <v>10.5</v>
      </c>
    </row>
    <row r="7238" spans="1:5" x14ac:dyDescent="0.2">
      <c r="A7238">
        <v>17310</v>
      </c>
      <c r="B7238">
        <v>14185</v>
      </c>
      <c r="C7238">
        <v>65</v>
      </c>
      <c r="D7238">
        <v>388.2</v>
      </c>
      <c r="E7238">
        <v>11.2</v>
      </c>
    </row>
    <row r="7239" spans="1:5" x14ac:dyDescent="0.2">
      <c r="A7239">
        <v>17320</v>
      </c>
      <c r="B7239">
        <v>14198</v>
      </c>
      <c r="C7239">
        <v>68</v>
      </c>
      <c r="D7239">
        <v>387.6</v>
      </c>
      <c r="E7239">
        <v>11.7</v>
      </c>
    </row>
    <row r="7240" spans="1:5" x14ac:dyDescent="0.2">
      <c r="A7240">
        <v>17330</v>
      </c>
      <c r="B7240">
        <v>14213</v>
      </c>
      <c r="C7240">
        <v>69</v>
      </c>
      <c r="D7240">
        <v>386.8</v>
      </c>
      <c r="E7240">
        <v>11.9</v>
      </c>
    </row>
    <row r="7241" spans="1:5" x14ac:dyDescent="0.2">
      <c r="A7241">
        <v>17340</v>
      </c>
      <c r="B7241">
        <v>14229</v>
      </c>
      <c r="C7241">
        <v>70</v>
      </c>
      <c r="D7241">
        <v>385.8</v>
      </c>
      <c r="E7241">
        <v>12</v>
      </c>
    </row>
    <row r="7242" spans="1:5" x14ac:dyDescent="0.2">
      <c r="A7242">
        <v>17350</v>
      </c>
      <c r="B7242">
        <v>14245</v>
      </c>
      <c r="C7242">
        <v>69</v>
      </c>
      <c r="D7242">
        <v>384.6</v>
      </c>
      <c r="E7242">
        <v>11.9</v>
      </c>
    </row>
    <row r="7243" spans="1:5" x14ac:dyDescent="0.2">
      <c r="A7243">
        <v>17360</v>
      </c>
      <c r="B7243">
        <v>14262</v>
      </c>
      <c r="C7243">
        <v>68</v>
      </c>
      <c r="D7243">
        <v>383.3</v>
      </c>
      <c r="E7243">
        <v>11.7</v>
      </c>
    </row>
    <row r="7244" spans="1:5" x14ac:dyDescent="0.2">
      <c r="A7244">
        <v>17370</v>
      </c>
      <c r="B7244">
        <v>14280</v>
      </c>
      <c r="C7244">
        <v>67</v>
      </c>
      <c r="D7244">
        <v>381.9</v>
      </c>
      <c r="E7244">
        <v>11.5</v>
      </c>
    </row>
    <row r="7245" spans="1:5" x14ac:dyDescent="0.2">
      <c r="A7245">
        <v>17380</v>
      </c>
      <c r="B7245">
        <v>14298</v>
      </c>
      <c r="C7245">
        <v>65</v>
      </c>
      <c r="D7245">
        <v>380.5</v>
      </c>
      <c r="E7245">
        <v>11.1</v>
      </c>
    </row>
    <row r="7246" spans="1:5" x14ac:dyDescent="0.2">
      <c r="A7246">
        <v>17390</v>
      </c>
      <c r="B7246">
        <v>14315</v>
      </c>
      <c r="C7246">
        <v>63</v>
      </c>
      <c r="D7246">
        <v>379.2</v>
      </c>
      <c r="E7246">
        <v>10.8</v>
      </c>
    </row>
    <row r="7247" spans="1:5" x14ac:dyDescent="0.2">
      <c r="A7247">
        <v>17400</v>
      </c>
      <c r="B7247">
        <v>14332</v>
      </c>
      <c r="C7247">
        <v>61</v>
      </c>
      <c r="D7247">
        <v>378</v>
      </c>
      <c r="E7247">
        <v>10.4</v>
      </c>
    </row>
    <row r="7248" spans="1:5" x14ac:dyDescent="0.2">
      <c r="A7248">
        <v>17410</v>
      </c>
      <c r="B7248">
        <v>14348</v>
      </c>
      <c r="C7248">
        <v>59</v>
      </c>
      <c r="D7248">
        <v>376.9</v>
      </c>
      <c r="E7248">
        <v>10.1</v>
      </c>
    </row>
    <row r="7249" spans="1:5" x14ac:dyDescent="0.2">
      <c r="A7249">
        <v>17420</v>
      </c>
      <c r="B7249">
        <v>14363</v>
      </c>
      <c r="C7249">
        <v>56</v>
      </c>
      <c r="D7249">
        <v>376.1</v>
      </c>
      <c r="E7249">
        <v>9.6</v>
      </c>
    </row>
    <row r="7250" spans="1:5" x14ac:dyDescent="0.2">
      <c r="A7250">
        <v>17430</v>
      </c>
      <c r="B7250">
        <v>14377</v>
      </c>
      <c r="C7250">
        <v>54</v>
      </c>
      <c r="D7250">
        <v>375.4</v>
      </c>
      <c r="E7250">
        <v>9.1999999999999993</v>
      </c>
    </row>
    <row r="7251" spans="1:5" x14ac:dyDescent="0.2">
      <c r="A7251">
        <v>17440</v>
      </c>
      <c r="B7251">
        <v>14389</v>
      </c>
      <c r="C7251">
        <v>51</v>
      </c>
      <c r="D7251">
        <v>374.9</v>
      </c>
      <c r="E7251">
        <v>8.6999999999999993</v>
      </c>
    </row>
    <row r="7252" spans="1:5" x14ac:dyDescent="0.2">
      <c r="A7252">
        <v>17450</v>
      </c>
      <c r="B7252">
        <v>14400</v>
      </c>
      <c r="C7252">
        <v>48</v>
      </c>
      <c r="D7252">
        <v>374.6</v>
      </c>
      <c r="E7252">
        <v>8.3000000000000007</v>
      </c>
    </row>
    <row r="7253" spans="1:5" x14ac:dyDescent="0.2">
      <c r="A7253">
        <v>17460</v>
      </c>
      <c r="B7253">
        <v>14411</v>
      </c>
      <c r="C7253">
        <v>46</v>
      </c>
      <c r="D7253">
        <v>374.5</v>
      </c>
      <c r="E7253">
        <v>7.8</v>
      </c>
    </row>
    <row r="7254" spans="1:5" x14ac:dyDescent="0.2">
      <c r="A7254">
        <v>17470</v>
      </c>
      <c r="B7254">
        <v>14420</v>
      </c>
      <c r="C7254">
        <v>44</v>
      </c>
      <c r="D7254">
        <v>374.6</v>
      </c>
      <c r="E7254">
        <v>7.5</v>
      </c>
    </row>
    <row r="7255" spans="1:5" x14ac:dyDescent="0.2">
      <c r="A7255">
        <v>17480</v>
      </c>
      <c r="B7255">
        <v>14428</v>
      </c>
      <c r="C7255">
        <v>42</v>
      </c>
      <c r="D7255">
        <v>374.8</v>
      </c>
      <c r="E7255">
        <v>7.2</v>
      </c>
    </row>
    <row r="7256" spans="1:5" x14ac:dyDescent="0.2">
      <c r="A7256">
        <v>17490</v>
      </c>
      <c r="B7256">
        <v>14435</v>
      </c>
      <c r="C7256">
        <v>41</v>
      </c>
      <c r="D7256">
        <v>375.3</v>
      </c>
      <c r="E7256">
        <v>7</v>
      </c>
    </row>
    <row r="7257" spans="1:5" x14ac:dyDescent="0.2">
      <c r="A7257">
        <v>17500</v>
      </c>
      <c r="B7257">
        <v>14442</v>
      </c>
      <c r="C7257">
        <v>40</v>
      </c>
      <c r="D7257">
        <v>375.9</v>
      </c>
      <c r="E7257">
        <v>6.8</v>
      </c>
    </row>
    <row r="7258" spans="1:5" x14ac:dyDescent="0.2">
      <c r="A7258">
        <v>17510</v>
      </c>
      <c r="B7258">
        <v>14447</v>
      </c>
      <c r="C7258">
        <v>38</v>
      </c>
      <c r="D7258">
        <v>376.6</v>
      </c>
      <c r="E7258">
        <v>6.6</v>
      </c>
    </row>
    <row r="7259" spans="1:5" x14ac:dyDescent="0.2">
      <c r="A7259">
        <v>17520</v>
      </c>
      <c r="B7259">
        <v>14452</v>
      </c>
      <c r="C7259">
        <v>37</v>
      </c>
      <c r="D7259">
        <v>377.5</v>
      </c>
      <c r="E7259">
        <v>6.4</v>
      </c>
    </row>
    <row r="7260" spans="1:5" x14ac:dyDescent="0.2">
      <c r="A7260">
        <v>17530</v>
      </c>
      <c r="B7260">
        <v>14455</v>
      </c>
      <c r="C7260">
        <v>36</v>
      </c>
      <c r="D7260">
        <v>378.5</v>
      </c>
      <c r="E7260">
        <v>6.2</v>
      </c>
    </row>
    <row r="7261" spans="1:5" x14ac:dyDescent="0.2">
      <c r="A7261">
        <v>17540</v>
      </c>
      <c r="B7261">
        <v>14459</v>
      </c>
      <c r="C7261">
        <v>35</v>
      </c>
      <c r="D7261">
        <v>379.6</v>
      </c>
      <c r="E7261">
        <v>6.1</v>
      </c>
    </row>
    <row r="7262" spans="1:5" x14ac:dyDescent="0.2">
      <c r="A7262">
        <v>17550</v>
      </c>
      <c r="B7262">
        <v>14461</v>
      </c>
      <c r="C7262">
        <v>35</v>
      </c>
      <c r="D7262">
        <v>380.9</v>
      </c>
      <c r="E7262">
        <v>6.1</v>
      </c>
    </row>
    <row r="7263" spans="1:5" x14ac:dyDescent="0.2">
      <c r="A7263">
        <v>17560</v>
      </c>
      <c r="B7263">
        <v>14463</v>
      </c>
      <c r="C7263">
        <v>36</v>
      </c>
      <c r="D7263">
        <v>382.3</v>
      </c>
      <c r="E7263">
        <v>6.1</v>
      </c>
    </row>
    <row r="7264" spans="1:5" x14ac:dyDescent="0.2">
      <c r="A7264">
        <v>17570</v>
      </c>
      <c r="B7264">
        <v>14464</v>
      </c>
      <c r="C7264">
        <v>37</v>
      </c>
      <c r="D7264">
        <v>383.7</v>
      </c>
      <c r="E7264">
        <v>6.3</v>
      </c>
    </row>
    <row r="7265" spans="1:5" x14ac:dyDescent="0.2">
      <c r="A7265">
        <v>17580</v>
      </c>
      <c r="B7265">
        <v>14464</v>
      </c>
      <c r="C7265">
        <v>38</v>
      </c>
      <c r="D7265">
        <v>385.3</v>
      </c>
      <c r="E7265">
        <v>6.6</v>
      </c>
    </row>
    <row r="7266" spans="1:5" x14ac:dyDescent="0.2">
      <c r="A7266">
        <v>17590</v>
      </c>
      <c r="B7266">
        <v>14465</v>
      </c>
      <c r="C7266">
        <v>40</v>
      </c>
      <c r="D7266">
        <v>386.9</v>
      </c>
      <c r="E7266">
        <v>6.8</v>
      </c>
    </row>
    <row r="7267" spans="1:5" x14ac:dyDescent="0.2">
      <c r="A7267">
        <v>17600</v>
      </c>
      <c r="B7267">
        <v>14465</v>
      </c>
      <c r="C7267">
        <v>41</v>
      </c>
      <c r="D7267">
        <v>388.6</v>
      </c>
      <c r="E7267">
        <v>7.1</v>
      </c>
    </row>
    <row r="7268" spans="1:5" x14ac:dyDescent="0.2">
      <c r="A7268">
        <v>17610</v>
      </c>
      <c r="B7268">
        <v>14464</v>
      </c>
      <c r="C7268">
        <v>42</v>
      </c>
      <c r="D7268">
        <v>390.4</v>
      </c>
      <c r="E7268">
        <v>7.3</v>
      </c>
    </row>
    <row r="7269" spans="1:5" x14ac:dyDescent="0.2">
      <c r="A7269">
        <v>17620</v>
      </c>
      <c r="B7269">
        <v>14464</v>
      </c>
      <c r="C7269">
        <v>43</v>
      </c>
      <c r="D7269">
        <v>392.1</v>
      </c>
      <c r="E7269">
        <v>7.5</v>
      </c>
    </row>
    <row r="7270" spans="1:5" x14ac:dyDescent="0.2">
      <c r="A7270">
        <v>17630</v>
      </c>
      <c r="B7270">
        <v>14463</v>
      </c>
      <c r="C7270">
        <v>44</v>
      </c>
      <c r="D7270">
        <v>394</v>
      </c>
      <c r="E7270">
        <v>7.6</v>
      </c>
    </row>
    <row r="7271" spans="1:5" x14ac:dyDescent="0.2">
      <c r="A7271">
        <v>17640</v>
      </c>
      <c r="B7271">
        <v>14462</v>
      </c>
      <c r="C7271">
        <v>44</v>
      </c>
      <c r="D7271">
        <v>395.8</v>
      </c>
      <c r="E7271">
        <v>7.7</v>
      </c>
    </row>
    <row r="7272" spans="1:5" x14ac:dyDescent="0.2">
      <c r="A7272">
        <v>17650</v>
      </c>
      <c r="B7272">
        <v>14461</v>
      </c>
      <c r="C7272">
        <v>45</v>
      </c>
      <c r="D7272">
        <v>397.7</v>
      </c>
      <c r="E7272">
        <v>7.7</v>
      </c>
    </row>
    <row r="7273" spans="1:5" x14ac:dyDescent="0.2">
      <c r="A7273">
        <v>17660</v>
      </c>
      <c r="B7273">
        <v>14460</v>
      </c>
      <c r="C7273">
        <v>45</v>
      </c>
      <c r="D7273">
        <v>399.5</v>
      </c>
      <c r="E7273">
        <v>7.8</v>
      </c>
    </row>
    <row r="7274" spans="1:5" x14ac:dyDescent="0.2">
      <c r="A7274">
        <v>17670</v>
      </c>
      <c r="B7274">
        <v>14460</v>
      </c>
      <c r="C7274">
        <v>45</v>
      </c>
      <c r="D7274">
        <v>401.2</v>
      </c>
      <c r="E7274">
        <v>7.9</v>
      </c>
    </row>
    <row r="7275" spans="1:5" x14ac:dyDescent="0.2">
      <c r="A7275">
        <v>17680</v>
      </c>
      <c r="B7275">
        <v>14460</v>
      </c>
      <c r="C7275">
        <v>44</v>
      </c>
      <c r="D7275">
        <v>402.9</v>
      </c>
      <c r="E7275">
        <v>7.8</v>
      </c>
    </row>
    <row r="7276" spans="1:5" x14ac:dyDescent="0.2">
      <c r="A7276">
        <v>17690</v>
      </c>
      <c r="B7276">
        <v>14460</v>
      </c>
      <c r="C7276">
        <v>43</v>
      </c>
      <c r="D7276">
        <v>404.6</v>
      </c>
      <c r="E7276">
        <v>7.5</v>
      </c>
    </row>
    <row r="7277" spans="1:5" x14ac:dyDescent="0.2">
      <c r="A7277">
        <v>17700</v>
      </c>
      <c r="B7277">
        <v>14462</v>
      </c>
      <c r="C7277">
        <v>42</v>
      </c>
      <c r="D7277">
        <v>406.1</v>
      </c>
      <c r="E7277">
        <v>7.3</v>
      </c>
    </row>
    <row r="7278" spans="1:5" x14ac:dyDescent="0.2">
      <c r="A7278">
        <v>17710</v>
      </c>
      <c r="B7278">
        <v>14463</v>
      </c>
      <c r="C7278">
        <v>41</v>
      </c>
      <c r="D7278">
        <v>407.5</v>
      </c>
      <c r="E7278">
        <v>7.1</v>
      </c>
    </row>
    <row r="7279" spans="1:5" x14ac:dyDescent="0.2">
      <c r="A7279">
        <v>17720</v>
      </c>
      <c r="B7279">
        <v>14465</v>
      </c>
      <c r="C7279">
        <v>41</v>
      </c>
      <c r="D7279">
        <v>408.8</v>
      </c>
      <c r="E7279">
        <v>7.2</v>
      </c>
    </row>
    <row r="7280" spans="1:5" x14ac:dyDescent="0.2">
      <c r="A7280">
        <v>17730</v>
      </c>
      <c r="B7280">
        <v>14469</v>
      </c>
      <c r="C7280">
        <v>42</v>
      </c>
      <c r="D7280">
        <v>409.9</v>
      </c>
      <c r="E7280">
        <v>7.4</v>
      </c>
    </row>
    <row r="7281" spans="1:5" x14ac:dyDescent="0.2">
      <c r="A7281">
        <v>17740</v>
      </c>
      <c r="B7281">
        <v>14472</v>
      </c>
      <c r="C7281">
        <v>44</v>
      </c>
      <c r="D7281">
        <v>411</v>
      </c>
      <c r="E7281">
        <v>7.8</v>
      </c>
    </row>
    <row r="7282" spans="1:5" x14ac:dyDescent="0.2">
      <c r="A7282">
        <v>17750</v>
      </c>
      <c r="B7282">
        <v>14477</v>
      </c>
      <c r="C7282">
        <v>47</v>
      </c>
      <c r="D7282">
        <v>411.9</v>
      </c>
      <c r="E7282">
        <v>8.3000000000000007</v>
      </c>
    </row>
    <row r="7283" spans="1:5" x14ac:dyDescent="0.2">
      <c r="A7283">
        <v>17760</v>
      </c>
      <c r="B7283">
        <v>14483</v>
      </c>
      <c r="C7283">
        <v>50</v>
      </c>
      <c r="D7283">
        <v>412.6</v>
      </c>
      <c r="E7283">
        <v>8.8000000000000007</v>
      </c>
    </row>
    <row r="7284" spans="1:5" x14ac:dyDescent="0.2">
      <c r="A7284">
        <v>17770</v>
      </c>
      <c r="B7284">
        <v>14490</v>
      </c>
      <c r="C7284">
        <v>53</v>
      </c>
      <c r="D7284">
        <v>413.1</v>
      </c>
      <c r="E7284">
        <v>9.3000000000000007</v>
      </c>
    </row>
    <row r="7285" spans="1:5" x14ac:dyDescent="0.2">
      <c r="A7285">
        <v>17780</v>
      </c>
      <c r="B7285">
        <v>14497</v>
      </c>
      <c r="C7285">
        <v>55</v>
      </c>
      <c r="D7285">
        <v>413.4</v>
      </c>
      <c r="E7285">
        <v>9.6999999999999993</v>
      </c>
    </row>
    <row r="7286" spans="1:5" x14ac:dyDescent="0.2">
      <c r="A7286">
        <v>17790</v>
      </c>
      <c r="B7286">
        <v>14506</v>
      </c>
      <c r="C7286">
        <v>57</v>
      </c>
      <c r="D7286">
        <v>413.6</v>
      </c>
      <c r="E7286">
        <v>10.1</v>
      </c>
    </row>
    <row r="7287" spans="1:5" x14ac:dyDescent="0.2">
      <c r="A7287">
        <v>17800</v>
      </c>
      <c r="B7287">
        <v>14515</v>
      </c>
      <c r="C7287">
        <v>59</v>
      </c>
      <c r="D7287">
        <v>413.7</v>
      </c>
      <c r="E7287">
        <v>10.4</v>
      </c>
    </row>
    <row r="7288" spans="1:5" x14ac:dyDescent="0.2">
      <c r="A7288">
        <v>17810</v>
      </c>
      <c r="B7288">
        <v>14525</v>
      </c>
      <c r="C7288">
        <v>61</v>
      </c>
      <c r="D7288">
        <v>413.6</v>
      </c>
      <c r="E7288">
        <v>10.7</v>
      </c>
    </row>
    <row r="7289" spans="1:5" x14ac:dyDescent="0.2">
      <c r="A7289">
        <v>17820</v>
      </c>
      <c r="B7289">
        <v>14536</v>
      </c>
      <c r="C7289">
        <v>62</v>
      </c>
      <c r="D7289">
        <v>413.5</v>
      </c>
      <c r="E7289">
        <v>11</v>
      </c>
    </row>
    <row r="7290" spans="1:5" x14ac:dyDescent="0.2">
      <c r="A7290">
        <v>17830</v>
      </c>
      <c r="B7290">
        <v>14546</v>
      </c>
      <c r="C7290">
        <v>63</v>
      </c>
      <c r="D7290">
        <v>413.4</v>
      </c>
      <c r="E7290">
        <v>11.1</v>
      </c>
    </row>
    <row r="7291" spans="1:5" x14ac:dyDescent="0.2">
      <c r="A7291">
        <v>17840</v>
      </c>
      <c r="B7291">
        <v>14557</v>
      </c>
      <c r="C7291">
        <v>63</v>
      </c>
      <c r="D7291">
        <v>413.2</v>
      </c>
      <c r="E7291">
        <v>11.1</v>
      </c>
    </row>
    <row r="7292" spans="1:5" x14ac:dyDescent="0.2">
      <c r="A7292">
        <v>17850</v>
      </c>
      <c r="B7292">
        <v>14568</v>
      </c>
      <c r="C7292">
        <v>61</v>
      </c>
      <c r="D7292">
        <v>413</v>
      </c>
      <c r="E7292">
        <v>10.8</v>
      </c>
    </row>
    <row r="7293" spans="1:5" x14ac:dyDescent="0.2">
      <c r="A7293">
        <v>17860</v>
      </c>
      <c r="B7293">
        <v>14578</v>
      </c>
      <c r="C7293">
        <v>59</v>
      </c>
      <c r="D7293">
        <v>412.9</v>
      </c>
      <c r="E7293">
        <v>10.5</v>
      </c>
    </row>
    <row r="7294" spans="1:5" x14ac:dyDescent="0.2">
      <c r="A7294">
        <v>17870</v>
      </c>
      <c r="B7294">
        <v>14589</v>
      </c>
      <c r="C7294">
        <v>57</v>
      </c>
      <c r="D7294">
        <v>412.7</v>
      </c>
      <c r="E7294">
        <v>10</v>
      </c>
    </row>
    <row r="7295" spans="1:5" x14ac:dyDescent="0.2">
      <c r="A7295">
        <v>17880</v>
      </c>
      <c r="B7295">
        <v>14599</v>
      </c>
      <c r="C7295">
        <v>54</v>
      </c>
      <c r="D7295">
        <v>412.7</v>
      </c>
      <c r="E7295">
        <v>9.5</v>
      </c>
    </row>
    <row r="7296" spans="1:5" x14ac:dyDescent="0.2">
      <c r="A7296">
        <v>17890</v>
      </c>
      <c r="B7296">
        <v>14609</v>
      </c>
      <c r="C7296">
        <v>51</v>
      </c>
      <c r="D7296">
        <v>412.7</v>
      </c>
      <c r="E7296">
        <v>9</v>
      </c>
    </row>
    <row r="7297" spans="1:5" x14ac:dyDescent="0.2">
      <c r="A7297">
        <v>17900</v>
      </c>
      <c r="B7297">
        <v>14618</v>
      </c>
      <c r="C7297">
        <v>48</v>
      </c>
      <c r="D7297">
        <v>412.7</v>
      </c>
      <c r="E7297">
        <v>8.5</v>
      </c>
    </row>
    <row r="7298" spans="1:5" x14ac:dyDescent="0.2">
      <c r="A7298">
        <v>17910</v>
      </c>
      <c r="B7298">
        <v>14627</v>
      </c>
      <c r="C7298">
        <v>46</v>
      </c>
      <c r="D7298">
        <v>412.9</v>
      </c>
      <c r="E7298">
        <v>8.1</v>
      </c>
    </row>
    <row r="7299" spans="1:5" x14ac:dyDescent="0.2">
      <c r="A7299">
        <v>17920</v>
      </c>
      <c r="B7299">
        <v>14635</v>
      </c>
      <c r="C7299">
        <v>44</v>
      </c>
      <c r="D7299">
        <v>413.1</v>
      </c>
      <c r="E7299">
        <v>7.8</v>
      </c>
    </row>
    <row r="7300" spans="1:5" x14ac:dyDescent="0.2">
      <c r="A7300">
        <v>17930</v>
      </c>
      <c r="B7300">
        <v>14643</v>
      </c>
      <c r="C7300">
        <v>43</v>
      </c>
      <c r="D7300">
        <v>413.4</v>
      </c>
      <c r="E7300">
        <v>7.6</v>
      </c>
    </row>
    <row r="7301" spans="1:5" x14ac:dyDescent="0.2">
      <c r="A7301">
        <v>17940</v>
      </c>
      <c r="B7301">
        <v>14650</v>
      </c>
      <c r="C7301">
        <v>42</v>
      </c>
      <c r="D7301">
        <v>413.9</v>
      </c>
      <c r="E7301">
        <v>7.4</v>
      </c>
    </row>
    <row r="7302" spans="1:5" x14ac:dyDescent="0.2">
      <c r="A7302">
        <v>17950</v>
      </c>
      <c r="B7302">
        <v>14657</v>
      </c>
      <c r="C7302">
        <v>41</v>
      </c>
      <c r="D7302">
        <v>414.4</v>
      </c>
      <c r="E7302">
        <v>7.2</v>
      </c>
    </row>
    <row r="7303" spans="1:5" x14ac:dyDescent="0.2">
      <c r="A7303">
        <v>17960</v>
      </c>
      <c r="B7303">
        <v>14663</v>
      </c>
      <c r="C7303">
        <v>41</v>
      </c>
      <c r="D7303">
        <v>415.1</v>
      </c>
      <c r="E7303">
        <v>7.1</v>
      </c>
    </row>
    <row r="7304" spans="1:5" x14ac:dyDescent="0.2">
      <c r="A7304">
        <v>17970</v>
      </c>
      <c r="B7304">
        <v>14668</v>
      </c>
      <c r="C7304">
        <v>41</v>
      </c>
      <c r="D7304">
        <v>415.8</v>
      </c>
      <c r="E7304">
        <v>7.2</v>
      </c>
    </row>
    <row r="7305" spans="1:5" x14ac:dyDescent="0.2">
      <c r="A7305">
        <v>17980</v>
      </c>
      <c r="B7305">
        <v>14673</v>
      </c>
      <c r="C7305">
        <v>41</v>
      </c>
      <c r="D7305">
        <v>416.6</v>
      </c>
      <c r="E7305">
        <v>7.2</v>
      </c>
    </row>
    <row r="7306" spans="1:5" x14ac:dyDescent="0.2">
      <c r="A7306">
        <v>17990</v>
      </c>
      <c r="B7306">
        <v>14678</v>
      </c>
      <c r="C7306">
        <v>42</v>
      </c>
      <c r="D7306">
        <v>417.5</v>
      </c>
      <c r="E7306">
        <v>7.4</v>
      </c>
    </row>
    <row r="7307" spans="1:5" x14ac:dyDescent="0.2">
      <c r="A7307">
        <v>18000</v>
      </c>
      <c r="B7307">
        <v>14683</v>
      </c>
      <c r="C7307">
        <v>42</v>
      </c>
      <c r="D7307">
        <v>418.4</v>
      </c>
      <c r="E7307">
        <v>7.4</v>
      </c>
    </row>
    <row r="7308" spans="1:5" x14ac:dyDescent="0.2">
      <c r="A7308">
        <v>18010</v>
      </c>
      <c r="B7308">
        <v>14687</v>
      </c>
      <c r="C7308">
        <v>42</v>
      </c>
      <c r="D7308">
        <v>419.3</v>
      </c>
      <c r="E7308">
        <v>7.4</v>
      </c>
    </row>
    <row r="7309" spans="1:5" x14ac:dyDescent="0.2">
      <c r="A7309">
        <v>18020</v>
      </c>
      <c r="B7309">
        <v>14692</v>
      </c>
      <c r="C7309">
        <v>41</v>
      </c>
      <c r="D7309">
        <v>420.3</v>
      </c>
      <c r="E7309">
        <v>7.2</v>
      </c>
    </row>
    <row r="7310" spans="1:5" x14ac:dyDescent="0.2">
      <c r="A7310">
        <v>18030</v>
      </c>
      <c r="B7310">
        <v>14696</v>
      </c>
      <c r="C7310">
        <v>40</v>
      </c>
      <c r="D7310">
        <v>421.2</v>
      </c>
      <c r="E7310">
        <v>7</v>
      </c>
    </row>
    <row r="7311" spans="1:5" x14ac:dyDescent="0.2">
      <c r="A7311">
        <v>18040</v>
      </c>
      <c r="B7311">
        <v>14700</v>
      </c>
      <c r="C7311">
        <v>39</v>
      </c>
      <c r="D7311">
        <v>422.2</v>
      </c>
      <c r="E7311">
        <v>6.9</v>
      </c>
    </row>
    <row r="7312" spans="1:5" x14ac:dyDescent="0.2">
      <c r="A7312">
        <v>18050</v>
      </c>
      <c r="B7312">
        <v>14704</v>
      </c>
      <c r="C7312">
        <v>38</v>
      </c>
      <c r="D7312">
        <v>423.3</v>
      </c>
      <c r="E7312">
        <v>6.8</v>
      </c>
    </row>
    <row r="7313" spans="1:5" x14ac:dyDescent="0.2">
      <c r="A7313">
        <v>18060</v>
      </c>
      <c r="B7313">
        <v>14708</v>
      </c>
      <c r="C7313">
        <v>38</v>
      </c>
      <c r="D7313">
        <v>424.3</v>
      </c>
      <c r="E7313">
        <v>6.8</v>
      </c>
    </row>
    <row r="7314" spans="1:5" x14ac:dyDescent="0.2">
      <c r="A7314">
        <v>18070</v>
      </c>
      <c r="B7314">
        <v>14711</v>
      </c>
      <c r="C7314">
        <v>39</v>
      </c>
      <c r="D7314">
        <v>425.4</v>
      </c>
      <c r="E7314">
        <v>6.9</v>
      </c>
    </row>
    <row r="7315" spans="1:5" x14ac:dyDescent="0.2">
      <c r="A7315">
        <v>18080</v>
      </c>
      <c r="B7315">
        <v>14715</v>
      </c>
      <c r="C7315">
        <v>39</v>
      </c>
      <c r="D7315">
        <v>426.5</v>
      </c>
      <c r="E7315">
        <v>6.9</v>
      </c>
    </row>
    <row r="7316" spans="1:5" x14ac:dyDescent="0.2">
      <c r="A7316">
        <v>18090</v>
      </c>
      <c r="B7316">
        <v>14718</v>
      </c>
      <c r="C7316">
        <v>39</v>
      </c>
      <c r="D7316">
        <v>427.7</v>
      </c>
      <c r="E7316">
        <v>6.9</v>
      </c>
    </row>
    <row r="7317" spans="1:5" x14ac:dyDescent="0.2">
      <c r="A7317">
        <v>18100</v>
      </c>
      <c r="B7317">
        <v>14721</v>
      </c>
      <c r="C7317">
        <v>39</v>
      </c>
      <c r="D7317">
        <v>428.8</v>
      </c>
      <c r="E7317">
        <v>6.9</v>
      </c>
    </row>
    <row r="7318" spans="1:5" x14ac:dyDescent="0.2">
      <c r="A7318">
        <v>18110</v>
      </c>
      <c r="B7318">
        <v>14724</v>
      </c>
      <c r="C7318">
        <v>39</v>
      </c>
      <c r="D7318">
        <v>430</v>
      </c>
      <c r="E7318">
        <v>6.9</v>
      </c>
    </row>
    <row r="7319" spans="1:5" x14ac:dyDescent="0.2">
      <c r="A7319">
        <v>18120</v>
      </c>
      <c r="B7319">
        <v>14729</v>
      </c>
      <c r="C7319">
        <v>39</v>
      </c>
      <c r="D7319">
        <v>431</v>
      </c>
      <c r="E7319">
        <v>7</v>
      </c>
    </row>
    <row r="7320" spans="1:5" x14ac:dyDescent="0.2">
      <c r="A7320">
        <v>18130</v>
      </c>
      <c r="B7320">
        <v>14734</v>
      </c>
      <c r="C7320">
        <v>40</v>
      </c>
      <c r="D7320">
        <v>431.7</v>
      </c>
      <c r="E7320">
        <v>7.2</v>
      </c>
    </row>
    <row r="7321" spans="1:5" x14ac:dyDescent="0.2">
      <c r="A7321">
        <v>18140</v>
      </c>
      <c r="B7321">
        <v>14741</v>
      </c>
      <c r="C7321">
        <v>41</v>
      </c>
      <c r="D7321">
        <v>432.2</v>
      </c>
      <c r="E7321">
        <v>7.4</v>
      </c>
    </row>
    <row r="7322" spans="1:5" x14ac:dyDescent="0.2">
      <c r="A7322">
        <v>18150</v>
      </c>
      <c r="B7322">
        <v>14750</v>
      </c>
      <c r="C7322">
        <v>43</v>
      </c>
      <c r="D7322">
        <v>432.3</v>
      </c>
      <c r="E7322">
        <v>7.7</v>
      </c>
    </row>
    <row r="7323" spans="1:5" x14ac:dyDescent="0.2">
      <c r="A7323">
        <v>18160</v>
      </c>
      <c r="B7323">
        <v>14762</v>
      </c>
      <c r="C7323">
        <v>45</v>
      </c>
      <c r="D7323">
        <v>432</v>
      </c>
      <c r="E7323">
        <v>8</v>
      </c>
    </row>
    <row r="7324" spans="1:5" x14ac:dyDescent="0.2">
      <c r="A7324">
        <v>18170</v>
      </c>
      <c r="B7324">
        <v>14776</v>
      </c>
      <c r="C7324">
        <v>47</v>
      </c>
      <c r="D7324">
        <v>431.3</v>
      </c>
      <c r="E7324">
        <v>8.4</v>
      </c>
    </row>
    <row r="7325" spans="1:5" x14ac:dyDescent="0.2">
      <c r="A7325">
        <v>18180</v>
      </c>
      <c r="B7325">
        <v>14792</v>
      </c>
      <c r="C7325">
        <v>50</v>
      </c>
      <c r="D7325">
        <v>430</v>
      </c>
      <c r="E7325">
        <v>9</v>
      </c>
    </row>
    <row r="7326" spans="1:5" x14ac:dyDescent="0.2">
      <c r="A7326">
        <v>18190</v>
      </c>
      <c r="B7326">
        <v>14812</v>
      </c>
      <c r="C7326">
        <v>54</v>
      </c>
      <c r="D7326">
        <v>428.3</v>
      </c>
      <c r="E7326">
        <v>9.6</v>
      </c>
    </row>
    <row r="7327" spans="1:5" x14ac:dyDescent="0.2">
      <c r="A7327">
        <v>18200</v>
      </c>
      <c r="B7327">
        <v>14834</v>
      </c>
      <c r="C7327">
        <v>58</v>
      </c>
      <c r="D7327">
        <v>426.1</v>
      </c>
      <c r="E7327">
        <v>10.3</v>
      </c>
    </row>
    <row r="7328" spans="1:5" x14ac:dyDescent="0.2">
      <c r="A7328">
        <v>18210</v>
      </c>
      <c r="B7328">
        <v>14859</v>
      </c>
      <c r="C7328">
        <v>61</v>
      </c>
      <c r="D7328">
        <v>423.4</v>
      </c>
      <c r="E7328">
        <v>10.8</v>
      </c>
    </row>
    <row r="7329" spans="1:5" x14ac:dyDescent="0.2">
      <c r="A7329">
        <v>18220</v>
      </c>
      <c r="B7329">
        <v>14887</v>
      </c>
      <c r="C7329">
        <v>64</v>
      </c>
      <c r="D7329">
        <v>420.2</v>
      </c>
      <c r="E7329">
        <v>11.3</v>
      </c>
    </row>
    <row r="7330" spans="1:5" x14ac:dyDescent="0.2">
      <c r="A7330">
        <v>18230</v>
      </c>
      <c r="B7330">
        <v>14917</v>
      </c>
      <c r="C7330">
        <v>66</v>
      </c>
      <c r="D7330">
        <v>416.6</v>
      </c>
      <c r="E7330">
        <v>11.6</v>
      </c>
    </row>
    <row r="7331" spans="1:5" x14ac:dyDescent="0.2">
      <c r="A7331">
        <v>18240</v>
      </c>
      <c r="B7331">
        <v>14949</v>
      </c>
      <c r="C7331">
        <v>67</v>
      </c>
      <c r="D7331">
        <v>412.7</v>
      </c>
      <c r="E7331">
        <v>11.8</v>
      </c>
    </row>
    <row r="7332" spans="1:5" x14ac:dyDescent="0.2">
      <c r="A7332">
        <v>18250</v>
      </c>
      <c r="B7332">
        <v>14981</v>
      </c>
      <c r="C7332">
        <v>67</v>
      </c>
      <c r="D7332">
        <v>408.6</v>
      </c>
      <c r="E7332">
        <v>11.8</v>
      </c>
    </row>
    <row r="7333" spans="1:5" x14ac:dyDescent="0.2">
      <c r="A7333">
        <v>18260</v>
      </c>
      <c r="B7333">
        <v>15014</v>
      </c>
      <c r="C7333">
        <v>67</v>
      </c>
      <c r="D7333">
        <v>404.6</v>
      </c>
      <c r="E7333">
        <v>11.8</v>
      </c>
    </row>
    <row r="7334" spans="1:5" x14ac:dyDescent="0.2">
      <c r="A7334">
        <v>18270</v>
      </c>
      <c r="B7334">
        <v>15047</v>
      </c>
      <c r="C7334">
        <v>66</v>
      </c>
      <c r="D7334">
        <v>400.6</v>
      </c>
      <c r="E7334">
        <v>11.6</v>
      </c>
    </row>
    <row r="7335" spans="1:5" x14ac:dyDescent="0.2">
      <c r="A7335">
        <v>18280</v>
      </c>
      <c r="B7335">
        <v>15078</v>
      </c>
      <c r="C7335">
        <v>64</v>
      </c>
      <c r="D7335">
        <v>396.8</v>
      </c>
      <c r="E7335">
        <v>11.2</v>
      </c>
    </row>
    <row r="7336" spans="1:5" x14ac:dyDescent="0.2">
      <c r="A7336">
        <v>18290</v>
      </c>
      <c r="B7336">
        <v>15108</v>
      </c>
      <c r="C7336">
        <v>61</v>
      </c>
      <c r="D7336">
        <v>393.4</v>
      </c>
      <c r="E7336">
        <v>10.6</v>
      </c>
    </row>
    <row r="7337" spans="1:5" x14ac:dyDescent="0.2">
      <c r="A7337">
        <v>18300</v>
      </c>
      <c r="B7337">
        <v>15135</v>
      </c>
      <c r="C7337">
        <v>58</v>
      </c>
      <c r="D7337">
        <v>390.4</v>
      </c>
      <c r="E7337">
        <v>10</v>
      </c>
    </row>
    <row r="7338" spans="1:5" x14ac:dyDescent="0.2">
      <c r="A7338">
        <v>18310</v>
      </c>
      <c r="B7338">
        <v>15159</v>
      </c>
      <c r="C7338">
        <v>54</v>
      </c>
      <c r="D7338">
        <v>387.9</v>
      </c>
      <c r="E7338">
        <v>9.4</v>
      </c>
    </row>
    <row r="7339" spans="1:5" x14ac:dyDescent="0.2">
      <c r="A7339">
        <v>18320</v>
      </c>
      <c r="B7339">
        <v>15180</v>
      </c>
      <c r="C7339">
        <v>52</v>
      </c>
      <c r="D7339">
        <v>386</v>
      </c>
      <c r="E7339">
        <v>8.9</v>
      </c>
    </row>
    <row r="7340" spans="1:5" x14ac:dyDescent="0.2">
      <c r="A7340">
        <v>18330</v>
      </c>
      <c r="B7340">
        <v>15197</v>
      </c>
      <c r="C7340">
        <v>49</v>
      </c>
      <c r="D7340">
        <v>384.7</v>
      </c>
      <c r="E7340">
        <v>8.4</v>
      </c>
    </row>
    <row r="7341" spans="1:5" x14ac:dyDescent="0.2">
      <c r="A7341">
        <v>18340</v>
      </c>
      <c r="B7341">
        <v>15211</v>
      </c>
      <c r="C7341">
        <v>46</v>
      </c>
      <c r="D7341">
        <v>383.9</v>
      </c>
      <c r="E7341">
        <v>8</v>
      </c>
    </row>
    <row r="7342" spans="1:5" x14ac:dyDescent="0.2">
      <c r="A7342">
        <v>18350</v>
      </c>
      <c r="B7342">
        <v>15222</v>
      </c>
      <c r="C7342">
        <v>44</v>
      </c>
      <c r="D7342">
        <v>383.7</v>
      </c>
      <c r="E7342">
        <v>7.6</v>
      </c>
    </row>
    <row r="7343" spans="1:5" x14ac:dyDescent="0.2">
      <c r="A7343">
        <v>18360</v>
      </c>
      <c r="B7343">
        <v>15230</v>
      </c>
      <c r="C7343">
        <v>42</v>
      </c>
      <c r="D7343">
        <v>383.9</v>
      </c>
      <c r="E7343">
        <v>7.3</v>
      </c>
    </row>
    <row r="7344" spans="1:5" x14ac:dyDescent="0.2">
      <c r="A7344">
        <v>18370</v>
      </c>
      <c r="B7344">
        <v>15237</v>
      </c>
      <c r="C7344">
        <v>41</v>
      </c>
      <c r="D7344">
        <v>384.5</v>
      </c>
      <c r="E7344">
        <v>7.1</v>
      </c>
    </row>
    <row r="7345" spans="1:5" x14ac:dyDescent="0.2">
      <c r="A7345">
        <v>18380</v>
      </c>
      <c r="B7345">
        <v>15240</v>
      </c>
      <c r="C7345">
        <v>40</v>
      </c>
      <c r="D7345">
        <v>385.5</v>
      </c>
      <c r="E7345">
        <v>6.9</v>
      </c>
    </row>
    <row r="7346" spans="1:5" x14ac:dyDescent="0.2">
      <c r="A7346">
        <v>18390</v>
      </c>
      <c r="B7346">
        <v>15243</v>
      </c>
      <c r="C7346">
        <v>38</v>
      </c>
      <c r="D7346">
        <v>386.8</v>
      </c>
      <c r="E7346">
        <v>6.6</v>
      </c>
    </row>
    <row r="7347" spans="1:5" x14ac:dyDescent="0.2">
      <c r="A7347">
        <v>18400</v>
      </c>
      <c r="B7347">
        <v>15243</v>
      </c>
      <c r="C7347">
        <v>37</v>
      </c>
      <c r="D7347">
        <v>388.4</v>
      </c>
      <c r="E7347">
        <v>6.4</v>
      </c>
    </row>
    <row r="7348" spans="1:5" x14ac:dyDescent="0.2">
      <c r="A7348">
        <v>18410</v>
      </c>
      <c r="B7348">
        <v>15242</v>
      </c>
      <c r="C7348">
        <v>37</v>
      </c>
      <c r="D7348">
        <v>390.3</v>
      </c>
      <c r="E7348">
        <v>6.4</v>
      </c>
    </row>
    <row r="7349" spans="1:5" x14ac:dyDescent="0.2">
      <c r="A7349">
        <v>18420</v>
      </c>
      <c r="B7349">
        <v>15239</v>
      </c>
      <c r="C7349">
        <v>37</v>
      </c>
      <c r="D7349">
        <v>392.5</v>
      </c>
      <c r="E7349">
        <v>6.5</v>
      </c>
    </row>
    <row r="7350" spans="1:5" x14ac:dyDescent="0.2">
      <c r="A7350">
        <v>18430</v>
      </c>
      <c r="B7350">
        <v>15233</v>
      </c>
      <c r="C7350">
        <v>39</v>
      </c>
      <c r="D7350">
        <v>395.1</v>
      </c>
      <c r="E7350">
        <v>6.7</v>
      </c>
    </row>
    <row r="7351" spans="1:5" x14ac:dyDescent="0.2">
      <c r="A7351">
        <v>18440</v>
      </c>
      <c r="B7351">
        <v>15226</v>
      </c>
      <c r="C7351">
        <v>40</v>
      </c>
      <c r="D7351">
        <v>398.2</v>
      </c>
      <c r="E7351">
        <v>7.1</v>
      </c>
    </row>
    <row r="7352" spans="1:5" x14ac:dyDescent="0.2">
      <c r="A7352">
        <v>18450</v>
      </c>
      <c r="B7352">
        <v>15216</v>
      </c>
      <c r="C7352">
        <v>42</v>
      </c>
      <c r="D7352">
        <v>401.6</v>
      </c>
      <c r="E7352">
        <v>7.3</v>
      </c>
    </row>
    <row r="7353" spans="1:5" x14ac:dyDescent="0.2">
      <c r="A7353">
        <v>18460</v>
      </c>
      <c r="B7353">
        <v>15203</v>
      </c>
      <c r="C7353">
        <v>44</v>
      </c>
      <c r="D7353">
        <v>405.5</v>
      </c>
      <c r="E7353">
        <v>7.7</v>
      </c>
    </row>
    <row r="7354" spans="1:5" x14ac:dyDescent="0.2">
      <c r="A7354">
        <v>18470</v>
      </c>
      <c r="B7354">
        <v>15190</v>
      </c>
      <c r="C7354">
        <v>45</v>
      </c>
      <c r="D7354">
        <v>409.6</v>
      </c>
      <c r="E7354">
        <v>7.9</v>
      </c>
    </row>
    <row r="7355" spans="1:5" x14ac:dyDescent="0.2">
      <c r="A7355">
        <v>18480</v>
      </c>
      <c r="B7355">
        <v>15175</v>
      </c>
      <c r="C7355">
        <v>46</v>
      </c>
      <c r="D7355">
        <v>413.9</v>
      </c>
      <c r="E7355">
        <v>8.1999999999999993</v>
      </c>
    </row>
    <row r="7356" spans="1:5" x14ac:dyDescent="0.2">
      <c r="A7356">
        <v>18490</v>
      </c>
      <c r="B7356">
        <v>15159</v>
      </c>
      <c r="C7356">
        <v>47</v>
      </c>
      <c r="D7356">
        <v>418.4</v>
      </c>
      <c r="E7356">
        <v>8.3000000000000007</v>
      </c>
    </row>
    <row r="7357" spans="1:5" x14ac:dyDescent="0.2">
      <c r="A7357">
        <v>18500</v>
      </c>
      <c r="B7357">
        <v>15143</v>
      </c>
      <c r="C7357">
        <v>46</v>
      </c>
      <c r="D7357">
        <v>423</v>
      </c>
      <c r="E7357">
        <v>8.1</v>
      </c>
    </row>
    <row r="7358" spans="1:5" x14ac:dyDescent="0.2">
      <c r="A7358">
        <v>18510</v>
      </c>
      <c r="B7358">
        <v>15128</v>
      </c>
      <c r="C7358">
        <v>44</v>
      </c>
      <c r="D7358">
        <v>427.4</v>
      </c>
      <c r="E7358">
        <v>7.9</v>
      </c>
    </row>
    <row r="7359" spans="1:5" x14ac:dyDescent="0.2">
      <c r="A7359">
        <v>18520</v>
      </c>
      <c r="B7359">
        <v>15114</v>
      </c>
      <c r="C7359">
        <v>43</v>
      </c>
      <c r="D7359">
        <v>431.5</v>
      </c>
      <c r="E7359">
        <v>7.7</v>
      </c>
    </row>
    <row r="7360" spans="1:5" x14ac:dyDescent="0.2">
      <c r="A7360">
        <v>18530</v>
      </c>
      <c r="B7360">
        <v>15104</v>
      </c>
      <c r="C7360">
        <v>42</v>
      </c>
      <c r="D7360">
        <v>435</v>
      </c>
      <c r="E7360">
        <v>7.6</v>
      </c>
    </row>
    <row r="7361" spans="1:5" x14ac:dyDescent="0.2">
      <c r="A7361">
        <v>18540</v>
      </c>
      <c r="B7361">
        <v>15098</v>
      </c>
      <c r="C7361">
        <v>42</v>
      </c>
      <c r="D7361">
        <v>437.8</v>
      </c>
      <c r="E7361">
        <v>7.6</v>
      </c>
    </row>
    <row r="7362" spans="1:5" x14ac:dyDescent="0.2">
      <c r="A7362">
        <v>18550</v>
      </c>
      <c r="B7362">
        <v>15097</v>
      </c>
      <c r="C7362">
        <v>43</v>
      </c>
      <c r="D7362">
        <v>439.8</v>
      </c>
      <c r="E7362">
        <v>7.8</v>
      </c>
    </row>
    <row r="7363" spans="1:5" x14ac:dyDescent="0.2">
      <c r="A7363">
        <v>18560</v>
      </c>
      <c r="B7363">
        <v>15100</v>
      </c>
      <c r="C7363">
        <v>45</v>
      </c>
      <c r="D7363">
        <v>441</v>
      </c>
      <c r="E7363">
        <v>8</v>
      </c>
    </row>
    <row r="7364" spans="1:5" x14ac:dyDescent="0.2">
      <c r="A7364">
        <v>18570</v>
      </c>
      <c r="B7364">
        <v>15106</v>
      </c>
      <c r="C7364">
        <v>47</v>
      </c>
      <c r="D7364">
        <v>441.6</v>
      </c>
      <c r="E7364">
        <v>8.4</v>
      </c>
    </row>
    <row r="7365" spans="1:5" x14ac:dyDescent="0.2">
      <c r="A7365">
        <v>18580</v>
      </c>
      <c r="B7365">
        <v>15117</v>
      </c>
      <c r="C7365">
        <v>50</v>
      </c>
      <c r="D7365">
        <v>441.5</v>
      </c>
      <c r="E7365">
        <v>9</v>
      </c>
    </row>
    <row r="7366" spans="1:5" x14ac:dyDescent="0.2">
      <c r="A7366">
        <v>18590</v>
      </c>
      <c r="B7366">
        <v>15131</v>
      </c>
      <c r="C7366">
        <v>53</v>
      </c>
      <c r="D7366">
        <v>440.8</v>
      </c>
      <c r="E7366">
        <v>9.5</v>
      </c>
    </row>
    <row r="7367" spans="1:5" x14ac:dyDescent="0.2">
      <c r="A7367">
        <v>18600</v>
      </c>
      <c r="B7367">
        <v>15147</v>
      </c>
      <c r="C7367">
        <v>56</v>
      </c>
      <c r="D7367">
        <v>439.5</v>
      </c>
      <c r="E7367">
        <v>10</v>
      </c>
    </row>
    <row r="7368" spans="1:5" x14ac:dyDescent="0.2">
      <c r="A7368">
        <v>18610</v>
      </c>
      <c r="B7368">
        <v>15166</v>
      </c>
      <c r="C7368">
        <v>58</v>
      </c>
      <c r="D7368">
        <v>437.9</v>
      </c>
      <c r="E7368">
        <v>10.4</v>
      </c>
    </row>
    <row r="7369" spans="1:5" x14ac:dyDescent="0.2">
      <c r="A7369">
        <v>18620</v>
      </c>
      <c r="B7369">
        <v>15187</v>
      </c>
      <c r="C7369">
        <v>59</v>
      </c>
      <c r="D7369">
        <v>435.9</v>
      </c>
      <c r="E7369">
        <v>10.5</v>
      </c>
    </row>
    <row r="7370" spans="1:5" x14ac:dyDescent="0.2">
      <c r="A7370">
        <v>18630</v>
      </c>
      <c r="B7370">
        <v>15210</v>
      </c>
      <c r="C7370">
        <v>58</v>
      </c>
      <c r="D7370">
        <v>433.5</v>
      </c>
      <c r="E7370">
        <v>10.3</v>
      </c>
    </row>
    <row r="7371" spans="1:5" x14ac:dyDescent="0.2">
      <c r="A7371">
        <v>18640</v>
      </c>
      <c r="B7371">
        <v>15234</v>
      </c>
      <c r="C7371">
        <v>56</v>
      </c>
      <c r="D7371">
        <v>431</v>
      </c>
      <c r="E7371">
        <v>9.9</v>
      </c>
    </row>
    <row r="7372" spans="1:5" x14ac:dyDescent="0.2">
      <c r="A7372">
        <v>18650</v>
      </c>
      <c r="B7372">
        <v>15258</v>
      </c>
      <c r="C7372">
        <v>52</v>
      </c>
      <c r="D7372">
        <v>428.4</v>
      </c>
      <c r="E7372">
        <v>9.3000000000000007</v>
      </c>
    </row>
    <row r="7373" spans="1:5" x14ac:dyDescent="0.2">
      <c r="A7373">
        <v>18660</v>
      </c>
      <c r="B7373">
        <v>15282</v>
      </c>
      <c r="C7373">
        <v>49</v>
      </c>
      <c r="D7373">
        <v>425.9</v>
      </c>
      <c r="E7373">
        <v>8.6999999999999993</v>
      </c>
    </row>
    <row r="7374" spans="1:5" x14ac:dyDescent="0.2">
      <c r="A7374">
        <v>18670</v>
      </c>
      <c r="B7374">
        <v>15304</v>
      </c>
      <c r="C7374">
        <v>46</v>
      </c>
      <c r="D7374">
        <v>423.7</v>
      </c>
      <c r="E7374">
        <v>8.1999999999999993</v>
      </c>
    </row>
    <row r="7375" spans="1:5" x14ac:dyDescent="0.2">
      <c r="A7375">
        <v>18680</v>
      </c>
      <c r="B7375">
        <v>15324</v>
      </c>
      <c r="C7375">
        <v>44</v>
      </c>
      <c r="D7375">
        <v>421.8</v>
      </c>
      <c r="E7375">
        <v>7.7</v>
      </c>
    </row>
    <row r="7376" spans="1:5" x14ac:dyDescent="0.2">
      <c r="A7376">
        <v>18690</v>
      </c>
      <c r="B7376">
        <v>15341</v>
      </c>
      <c r="C7376">
        <v>41</v>
      </c>
      <c r="D7376">
        <v>420.5</v>
      </c>
      <c r="E7376">
        <v>7.3</v>
      </c>
    </row>
    <row r="7377" spans="1:5" x14ac:dyDescent="0.2">
      <c r="A7377">
        <v>18700</v>
      </c>
      <c r="B7377">
        <v>15356</v>
      </c>
      <c r="C7377">
        <v>39</v>
      </c>
      <c r="D7377">
        <v>419.6</v>
      </c>
      <c r="E7377">
        <v>6.9</v>
      </c>
    </row>
    <row r="7378" spans="1:5" x14ac:dyDescent="0.2">
      <c r="A7378">
        <v>18710</v>
      </c>
      <c r="B7378">
        <v>15369</v>
      </c>
      <c r="C7378">
        <v>37</v>
      </c>
      <c r="D7378">
        <v>419.1</v>
      </c>
      <c r="E7378">
        <v>6.5</v>
      </c>
    </row>
    <row r="7379" spans="1:5" x14ac:dyDescent="0.2">
      <c r="A7379">
        <v>18720</v>
      </c>
      <c r="B7379">
        <v>15381</v>
      </c>
      <c r="C7379">
        <v>36</v>
      </c>
      <c r="D7379">
        <v>418.7</v>
      </c>
      <c r="E7379">
        <v>6.3</v>
      </c>
    </row>
    <row r="7380" spans="1:5" x14ac:dyDescent="0.2">
      <c r="A7380">
        <v>18730</v>
      </c>
      <c r="B7380">
        <v>15391</v>
      </c>
      <c r="C7380">
        <v>35</v>
      </c>
      <c r="D7380">
        <v>418.5</v>
      </c>
      <c r="E7380">
        <v>6.1</v>
      </c>
    </row>
    <row r="7381" spans="1:5" x14ac:dyDescent="0.2">
      <c r="A7381">
        <v>18740</v>
      </c>
      <c r="B7381">
        <v>15402</v>
      </c>
      <c r="C7381">
        <v>34</v>
      </c>
      <c r="D7381">
        <v>418.4</v>
      </c>
      <c r="E7381">
        <v>6</v>
      </c>
    </row>
    <row r="7382" spans="1:5" x14ac:dyDescent="0.2">
      <c r="A7382">
        <v>18750</v>
      </c>
      <c r="B7382">
        <v>15413</v>
      </c>
      <c r="C7382">
        <v>34</v>
      </c>
      <c r="D7382">
        <v>418.2</v>
      </c>
      <c r="E7382">
        <v>6</v>
      </c>
    </row>
    <row r="7383" spans="1:5" x14ac:dyDescent="0.2">
      <c r="A7383">
        <v>18760</v>
      </c>
      <c r="B7383">
        <v>15424</v>
      </c>
      <c r="C7383">
        <v>34</v>
      </c>
      <c r="D7383">
        <v>417.9</v>
      </c>
      <c r="E7383">
        <v>6</v>
      </c>
    </row>
    <row r="7384" spans="1:5" x14ac:dyDescent="0.2">
      <c r="A7384">
        <v>18770</v>
      </c>
      <c r="B7384">
        <v>15437</v>
      </c>
      <c r="C7384">
        <v>34</v>
      </c>
      <c r="D7384">
        <v>417.3</v>
      </c>
      <c r="E7384">
        <v>6.1</v>
      </c>
    </row>
    <row r="7385" spans="1:5" x14ac:dyDescent="0.2">
      <c r="A7385">
        <v>18780</v>
      </c>
      <c r="B7385">
        <v>15451</v>
      </c>
      <c r="C7385">
        <v>34</v>
      </c>
      <c r="D7385">
        <v>416.5</v>
      </c>
      <c r="E7385">
        <v>6.1</v>
      </c>
    </row>
    <row r="7386" spans="1:5" x14ac:dyDescent="0.2">
      <c r="A7386">
        <v>18790</v>
      </c>
      <c r="B7386">
        <v>15466</v>
      </c>
      <c r="C7386">
        <v>35</v>
      </c>
      <c r="D7386">
        <v>415.6</v>
      </c>
      <c r="E7386">
        <v>6.2</v>
      </c>
    </row>
    <row r="7387" spans="1:5" x14ac:dyDescent="0.2">
      <c r="A7387">
        <v>18800</v>
      </c>
      <c r="B7387">
        <v>15483</v>
      </c>
      <c r="C7387">
        <v>36</v>
      </c>
      <c r="D7387">
        <v>414.4</v>
      </c>
      <c r="E7387">
        <v>6.3</v>
      </c>
    </row>
    <row r="7388" spans="1:5" x14ac:dyDescent="0.2">
      <c r="A7388">
        <v>18810</v>
      </c>
      <c r="B7388">
        <v>15500</v>
      </c>
      <c r="C7388">
        <v>37</v>
      </c>
      <c r="D7388">
        <v>413.1</v>
      </c>
      <c r="E7388">
        <v>6.4</v>
      </c>
    </row>
    <row r="7389" spans="1:5" x14ac:dyDescent="0.2">
      <c r="A7389">
        <v>18820</v>
      </c>
      <c r="B7389">
        <v>15518</v>
      </c>
      <c r="C7389">
        <v>37</v>
      </c>
      <c r="D7389">
        <v>411.7</v>
      </c>
      <c r="E7389">
        <v>6.5</v>
      </c>
    </row>
    <row r="7390" spans="1:5" x14ac:dyDescent="0.2">
      <c r="A7390">
        <v>18830</v>
      </c>
      <c r="B7390">
        <v>15536</v>
      </c>
      <c r="C7390">
        <v>37</v>
      </c>
      <c r="D7390">
        <v>410.3</v>
      </c>
      <c r="E7390">
        <v>6.4</v>
      </c>
    </row>
    <row r="7391" spans="1:5" x14ac:dyDescent="0.2">
      <c r="A7391">
        <v>18840</v>
      </c>
      <c r="B7391">
        <v>15554</v>
      </c>
      <c r="C7391">
        <v>36</v>
      </c>
      <c r="D7391">
        <v>408.8</v>
      </c>
      <c r="E7391">
        <v>6.3</v>
      </c>
    </row>
    <row r="7392" spans="1:5" x14ac:dyDescent="0.2">
      <c r="A7392">
        <v>18850</v>
      </c>
      <c r="B7392">
        <v>15572</v>
      </c>
      <c r="C7392">
        <v>35</v>
      </c>
      <c r="D7392">
        <v>407.3</v>
      </c>
      <c r="E7392">
        <v>6.2</v>
      </c>
    </row>
    <row r="7393" spans="1:5" x14ac:dyDescent="0.2">
      <c r="A7393">
        <v>18860</v>
      </c>
      <c r="B7393">
        <v>15589</v>
      </c>
      <c r="C7393">
        <v>35</v>
      </c>
      <c r="D7393">
        <v>406</v>
      </c>
      <c r="E7393">
        <v>6.1</v>
      </c>
    </row>
    <row r="7394" spans="1:5" x14ac:dyDescent="0.2">
      <c r="A7394">
        <v>18870</v>
      </c>
      <c r="B7394">
        <v>15606</v>
      </c>
      <c r="C7394">
        <v>35</v>
      </c>
      <c r="D7394">
        <v>404.7</v>
      </c>
      <c r="E7394">
        <v>6</v>
      </c>
    </row>
    <row r="7395" spans="1:5" x14ac:dyDescent="0.2">
      <c r="A7395">
        <v>18880</v>
      </c>
      <c r="B7395">
        <v>15622</v>
      </c>
      <c r="C7395">
        <v>35</v>
      </c>
      <c r="D7395">
        <v>403.6</v>
      </c>
      <c r="E7395">
        <v>6</v>
      </c>
    </row>
    <row r="7396" spans="1:5" x14ac:dyDescent="0.2">
      <c r="A7396">
        <v>18890</v>
      </c>
      <c r="B7396">
        <v>15638</v>
      </c>
      <c r="C7396">
        <v>35</v>
      </c>
      <c r="D7396">
        <v>402.5</v>
      </c>
      <c r="E7396">
        <v>6.1</v>
      </c>
    </row>
    <row r="7397" spans="1:5" x14ac:dyDescent="0.2">
      <c r="A7397">
        <v>18900</v>
      </c>
      <c r="B7397">
        <v>15653</v>
      </c>
      <c r="C7397">
        <v>35</v>
      </c>
      <c r="D7397">
        <v>401.6</v>
      </c>
      <c r="E7397">
        <v>6.1</v>
      </c>
    </row>
    <row r="7398" spans="1:5" x14ac:dyDescent="0.2">
      <c r="A7398">
        <v>18910</v>
      </c>
      <c r="B7398">
        <v>15668</v>
      </c>
      <c r="C7398">
        <v>35</v>
      </c>
      <c r="D7398">
        <v>400.7</v>
      </c>
      <c r="E7398">
        <v>6.1</v>
      </c>
    </row>
    <row r="7399" spans="1:5" x14ac:dyDescent="0.2">
      <c r="A7399">
        <v>18920</v>
      </c>
      <c r="B7399">
        <v>15681</v>
      </c>
      <c r="C7399">
        <v>35</v>
      </c>
      <c r="D7399">
        <v>400</v>
      </c>
      <c r="E7399">
        <v>6</v>
      </c>
    </row>
    <row r="7400" spans="1:5" x14ac:dyDescent="0.2">
      <c r="A7400">
        <v>18930</v>
      </c>
      <c r="B7400">
        <v>15694</v>
      </c>
      <c r="C7400">
        <v>35</v>
      </c>
      <c r="D7400">
        <v>399.5</v>
      </c>
      <c r="E7400">
        <v>6.1</v>
      </c>
    </row>
    <row r="7401" spans="1:5" x14ac:dyDescent="0.2">
      <c r="A7401">
        <v>18940</v>
      </c>
      <c r="B7401">
        <v>15706</v>
      </c>
      <c r="C7401">
        <v>35</v>
      </c>
      <c r="D7401">
        <v>399.1</v>
      </c>
      <c r="E7401">
        <v>6.1</v>
      </c>
    </row>
    <row r="7402" spans="1:5" x14ac:dyDescent="0.2">
      <c r="A7402">
        <v>18950</v>
      </c>
      <c r="B7402">
        <v>15717</v>
      </c>
      <c r="C7402">
        <v>35</v>
      </c>
      <c r="D7402">
        <v>398.9</v>
      </c>
      <c r="E7402">
        <v>6.1</v>
      </c>
    </row>
    <row r="7403" spans="1:5" x14ac:dyDescent="0.2">
      <c r="A7403">
        <v>18960</v>
      </c>
      <c r="B7403">
        <v>15727</v>
      </c>
      <c r="C7403">
        <v>35</v>
      </c>
      <c r="D7403">
        <v>398.8</v>
      </c>
      <c r="E7403">
        <v>6.1</v>
      </c>
    </row>
    <row r="7404" spans="1:5" x14ac:dyDescent="0.2">
      <c r="A7404">
        <v>18970</v>
      </c>
      <c r="B7404">
        <v>15736</v>
      </c>
      <c r="C7404">
        <v>35</v>
      </c>
      <c r="D7404">
        <v>398.9</v>
      </c>
      <c r="E7404">
        <v>6.2</v>
      </c>
    </row>
    <row r="7405" spans="1:5" x14ac:dyDescent="0.2">
      <c r="A7405">
        <v>18980</v>
      </c>
      <c r="B7405">
        <v>15745</v>
      </c>
      <c r="C7405">
        <v>36</v>
      </c>
      <c r="D7405">
        <v>399.1</v>
      </c>
      <c r="E7405">
        <v>6.3</v>
      </c>
    </row>
    <row r="7406" spans="1:5" x14ac:dyDescent="0.2">
      <c r="A7406">
        <v>18990</v>
      </c>
      <c r="B7406">
        <v>15753</v>
      </c>
      <c r="C7406">
        <v>36</v>
      </c>
      <c r="D7406">
        <v>399.4</v>
      </c>
      <c r="E7406">
        <v>6.4</v>
      </c>
    </row>
    <row r="7407" spans="1:5" x14ac:dyDescent="0.2">
      <c r="A7407">
        <v>19000</v>
      </c>
      <c r="B7407">
        <v>15760</v>
      </c>
      <c r="C7407">
        <v>36</v>
      </c>
      <c r="D7407">
        <v>399.9</v>
      </c>
      <c r="E7407">
        <v>6.3</v>
      </c>
    </row>
    <row r="7408" spans="1:5" x14ac:dyDescent="0.2">
      <c r="A7408">
        <v>19010</v>
      </c>
      <c r="B7408">
        <v>15767</v>
      </c>
      <c r="C7408">
        <v>36</v>
      </c>
      <c r="D7408">
        <v>400.4</v>
      </c>
      <c r="E7408">
        <v>6.3</v>
      </c>
    </row>
    <row r="7409" spans="1:5" x14ac:dyDescent="0.2">
      <c r="A7409">
        <v>19020</v>
      </c>
      <c r="B7409">
        <v>15773</v>
      </c>
      <c r="C7409">
        <v>36</v>
      </c>
      <c r="D7409">
        <v>401</v>
      </c>
      <c r="E7409">
        <v>6.2</v>
      </c>
    </row>
    <row r="7410" spans="1:5" x14ac:dyDescent="0.2">
      <c r="A7410">
        <v>19030</v>
      </c>
      <c r="B7410">
        <v>15780</v>
      </c>
      <c r="C7410">
        <v>35</v>
      </c>
      <c r="D7410">
        <v>401.6</v>
      </c>
      <c r="E7410">
        <v>6.2</v>
      </c>
    </row>
    <row r="7411" spans="1:5" x14ac:dyDescent="0.2">
      <c r="A7411">
        <v>19040</v>
      </c>
      <c r="B7411">
        <v>15786</v>
      </c>
      <c r="C7411">
        <v>35</v>
      </c>
      <c r="D7411">
        <v>402.2</v>
      </c>
      <c r="E7411">
        <v>6.2</v>
      </c>
    </row>
    <row r="7412" spans="1:5" x14ac:dyDescent="0.2">
      <c r="A7412">
        <v>19050</v>
      </c>
      <c r="B7412">
        <v>15792</v>
      </c>
      <c r="C7412">
        <v>35</v>
      </c>
      <c r="D7412">
        <v>402.7</v>
      </c>
      <c r="E7412">
        <v>6.2</v>
      </c>
    </row>
    <row r="7413" spans="1:5" x14ac:dyDescent="0.2">
      <c r="A7413">
        <v>19060</v>
      </c>
      <c r="B7413">
        <v>15799</v>
      </c>
      <c r="C7413">
        <v>35</v>
      </c>
      <c r="D7413">
        <v>403.3</v>
      </c>
      <c r="E7413">
        <v>6.2</v>
      </c>
    </row>
    <row r="7414" spans="1:5" x14ac:dyDescent="0.2">
      <c r="A7414">
        <v>19070</v>
      </c>
      <c r="B7414">
        <v>15806</v>
      </c>
      <c r="C7414">
        <v>35</v>
      </c>
      <c r="D7414">
        <v>403.7</v>
      </c>
      <c r="E7414">
        <v>6.2</v>
      </c>
    </row>
    <row r="7415" spans="1:5" x14ac:dyDescent="0.2">
      <c r="A7415">
        <v>19080</v>
      </c>
      <c r="B7415">
        <v>15814</v>
      </c>
      <c r="C7415">
        <v>36</v>
      </c>
      <c r="D7415">
        <v>404</v>
      </c>
      <c r="E7415">
        <v>6.2</v>
      </c>
    </row>
    <row r="7416" spans="1:5" x14ac:dyDescent="0.2">
      <c r="A7416">
        <v>19090</v>
      </c>
      <c r="B7416">
        <v>15823</v>
      </c>
      <c r="C7416">
        <v>36</v>
      </c>
      <c r="D7416">
        <v>404.2</v>
      </c>
      <c r="E7416">
        <v>6.3</v>
      </c>
    </row>
    <row r="7417" spans="1:5" x14ac:dyDescent="0.2">
      <c r="A7417">
        <v>19100</v>
      </c>
      <c r="B7417">
        <v>15832</v>
      </c>
      <c r="C7417">
        <v>37</v>
      </c>
      <c r="D7417">
        <v>404.2</v>
      </c>
      <c r="E7417">
        <v>6.5</v>
      </c>
    </row>
    <row r="7418" spans="1:5" x14ac:dyDescent="0.2">
      <c r="A7418">
        <v>19110</v>
      </c>
      <c r="B7418">
        <v>15843</v>
      </c>
      <c r="C7418">
        <v>38</v>
      </c>
      <c r="D7418">
        <v>404.1</v>
      </c>
      <c r="E7418">
        <v>6.7</v>
      </c>
    </row>
    <row r="7419" spans="1:5" x14ac:dyDescent="0.2">
      <c r="A7419">
        <v>19120</v>
      </c>
      <c r="B7419">
        <v>15854</v>
      </c>
      <c r="C7419">
        <v>39</v>
      </c>
      <c r="D7419">
        <v>403.8</v>
      </c>
      <c r="E7419">
        <v>6.8</v>
      </c>
    </row>
    <row r="7420" spans="1:5" x14ac:dyDescent="0.2">
      <c r="A7420">
        <v>19130</v>
      </c>
      <c r="B7420">
        <v>15866</v>
      </c>
      <c r="C7420">
        <v>39</v>
      </c>
      <c r="D7420">
        <v>403.4</v>
      </c>
      <c r="E7420">
        <v>6.9</v>
      </c>
    </row>
    <row r="7421" spans="1:5" x14ac:dyDescent="0.2">
      <c r="A7421">
        <v>19140</v>
      </c>
      <c r="B7421">
        <v>15878</v>
      </c>
      <c r="C7421">
        <v>40</v>
      </c>
      <c r="D7421">
        <v>403</v>
      </c>
      <c r="E7421">
        <v>7</v>
      </c>
    </row>
    <row r="7422" spans="1:5" x14ac:dyDescent="0.2">
      <c r="A7422">
        <v>19150</v>
      </c>
      <c r="B7422">
        <v>15891</v>
      </c>
      <c r="C7422">
        <v>40</v>
      </c>
      <c r="D7422">
        <v>402.5</v>
      </c>
      <c r="E7422">
        <v>7</v>
      </c>
    </row>
    <row r="7423" spans="1:5" x14ac:dyDescent="0.2">
      <c r="A7423">
        <v>19160</v>
      </c>
      <c r="B7423">
        <v>15903</v>
      </c>
      <c r="C7423">
        <v>39</v>
      </c>
      <c r="D7423">
        <v>402.1</v>
      </c>
      <c r="E7423">
        <v>6.8</v>
      </c>
    </row>
    <row r="7424" spans="1:5" x14ac:dyDescent="0.2">
      <c r="A7424">
        <v>19170</v>
      </c>
      <c r="B7424">
        <v>15914</v>
      </c>
      <c r="C7424">
        <v>38</v>
      </c>
      <c r="D7424">
        <v>401.8</v>
      </c>
      <c r="E7424">
        <v>6.6</v>
      </c>
    </row>
    <row r="7425" spans="1:5" x14ac:dyDescent="0.2">
      <c r="A7425">
        <v>19180</v>
      </c>
      <c r="B7425">
        <v>15925</v>
      </c>
      <c r="C7425">
        <v>37</v>
      </c>
      <c r="D7425">
        <v>401.6</v>
      </c>
      <c r="E7425">
        <v>6.4</v>
      </c>
    </row>
    <row r="7426" spans="1:5" x14ac:dyDescent="0.2">
      <c r="A7426">
        <v>19190</v>
      </c>
      <c r="B7426">
        <v>15935</v>
      </c>
      <c r="C7426">
        <v>36</v>
      </c>
      <c r="D7426">
        <v>401.5</v>
      </c>
      <c r="E7426">
        <v>6.2</v>
      </c>
    </row>
    <row r="7427" spans="1:5" x14ac:dyDescent="0.2">
      <c r="A7427">
        <v>19200</v>
      </c>
      <c r="B7427">
        <v>15944</v>
      </c>
      <c r="C7427">
        <v>36</v>
      </c>
      <c r="D7427">
        <v>401.6</v>
      </c>
      <c r="E7427">
        <v>6.2</v>
      </c>
    </row>
    <row r="7428" spans="1:5" x14ac:dyDescent="0.2">
      <c r="A7428">
        <v>19210</v>
      </c>
      <c r="B7428">
        <v>15952</v>
      </c>
      <c r="C7428">
        <v>35</v>
      </c>
      <c r="D7428">
        <v>402</v>
      </c>
      <c r="E7428">
        <v>6.2</v>
      </c>
    </row>
    <row r="7429" spans="1:5" x14ac:dyDescent="0.2">
      <c r="A7429">
        <v>19220</v>
      </c>
      <c r="B7429">
        <v>15959</v>
      </c>
      <c r="C7429">
        <v>35</v>
      </c>
      <c r="D7429">
        <v>402.5</v>
      </c>
      <c r="E7429">
        <v>6.1</v>
      </c>
    </row>
    <row r="7430" spans="1:5" x14ac:dyDescent="0.2">
      <c r="A7430">
        <v>19230</v>
      </c>
      <c r="B7430">
        <v>15964</v>
      </c>
      <c r="C7430">
        <v>35</v>
      </c>
      <c r="D7430">
        <v>403.3</v>
      </c>
      <c r="E7430">
        <v>6.1</v>
      </c>
    </row>
    <row r="7431" spans="1:5" x14ac:dyDescent="0.2">
      <c r="A7431">
        <v>19240</v>
      </c>
      <c r="B7431">
        <v>15968</v>
      </c>
      <c r="C7431">
        <v>35</v>
      </c>
      <c r="D7431">
        <v>404.2</v>
      </c>
      <c r="E7431">
        <v>6.1</v>
      </c>
    </row>
    <row r="7432" spans="1:5" x14ac:dyDescent="0.2">
      <c r="A7432">
        <v>19250</v>
      </c>
      <c r="B7432">
        <v>15972</v>
      </c>
      <c r="C7432">
        <v>36</v>
      </c>
      <c r="D7432">
        <v>405.3</v>
      </c>
      <c r="E7432">
        <v>6.2</v>
      </c>
    </row>
    <row r="7433" spans="1:5" x14ac:dyDescent="0.2">
      <c r="A7433">
        <v>19260</v>
      </c>
      <c r="B7433">
        <v>15975</v>
      </c>
      <c r="C7433">
        <v>36</v>
      </c>
      <c r="D7433">
        <v>406.4</v>
      </c>
      <c r="E7433">
        <v>6.4</v>
      </c>
    </row>
    <row r="7434" spans="1:5" x14ac:dyDescent="0.2">
      <c r="A7434">
        <v>19270</v>
      </c>
      <c r="B7434">
        <v>15978</v>
      </c>
      <c r="C7434">
        <v>37</v>
      </c>
      <c r="D7434">
        <v>407.6</v>
      </c>
      <c r="E7434">
        <v>6.4</v>
      </c>
    </row>
    <row r="7435" spans="1:5" x14ac:dyDescent="0.2">
      <c r="A7435">
        <v>19280</v>
      </c>
      <c r="B7435">
        <v>15981</v>
      </c>
      <c r="C7435">
        <v>37</v>
      </c>
      <c r="D7435">
        <v>408.9</v>
      </c>
      <c r="E7435">
        <v>6.4</v>
      </c>
    </row>
    <row r="7436" spans="1:5" x14ac:dyDescent="0.2">
      <c r="A7436">
        <v>19290</v>
      </c>
      <c r="B7436">
        <v>15983</v>
      </c>
      <c r="C7436">
        <v>36</v>
      </c>
      <c r="D7436">
        <v>410.2</v>
      </c>
      <c r="E7436">
        <v>6.4</v>
      </c>
    </row>
    <row r="7437" spans="1:5" x14ac:dyDescent="0.2">
      <c r="A7437">
        <v>19300</v>
      </c>
      <c r="B7437">
        <v>15985</v>
      </c>
      <c r="C7437">
        <v>36</v>
      </c>
      <c r="D7437">
        <v>411.5</v>
      </c>
      <c r="E7437">
        <v>6.3</v>
      </c>
    </row>
    <row r="7438" spans="1:5" x14ac:dyDescent="0.2">
      <c r="A7438">
        <v>19310</v>
      </c>
      <c r="B7438">
        <v>15988</v>
      </c>
      <c r="C7438">
        <v>36</v>
      </c>
      <c r="D7438">
        <v>412.7</v>
      </c>
      <c r="E7438">
        <v>6.3</v>
      </c>
    </row>
    <row r="7439" spans="1:5" x14ac:dyDescent="0.2">
      <c r="A7439">
        <v>19320</v>
      </c>
      <c r="B7439">
        <v>15991</v>
      </c>
      <c r="C7439">
        <v>36</v>
      </c>
      <c r="D7439">
        <v>414</v>
      </c>
      <c r="E7439">
        <v>6.4</v>
      </c>
    </row>
    <row r="7440" spans="1:5" x14ac:dyDescent="0.2">
      <c r="A7440">
        <v>19330</v>
      </c>
      <c r="B7440">
        <v>15994</v>
      </c>
      <c r="C7440">
        <v>37</v>
      </c>
      <c r="D7440">
        <v>415.1</v>
      </c>
      <c r="E7440">
        <v>6.5</v>
      </c>
    </row>
    <row r="7441" spans="1:5" x14ac:dyDescent="0.2">
      <c r="A7441">
        <v>19340</v>
      </c>
      <c r="B7441">
        <v>15997</v>
      </c>
      <c r="C7441">
        <v>37</v>
      </c>
      <c r="D7441">
        <v>416.2</v>
      </c>
      <c r="E7441">
        <v>6.6</v>
      </c>
    </row>
    <row r="7442" spans="1:5" x14ac:dyDescent="0.2">
      <c r="A7442">
        <v>19350</v>
      </c>
      <c r="B7442">
        <v>16002</v>
      </c>
      <c r="C7442">
        <v>37</v>
      </c>
      <c r="D7442">
        <v>417.2</v>
      </c>
      <c r="E7442">
        <v>6.5</v>
      </c>
    </row>
    <row r="7443" spans="1:5" x14ac:dyDescent="0.2">
      <c r="A7443">
        <v>19360</v>
      </c>
      <c r="B7443">
        <v>16006</v>
      </c>
      <c r="C7443">
        <v>37</v>
      </c>
      <c r="D7443">
        <v>418</v>
      </c>
      <c r="E7443">
        <v>6.5</v>
      </c>
    </row>
    <row r="7444" spans="1:5" x14ac:dyDescent="0.2">
      <c r="A7444">
        <v>19370</v>
      </c>
      <c r="B7444">
        <v>16012</v>
      </c>
      <c r="C7444">
        <v>36</v>
      </c>
      <c r="D7444">
        <v>418.8</v>
      </c>
      <c r="E7444">
        <v>6.4</v>
      </c>
    </row>
    <row r="7445" spans="1:5" x14ac:dyDescent="0.2">
      <c r="A7445">
        <v>19380</v>
      </c>
      <c r="B7445">
        <v>16018</v>
      </c>
      <c r="C7445">
        <v>36</v>
      </c>
      <c r="D7445">
        <v>419.5</v>
      </c>
      <c r="E7445">
        <v>6.4</v>
      </c>
    </row>
    <row r="7446" spans="1:5" x14ac:dyDescent="0.2">
      <c r="A7446">
        <v>19390</v>
      </c>
      <c r="B7446">
        <v>16024</v>
      </c>
      <c r="C7446">
        <v>36</v>
      </c>
      <c r="D7446">
        <v>420</v>
      </c>
      <c r="E7446">
        <v>6.4</v>
      </c>
    </row>
    <row r="7447" spans="1:5" x14ac:dyDescent="0.2">
      <c r="A7447">
        <v>19400</v>
      </c>
      <c r="B7447">
        <v>16032</v>
      </c>
      <c r="C7447">
        <v>36</v>
      </c>
      <c r="D7447">
        <v>420.4</v>
      </c>
      <c r="E7447">
        <v>6.4</v>
      </c>
    </row>
    <row r="7448" spans="1:5" x14ac:dyDescent="0.2">
      <c r="A7448">
        <v>19410</v>
      </c>
      <c r="B7448">
        <v>16040</v>
      </c>
      <c r="C7448">
        <v>37</v>
      </c>
      <c r="D7448">
        <v>420.7</v>
      </c>
      <c r="E7448">
        <v>6.5</v>
      </c>
    </row>
    <row r="7449" spans="1:5" x14ac:dyDescent="0.2">
      <c r="A7449">
        <v>19420</v>
      </c>
      <c r="B7449">
        <v>16048</v>
      </c>
      <c r="C7449">
        <v>37</v>
      </c>
      <c r="D7449">
        <v>420.9</v>
      </c>
      <c r="E7449">
        <v>6.5</v>
      </c>
    </row>
    <row r="7450" spans="1:5" x14ac:dyDescent="0.2">
      <c r="A7450">
        <v>19430</v>
      </c>
      <c r="B7450">
        <v>16058</v>
      </c>
      <c r="C7450">
        <v>36</v>
      </c>
      <c r="D7450">
        <v>420.9</v>
      </c>
      <c r="E7450">
        <v>6.4</v>
      </c>
    </row>
    <row r="7451" spans="1:5" x14ac:dyDescent="0.2">
      <c r="A7451">
        <v>19440</v>
      </c>
      <c r="B7451">
        <v>16068</v>
      </c>
      <c r="C7451">
        <v>36</v>
      </c>
      <c r="D7451">
        <v>420.9</v>
      </c>
      <c r="E7451">
        <v>6.4</v>
      </c>
    </row>
    <row r="7452" spans="1:5" x14ac:dyDescent="0.2">
      <c r="A7452">
        <v>19450</v>
      </c>
      <c r="B7452">
        <v>16078</v>
      </c>
      <c r="C7452">
        <v>36</v>
      </c>
      <c r="D7452">
        <v>420.8</v>
      </c>
      <c r="E7452">
        <v>6.4</v>
      </c>
    </row>
    <row r="7453" spans="1:5" x14ac:dyDescent="0.2">
      <c r="A7453">
        <v>19460</v>
      </c>
      <c r="B7453">
        <v>16089</v>
      </c>
      <c r="C7453">
        <v>37</v>
      </c>
      <c r="D7453">
        <v>420.6</v>
      </c>
      <c r="E7453">
        <v>6.5</v>
      </c>
    </row>
    <row r="7454" spans="1:5" x14ac:dyDescent="0.2">
      <c r="A7454">
        <v>19470</v>
      </c>
      <c r="B7454">
        <v>16100</v>
      </c>
      <c r="C7454">
        <v>37</v>
      </c>
      <c r="D7454">
        <v>420.4</v>
      </c>
      <c r="E7454">
        <v>6.5</v>
      </c>
    </row>
    <row r="7455" spans="1:5" x14ac:dyDescent="0.2">
      <c r="A7455">
        <v>19480</v>
      </c>
      <c r="B7455">
        <v>16111</v>
      </c>
      <c r="C7455">
        <v>37</v>
      </c>
      <c r="D7455">
        <v>420.1</v>
      </c>
      <c r="E7455">
        <v>6.6</v>
      </c>
    </row>
    <row r="7456" spans="1:5" x14ac:dyDescent="0.2">
      <c r="A7456">
        <v>19490</v>
      </c>
      <c r="B7456">
        <v>16124</v>
      </c>
      <c r="C7456">
        <v>38</v>
      </c>
      <c r="D7456">
        <v>419.7</v>
      </c>
      <c r="E7456">
        <v>6.8</v>
      </c>
    </row>
    <row r="7457" spans="1:5" x14ac:dyDescent="0.2">
      <c r="A7457">
        <v>19500</v>
      </c>
      <c r="B7457">
        <v>16136</v>
      </c>
      <c r="C7457">
        <v>40</v>
      </c>
      <c r="D7457">
        <v>419.1</v>
      </c>
      <c r="E7457">
        <v>7</v>
      </c>
    </row>
    <row r="7458" spans="1:5" x14ac:dyDescent="0.2">
      <c r="A7458">
        <v>19510</v>
      </c>
      <c r="B7458">
        <v>16150</v>
      </c>
      <c r="C7458">
        <v>42</v>
      </c>
      <c r="D7458">
        <v>418.5</v>
      </c>
      <c r="E7458">
        <v>7.3</v>
      </c>
    </row>
    <row r="7459" spans="1:5" x14ac:dyDescent="0.2">
      <c r="A7459">
        <v>19520</v>
      </c>
      <c r="B7459">
        <v>16164</v>
      </c>
      <c r="C7459">
        <v>43</v>
      </c>
      <c r="D7459">
        <v>417.7</v>
      </c>
      <c r="E7459">
        <v>7.6</v>
      </c>
    </row>
    <row r="7460" spans="1:5" x14ac:dyDescent="0.2">
      <c r="A7460">
        <v>19530</v>
      </c>
      <c r="B7460">
        <v>16179</v>
      </c>
      <c r="C7460">
        <v>45</v>
      </c>
      <c r="D7460">
        <v>416.7</v>
      </c>
      <c r="E7460">
        <v>7.9</v>
      </c>
    </row>
    <row r="7461" spans="1:5" x14ac:dyDescent="0.2">
      <c r="A7461">
        <v>19540</v>
      </c>
      <c r="B7461">
        <v>16196</v>
      </c>
      <c r="C7461">
        <v>46</v>
      </c>
      <c r="D7461">
        <v>415.5</v>
      </c>
      <c r="E7461">
        <v>8.1999999999999993</v>
      </c>
    </row>
    <row r="7462" spans="1:5" x14ac:dyDescent="0.2">
      <c r="A7462">
        <v>19550</v>
      </c>
      <c r="B7462">
        <v>16213</v>
      </c>
      <c r="C7462">
        <v>48</v>
      </c>
      <c r="D7462">
        <v>414.1</v>
      </c>
      <c r="E7462">
        <v>8.5</v>
      </c>
    </row>
    <row r="7463" spans="1:5" x14ac:dyDescent="0.2">
      <c r="A7463">
        <v>19560</v>
      </c>
      <c r="B7463">
        <v>16232</v>
      </c>
      <c r="C7463">
        <v>49</v>
      </c>
      <c r="D7463">
        <v>412.5</v>
      </c>
      <c r="E7463">
        <v>8.6999999999999993</v>
      </c>
    </row>
    <row r="7464" spans="1:5" x14ac:dyDescent="0.2">
      <c r="A7464">
        <v>19570</v>
      </c>
      <c r="B7464">
        <v>16252</v>
      </c>
      <c r="C7464">
        <v>50</v>
      </c>
      <c r="D7464">
        <v>410.7</v>
      </c>
      <c r="E7464">
        <v>8.8000000000000007</v>
      </c>
    </row>
    <row r="7465" spans="1:5" x14ac:dyDescent="0.2">
      <c r="A7465">
        <v>19580</v>
      </c>
      <c r="B7465">
        <v>16272</v>
      </c>
      <c r="C7465">
        <v>51</v>
      </c>
      <c r="D7465">
        <v>408.9</v>
      </c>
      <c r="E7465">
        <v>8.9</v>
      </c>
    </row>
    <row r="7466" spans="1:5" x14ac:dyDescent="0.2">
      <c r="A7466">
        <v>19590</v>
      </c>
      <c r="B7466">
        <v>16292</v>
      </c>
      <c r="C7466">
        <v>51</v>
      </c>
      <c r="D7466">
        <v>407.1</v>
      </c>
      <c r="E7466">
        <v>8.9</v>
      </c>
    </row>
    <row r="7467" spans="1:5" x14ac:dyDescent="0.2">
      <c r="A7467">
        <v>19600</v>
      </c>
      <c r="B7467">
        <v>16311</v>
      </c>
      <c r="C7467">
        <v>51</v>
      </c>
      <c r="D7467">
        <v>405.4</v>
      </c>
      <c r="E7467">
        <v>9</v>
      </c>
    </row>
    <row r="7468" spans="1:5" x14ac:dyDescent="0.2">
      <c r="A7468">
        <v>19610</v>
      </c>
      <c r="B7468">
        <v>16329</v>
      </c>
      <c r="C7468">
        <v>51</v>
      </c>
      <c r="D7468">
        <v>404</v>
      </c>
      <c r="E7468">
        <v>9</v>
      </c>
    </row>
    <row r="7469" spans="1:5" x14ac:dyDescent="0.2">
      <c r="A7469">
        <v>19620</v>
      </c>
      <c r="B7469">
        <v>16345</v>
      </c>
      <c r="C7469">
        <v>51</v>
      </c>
      <c r="D7469">
        <v>402.9</v>
      </c>
      <c r="E7469">
        <v>8.9</v>
      </c>
    </row>
    <row r="7470" spans="1:5" x14ac:dyDescent="0.2">
      <c r="A7470">
        <v>19630</v>
      </c>
      <c r="B7470">
        <v>16359</v>
      </c>
      <c r="C7470">
        <v>50</v>
      </c>
      <c r="D7470">
        <v>402.2</v>
      </c>
      <c r="E7470">
        <v>8.6999999999999993</v>
      </c>
    </row>
    <row r="7471" spans="1:5" x14ac:dyDescent="0.2">
      <c r="A7471">
        <v>19640</v>
      </c>
      <c r="B7471">
        <v>16370</v>
      </c>
      <c r="C7471">
        <v>49</v>
      </c>
      <c r="D7471">
        <v>402</v>
      </c>
      <c r="E7471">
        <v>8.5</v>
      </c>
    </row>
    <row r="7472" spans="1:5" x14ac:dyDescent="0.2">
      <c r="A7472">
        <v>19650</v>
      </c>
      <c r="B7472">
        <v>16378</v>
      </c>
      <c r="C7472">
        <v>47</v>
      </c>
      <c r="D7472">
        <v>402.3</v>
      </c>
      <c r="E7472">
        <v>8.3000000000000007</v>
      </c>
    </row>
    <row r="7473" spans="1:5" x14ac:dyDescent="0.2">
      <c r="A7473">
        <v>19660</v>
      </c>
      <c r="B7473">
        <v>16383</v>
      </c>
      <c r="C7473">
        <v>47</v>
      </c>
      <c r="D7473">
        <v>403.1</v>
      </c>
      <c r="E7473">
        <v>8.1999999999999993</v>
      </c>
    </row>
    <row r="7474" spans="1:5" x14ac:dyDescent="0.2">
      <c r="A7474">
        <v>19670</v>
      </c>
      <c r="B7474">
        <v>16385</v>
      </c>
      <c r="C7474">
        <v>46</v>
      </c>
      <c r="D7474">
        <v>404.5</v>
      </c>
      <c r="E7474">
        <v>8.1</v>
      </c>
    </row>
    <row r="7475" spans="1:5" x14ac:dyDescent="0.2">
      <c r="A7475">
        <v>19680</v>
      </c>
      <c r="B7475">
        <v>16383</v>
      </c>
      <c r="C7475">
        <v>46</v>
      </c>
      <c r="D7475">
        <v>406.5</v>
      </c>
      <c r="E7475">
        <v>8</v>
      </c>
    </row>
    <row r="7476" spans="1:5" x14ac:dyDescent="0.2">
      <c r="A7476">
        <v>19690</v>
      </c>
      <c r="B7476">
        <v>16379</v>
      </c>
      <c r="C7476">
        <v>45</v>
      </c>
      <c r="D7476">
        <v>408.9</v>
      </c>
      <c r="E7476">
        <v>8</v>
      </c>
    </row>
    <row r="7477" spans="1:5" x14ac:dyDescent="0.2">
      <c r="A7477">
        <v>19700</v>
      </c>
      <c r="B7477">
        <v>16373</v>
      </c>
      <c r="C7477">
        <v>45</v>
      </c>
      <c r="D7477">
        <v>411.7</v>
      </c>
      <c r="E7477">
        <v>8</v>
      </c>
    </row>
    <row r="7478" spans="1:5" x14ac:dyDescent="0.2">
      <c r="A7478">
        <v>19710</v>
      </c>
      <c r="B7478">
        <v>16366</v>
      </c>
      <c r="C7478">
        <v>45</v>
      </c>
      <c r="D7478">
        <v>414.6</v>
      </c>
      <c r="E7478">
        <v>8</v>
      </c>
    </row>
    <row r="7479" spans="1:5" x14ac:dyDescent="0.2">
      <c r="A7479">
        <v>19720</v>
      </c>
      <c r="B7479">
        <v>16360</v>
      </c>
      <c r="C7479">
        <v>46</v>
      </c>
      <c r="D7479">
        <v>417.4</v>
      </c>
      <c r="E7479">
        <v>8.1</v>
      </c>
    </row>
    <row r="7480" spans="1:5" x14ac:dyDescent="0.2">
      <c r="A7480">
        <v>19730</v>
      </c>
      <c r="B7480">
        <v>16354</v>
      </c>
      <c r="C7480">
        <v>45</v>
      </c>
      <c r="D7480">
        <v>420.1</v>
      </c>
      <c r="E7480">
        <v>8</v>
      </c>
    </row>
    <row r="7481" spans="1:5" x14ac:dyDescent="0.2">
      <c r="A7481">
        <v>19740</v>
      </c>
      <c r="B7481">
        <v>16350</v>
      </c>
      <c r="C7481">
        <v>45</v>
      </c>
      <c r="D7481">
        <v>422.6</v>
      </c>
      <c r="E7481">
        <v>7.9</v>
      </c>
    </row>
    <row r="7482" spans="1:5" x14ac:dyDescent="0.2">
      <c r="A7482">
        <v>19750</v>
      </c>
      <c r="B7482">
        <v>16347</v>
      </c>
      <c r="C7482">
        <v>43</v>
      </c>
      <c r="D7482">
        <v>424.8</v>
      </c>
      <c r="E7482">
        <v>7.7</v>
      </c>
    </row>
    <row r="7483" spans="1:5" x14ac:dyDescent="0.2">
      <c r="A7483">
        <v>19760</v>
      </c>
      <c r="B7483">
        <v>16346</v>
      </c>
      <c r="C7483">
        <v>42</v>
      </c>
      <c r="D7483">
        <v>426.7</v>
      </c>
      <c r="E7483">
        <v>7.5</v>
      </c>
    </row>
    <row r="7484" spans="1:5" x14ac:dyDescent="0.2">
      <c r="A7484">
        <v>19770</v>
      </c>
      <c r="B7484">
        <v>16346</v>
      </c>
      <c r="C7484">
        <v>41</v>
      </c>
      <c r="D7484">
        <v>428.4</v>
      </c>
      <c r="E7484">
        <v>7.4</v>
      </c>
    </row>
    <row r="7485" spans="1:5" x14ac:dyDescent="0.2">
      <c r="A7485">
        <v>19780</v>
      </c>
      <c r="B7485">
        <v>16348</v>
      </c>
      <c r="C7485">
        <v>41</v>
      </c>
      <c r="D7485">
        <v>429.7</v>
      </c>
      <c r="E7485">
        <v>7.3</v>
      </c>
    </row>
    <row r="7486" spans="1:5" x14ac:dyDescent="0.2">
      <c r="A7486">
        <v>19790</v>
      </c>
      <c r="B7486">
        <v>16352</v>
      </c>
      <c r="C7486">
        <v>41</v>
      </c>
      <c r="D7486">
        <v>430.8</v>
      </c>
      <c r="E7486">
        <v>7.3</v>
      </c>
    </row>
    <row r="7487" spans="1:5" x14ac:dyDescent="0.2">
      <c r="A7487">
        <v>19800</v>
      </c>
      <c r="B7487">
        <v>16358</v>
      </c>
      <c r="C7487">
        <v>41</v>
      </c>
      <c r="D7487">
        <v>431.5</v>
      </c>
      <c r="E7487">
        <v>7.3</v>
      </c>
    </row>
    <row r="7488" spans="1:5" x14ac:dyDescent="0.2">
      <c r="A7488">
        <v>19810</v>
      </c>
      <c r="B7488">
        <v>16366</v>
      </c>
      <c r="C7488">
        <v>41</v>
      </c>
      <c r="D7488">
        <v>431.8</v>
      </c>
      <c r="E7488">
        <v>7.4</v>
      </c>
    </row>
    <row r="7489" spans="1:5" x14ac:dyDescent="0.2">
      <c r="A7489">
        <v>19820</v>
      </c>
      <c r="B7489">
        <v>16376</v>
      </c>
      <c r="C7489">
        <v>41</v>
      </c>
      <c r="D7489">
        <v>431.8</v>
      </c>
      <c r="E7489">
        <v>7.4</v>
      </c>
    </row>
    <row r="7490" spans="1:5" x14ac:dyDescent="0.2">
      <c r="A7490">
        <v>19830</v>
      </c>
      <c r="B7490">
        <v>16387</v>
      </c>
      <c r="C7490">
        <v>42</v>
      </c>
      <c r="D7490">
        <v>431.5</v>
      </c>
      <c r="E7490">
        <v>7.4</v>
      </c>
    </row>
    <row r="7491" spans="1:5" x14ac:dyDescent="0.2">
      <c r="A7491">
        <v>19840</v>
      </c>
      <c r="B7491">
        <v>16400</v>
      </c>
      <c r="C7491">
        <v>43</v>
      </c>
      <c r="D7491">
        <v>431</v>
      </c>
      <c r="E7491">
        <v>7.6</v>
      </c>
    </row>
    <row r="7492" spans="1:5" x14ac:dyDescent="0.2">
      <c r="A7492">
        <v>19850</v>
      </c>
      <c r="B7492">
        <v>16413</v>
      </c>
      <c r="C7492">
        <v>43</v>
      </c>
      <c r="D7492">
        <v>430.3</v>
      </c>
      <c r="E7492">
        <v>7.7</v>
      </c>
    </row>
    <row r="7493" spans="1:5" x14ac:dyDescent="0.2">
      <c r="A7493">
        <v>19860</v>
      </c>
      <c r="B7493">
        <v>16428</v>
      </c>
      <c r="C7493">
        <v>44</v>
      </c>
      <c r="D7493">
        <v>429.4</v>
      </c>
      <c r="E7493">
        <v>7.8</v>
      </c>
    </row>
    <row r="7494" spans="1:5" x14ac:dyDescent="0.2">
      <c r="A7494">
        <v>19870</v>
      </c>
      <c r="B7494">
        <v>16443</v>
      </c>
      <c r="C7494">
        <v>44</v>
      </c>
      <c r="D7494">
        <v>428.5</v>
      </c>
      <c r="E7494">
        <v>7.8</v>
      </c>
    </row>
    <row r="7495" spans="1:5" x14ac:dyDescent="0.2">
      <c r="A7495">
        <v>19880</v>
      </c>
      <c r="B7495">
        <v>16458</v>
      </c>
      <c r="C7495">
        <v>44</v>
      </c>
      <c r="D7495">
        <v>427.5</v>
      </c>
      <c r="E7495">
        <v>7.7</v>
      </c>
    </row>
    <row r="7496" spans="1:5" x14ac:dyDescent="0.2">
      <c r="A7496">
        <v>19890</v>
      </c>
      <c r="B7496">
        <v>16473</v>
      </c>
      <c r="C7496">
        <v>43</v>
      </c>
      <c r="D7496">
        <v>426.5</v>
      </c>
      <c r="E7496">
        <v>7.6</v>
      </c>
    </row>
    <row r="7497" spans="1:5" x14ac:dyDescent="0.2">
      <c r="A7497">
        <v>19900</v>
      </c>
      <c r="B7497">
        <v>16488</v>
      </c>
      <c r="C7497">
        <v>43</v>
      </c>
      <c r="D7497">
        <v>425.6</v>
      </c>
      <c r="E7497">
        <v>7.6</v>
      </c>
    </row>
    <row r="7498" spans="1:5" x14ac:dyDescent="0.2">
      <c r="A7498">
        <v>19910</v>
      </c>
      <c r="B7498">
        <v>16502</v>
      </c>
      <c r="C7498">
        <v>43</v>
      </c>
      <c r="D7498">
        <v>424.9</v>
      </c>
      <c r="E7498">
        <v>7.5</v>
      </c>
    </row>
    <row r="7499" spans="1:5" x14ac:dyDescent="0.2">
      <c r="A7499">
        <v>19920</v>
      </c>
      <c r="B7499">
        <v>16514</v>
      </c>
      <c r="C7499">
        <v>43</v>
      </c>
      <c r="D7499">
        <v>424.5</v>
      </c>
      <c r="E7499">
        <v>7.5</v>
      </c>
    </row>
    <row r="7500" spans="1:5" x14ac:dyDescent="0.2">
      <c r="A7500">
        <v>19930</v>
      </c>
      <c r="B7500">
        <v>16525</v>
      </c>
      <c r="C7500">
        <v>42</v>
      </c>
      <c r="D7500">
        <v>424.3</v>
      </c>
      <c r="E7500">
        <v>7.5</v>
      </c>
    </row>
    <row r="7501" spans="1:5" x14ac:dyDescent="0.2">
      <c r="A7501">
        <v>19940</v>
      </c>
      <c r="B7501">
        <v>16534</v>
      </c>
      <c r="C7501">
        <v>42</v>
      </c>
      <c r="D7501">
        <v>424.5</v>
      </c>
      <c r="E7501">
        <v>7.4</v>
      </c>
    </row>
    <row r="7502" spans="1:5" x14ac:dyDescent="0.2">
      <c r="A7502">
        <v>19950</v>
      </c>
      <c r="B7502">
        <v>16541</v>
      </c>
      <c r="C7502">
        <v>42</v>
      </c>
      <c r="D7502">
        <v>424.9</v>
      </c>
      <c r="E7502">
        <v>7.4</v>
      </c>
    </row>
    <row r="7503" spans="1:5" x14ac:dyDescent="0.2">
      <c r="A7503">
        <v>19960</v>
      </c>
      <c r="B7503">
        <v>16547</v>
      </c>
      <c r="C7503">
        <v>42</v>
      </c>
      <c r="D7503">
        <v>425.5</v>
      </c>
      <c r="E7503">
        <v>7.4</v>
      </c>
    </row>
    <row r="7504" spans="1:5" x14ac:dyDescent="0.2">
      <c r="A7504">
        <v>19970</v>
      </c>
      <c r="B7504">
        <v>16553</v>
      </c>
      <c r="C7504">
        <v>42</v>
      </c>
      <c r="D7504">
        <v>426.2</v>
      </c>
      <c r="E7504">
        <v>7.5</v>
      </c>
    </row>
    <row r="7505" spans="1:5" x14ac:dyDescent="0.2">
      <c r="A7505">
        <v>19980</v>
      </c>
      <c r="B7505">
        <v>16558</v>
      </c>
      <c r="C7505">
        <v>43</v>
      </c>
      <c r="D7505">
        <v>427.1</v>
      </c>
      <c r="E7505">
        <v>7.7</v>
      </c>
    </row>
    <row r="7506" spans="1:5" x14ac:dyDescent="0.2">
      <c r="A7506">
        <v>19990</v>
      </c>
      <c r="B7506">
        <v>16562</v>
      </c>
      <c r="C7506">
        <v>44</v>
      </c>
      <c r="D7506">
        <v>428.1</v>
      </c>
      <c r="E7506">
        <v>7.8</v>
      </c>
    </row>
    <row r="7507" spans="1:5" x14ac:dyDescent="0.2">
      <c r="A7507">
        <v>20000</v>
      </c>
      <c r="B7507">
        <v>16566</v>
      </c>
      <c r="C7507">
        <v>45</v>
      </c>
      <c r="D7507">
        <v>429.1</v>
      </c>
      <c r="E7507">
        <v>7.9</v>
      </c>
    </row>
    <row r="7508" spans="1:5" x14ac:dyDescent="0.2">
      <c r="A7508">
        <v>20010</v>
      </c>
      <c r="B7508">
        <v>16570</v>
      </c>
      <c r="C7508">
        <v>45</v>
      </c>
      <c r="D7508">
        <v>430.2</v>
      </c>
      <c r="E7508">
        <v>8</v>
      </c>
    </row>
    <row r="7509" spans="1:5" x14ac:dyDescent="0.2">
      <c r="A7509">
        <v>20020</v>
      </c>
      <c r="B7509">
        <v>16574</v>
      </c>
      <c r="C7509">
        <v>45</v>
      </c>
      <c r="D7509">
        <v>431.2</v>
      </c>
      <c r="E7509">
        <v>8</v>
      </c>
    </row>
    <row r="7510" spans="1:5" x14ac:dyDescent="0.2">
      <c r="A7510">
        <v>20030</v>
      </c>
      <c r="B7510">
        <v>16578</v>
      </c>
      <c r="C7510">
        <v>44</v>
      </c>
      <c r="D7510">
        <v>432.2</v>
      </c>
      <c r="E7510">
        <v>7.9</v>
      </c>
    </row>
    <row r="7511" spans="1:5" x14ac:dyDescent="0.2">
      <c r="A7511">
        <v>20040</v>
      </c>
      <c r="B7511">
        <v>16583</v>
      </c>
      <c r="C7511">
        <v>45</v>
      </c>
      <c r="D7511">
        <v>433</v>
      </c>
      <c r="E7511">
        <v>8</v>
      </c>
    </row>
    <row r="7512" spans="1:5" x14ac:dyDescent="0.2">
      <c r="A7512">
        <v>20050</v>
      </c>
      <c r="B7512">
        <v>16588</v>
      </c>
      <c r="C7512">
        <v>45</v>
      </c>
      <c r="D7512">
        <v>433.8</v>
      </c>
      <c r="E7512">
        <v>8</v>
      </c>
    </row>
    <row r="7513" spans="1:5" x14ac:dyDescent="0.2">
      <c r="A7513">
        <v>20060</v>
      </c>
      <c r="B7513">
        <v>16594</v>
      </c>
      <c r="C7513">
        <v>46</v>
      </c>
      <c r="D7513">
        <v>434.5</v>
      </c>
      <c r="E7513">
        <v>8.1</v>
      </c>
    </row>
    <row r="7514" spans="1:5" x14ac:dyDescent="0.2">
      <c r="A7514">
        <v>20070</v>
      </c>
      <c r="B7514">
        <v>16601</v>
      </c>
      <c r="C7514">
        <v>46</v>
      </c>
      <c r="D7514">
        <v>435</v>
      </c>
      <c r="E7514">
        <v>8.1999999999999993</v>
      </c>
    </row>
    <row r="7515" spans="1:5" x14ac:dyDescent="0.2">
      <c r="A7515">
        <v>20080</v>
      </c>
      <c r="B7515">
        <v>16608</v>
      </c>
      <c r="C7515">
        <v>46</v>
      </c>
      <c r="D7515">
        <v>435.5</v>
      </c>
      <c r="E7515">
        <v>8.1</v>
      </c>
    </row>
    <row r="7516" spans="1:5" x14ac:dyDescent="0.2">
      <c r="A7516">
        <v>20090</v>
      </c>
      <c r="B7516">
        <v>16616</v>
      </c>
      <c r="C7516">
        <v>45</v>
      </c>
      <c r="D7516">
        <v>435.8</v>
      </c>
      <c r="E7516">
        <v>8.1</v>
      </c>
    </row>
    <row r="7517" spans="1:5" x14ac:dyDescent="0.2">
      <c r="A7517">
        <v>20100</v>
      </c>
      <c r="B7517">
        <v>16624</v>
      </c>
      <c r="C7517">
        <v>45</v>
      </c>
      <c r="D7517">
        <v>436.1</v>
      </c>
      <c r="E7517">
        <v>8</v>
      </c>
    </row>
    <row r="7518" spans="1:5" x14ac:dyDescent="0.2">
      <c r="A7518">
        <v>20110</v>
      </c>
      <c r="B7518">
        <v>16632</v>
      </c>
      <c r="C7518">
        <v>44</v>
      </c>
      <c r="D7518">
        <v>436.4</v>
      </c>
      <c r="E7518">
        <v>7.9</v>
      </c>
    </row>
    <row r="7519" spans="1:5" x14ac:dyDescent="0.2">
      <c r="A7519">
        <v>20120</v>
      </c>
      <c r="B7519">
        <v>16640</v>
      </c>
      <c r="C7519">
        <v>44</v>
      </c>
      <c r="D7519">
        <v>436.7</v>
      </c>
      <c r="E7519">
        <v>7.9</v>
      </c>
    </row>
    <row r="7520" spans="1:5" x14ac:dyDescent="0.2">
      <c r="A7520">
        <v>20130</v>
      </c>
      <c r="B7520">
        <v>16648</v>
      </c>
      <c r="C7520">
        <v>44</v>
      </c>
      <c r="D7520">
        <v>437</v>
      </c>
      <c r="E7520">
        <v>7.9</v>
      </c>
    </row>
    <row r="7521" spans="1:5" x14ac:dyDescent="0.2">
      <c r="A7521">
        <v>20140</v>
      </c>
      <c r="B7521">
        <v>16656</v>
      </c>
      <c r="C7521">
        <v>43</v>
      </c>
      <c r="D7521">
        <v>437.3</v>
      </c>
      <c r="E7521">
        <v>7.8</v>
      </c>
    </row>
    <row r="7522" spans="1:5" x14ac:dyDescent="0.2">
      <c r="A7522">
        <v>20150</v>
      </c>
      <c r="B7522">
        <v>16664</v>
      </c>
      <c r="C7522">
        <v>43</v>
      </c>
      <c r="D7522">
        <v>437.7</v>
      </c>
      <c r="E7522">
        <v>7.7</v>
      </c>
    </row>
    <row r="7523" spans="1:5" x14ac:dyDescent="0.2">
      <c r="A7523">
        <v>20160</v>
      </c>
      <c r="B7523">
        <v>16671</v>
      </c>
      <c r="C7523">
        <v>42</v>
      </c>
      <c r="D7523">
        <v>438.1</v>
      </c>
      <c r="E7523">
        <v>7.5</v>
      </c>
    </row>
    <row r="7524" spans="1:5" x14ac:dyDescent="0.2">
      <c r="A7524">
        <v>20170</v>
      </c>
      <c r="B7524">
        <v>16678</v>
      </c>
      <c r="C7524">
        <v>41</v>
      </c>
      <c r="D7524">
        <v>438.6</v>
      </c>
      <c r="E7524">
        <v>7.3</v>
      </c>
    </row>
    <row r="7525" spans="1:5" x14ac:dyDescent="0.2">
      <c r="A7525">
        <v>20180</v>
      </c>
      <c r="B7525">
        <v>16684</v>
      </c>
      <c r="C7525">
        <v>40</v>
      </c>
      <c r="D7525">
        <v>439.2</v>
      </c>
      <c r="E7525">
        <v>7.2</v>
      </c>
    </row>
    <row r="7526" spans="1:5" x14ac:dyDescent="0.2">
      <c r="A7526">
        <v>20190</v>
      </c>
      <c r="B7526">
        <v>16691</v>
      </c>
      <c r="C7526">
        <v>40</v>
      </c>
      <c r="D7526">
        <v>439.7</v>
      </c>
      <c r="E7526">
        <v>7.2</v>
      </c>
    </row>
    <row r="7527" spans="1:5" x14ac:dyDescent="0.2">
      <c r="A7527">
        <v>20200</v>
      </c>
      <c r="B7527">
        <v>16698</v>
      </c>
      <c r="C7527">
        <v>40</v>
      </c>
      <c r="D7527">
        <v>440.2</v>
      </c>
      <c r="E7527">
        <v>7.2</v>
      </c>
    </row>
    <row r="7528" spans="1:5" x14ac:dyDescent="0.2">
      <c r="A7528">
        <v>20210</v>
      </c>
      <c r="B7528">
        <v>16705</v>
      </c>
      <c r="C7528">
        <v>40</v>
      </c>
      <c r="D7528">
        <v>440.7</v>
      </c>
      <c r="E7528">
        <v>7.2</v>
      </c>
    </row>
    <row r="7529" spans="1:5" x14ac:dyDescent="0.2">
      <c r="A7529">
        <v>20220</v>
      </c>
      <c r="B7529">
        <v>16712</v>
      </c>
      <c r="C7529">
        <v>40</v>
      </c>
      <c r="D7529">
        <v>441.2</v>
      </c>
      <c r="E7529">
        <v>7.2</v>
      </c>
    </row>
    <row r="7530" spans="1:5" x14ac:dyDescent="0.2">
      <c r="A7530">
        <v>20230</v>
      </c>
      <c r="B7530">
        <v>16720</v>
      </c>
      <c r="C7530">
        <v>40</v>
      </c>
      <c r="D7530">
        <v>441.5</v>
      </c>
      <c r="E7530">
        <v>7.2</v>
      </c>
    </row>
    <row r="7531" spans="1:5" x14ac:dyDescent="0.2">
      <c r="A7531">
        <v>20240</v>
      </c>
      <c r="B7531">
        <v>16728</v>
      </c>
      <c r="C7531">
        <v>40</v>
      </c>
      <c r="D7531">
        <v>441.8</v>
      </c>
      <c r="E7531">
        <v>7.2</v>
      </c>
    </row>
    <row r="7532" spans="1:5" x14ac:dyDescent="0.2">
      <c r="A7532">
        <v>20250</v>
      </c>
      <c r="B7532">
        <v>16736</v>
      </c>
      <c r="C7532">
        <v>40</v>
      </c>
      <c r="D7532">
        <v>442.1</v>
      </c>
      <c r="E7532">
        <v>7.2</v>
      </c>
    </row>
    <row r="7533" spans="1:5" x14ac:dyDescent="0.2">
      <c r="A7533">
        <v>20260</v>
      </c>
      <c r="B7533">
        <v>16744</v>
      </c>
      <c r="C7533">
        <v>41</v>
      </c>
      <c r="D7533">
        <v>442.4</v>
      </c>
      <c r="E7533">
        <v>7.3</v>
      </c>
    </row>
    <row r="7534" spans="1:5" x14ac:dyDescent="0.2">
      <c r="A7534">
        <v>20270</v>
      </c>
      <c r="B7534">
        <v>16753</v>
      </c>
      <c r="C7534">
        <v>41</v>
      </c>
      <c r="D7534">
        <v>442.6</v>
      </c>
      <c r="E7534">
        <v>7.4</v>
      </c>
    </row>
    <row r="7535" spans="1:5" x14ac:dyDescent="0.2">
      <c r="A7535">
        <v>20280</v>
      </c>
      <c r="B7535">
        <v>16761</v>
      </c>
      <c r="C7535">
        <v>41</v>
      </c>
      <c r="D7535">
        <v>442.8</v>
      </c>
      <c r="E7535">
        <v>7.4</v>
      </c>
    </row>
    <row r="7536" spans="1:5" x14ac:dyDescent="0.2">
      <c r="A7536">
        <v>20290</v>
      </c>
      <c r="B7536">
        <v>16770</v>
      </c>
      <c r="C7536">
        <v>41</v>
      </c>
      <c r="D7536">
        <v>443</v>
      </c>
      <c r="E7536">
        <v>7.4</v>
      </c>
    </row>
    <row r="7537" spans="1:5" x14ac:dyDescent="0.2">
      <c r="A7537">
        <v>20300</v>
      </c>
      <c r="B7537">
        <v>16778</v>
      </c>
      <c r="C7537">
        <v>41</v>
      </c>
      <c r="D7537">
        <v>443.3</v>
      </c>
      <c r="E7537">
        <v>7.4</v>
      </c>
    </row>
    <row r="7538" spans="1:5" x14ac:dyDescent="0.2">
      <c r="A7538">
        <v>20310</v>
      </c>
      <c r="B7538">
        <v>16787</v>
      </c>
      <c r="C7538">
        <v>41</v>
      </c>
      <c r="D7538">
        <v>443.5</v>
      </c>
      <c r="E7538">
        <v>7.3</v>
      </c>
    </row>
    <row r="7539" spans="1:5" x14ac:dyDescent="0.2">
      <c r="A7539">
        <v>20320</v>
      </c>
      <c r="B7539">
        <v>16795</v>
      </c>
      <c r="C7539">
        <v>41</v>
      </c>
      <c r="D7539">
        <v>443.8</v>
      </c>
      <c r="E7539">
        <v>7.4</v>
      </c>
    </row>
    <row r="7540" spans="1:5" x14ac:dyDescent="0.2">
      <c r="A7540">
        <v>20330</v>
      </c>
      <c r="B7540">
        <v>16803</v>
      </c>
      <c r="C7540">
        <v>41</v>
      </c>
      <c r="D7540">
        <v>444.1</v>
      </c>
      <c r="E7540">
        <v>7.4</v>
      </c>
    </row>
    <row r="7541" spans="1:5" x14ac:dyDescent="0.2">
      <c r="A7541">
        <v>20340</v>
      </c>
      <c r="B7541">
        <v>16810</v>
      </c>
      <c r="C7541">
        <v>41</v>
      </c>
      <c r="D7541">
        <v>444.4</v>
      </c>
      <c r="E7541">
        <v>7.5</v>
      </c>
    </row>
    <row r="7542" spans="1:5" x14ac:dyDescent="0.2">
      <c r="A7542">
        <v>20350</v>
      </c>
      <c r="B7542">
        <v>16818</v>
      </c>
      <c r="C7542">
        <v>41</v>
      </c>
      <c r="D7542">
        <v>444.8</v>
      </c>
      <c r="E7542">
        <v>7.4</v>
      </c>
    </row>
    <row r="7543" spans="1:5" x14ac:dyDescent="0.2">
      <c r="A7543">
        <v>20360</v>
      </c>
      <c r="B7543">
        <v>16825</v>
      </c>
      <c r="C7543">
        <v>41</v>
      </c>
      <c r="D7543">
        <v>445.3</v>
      </c>
      <c r="E7543">
        <v>7.3</v>
      </c>
    </row>
    <row r="7544" spans="1:5" x14ac:dyDescent="0.2">
      <c r="A7544">
        <v>20370</v>
      </c>
      <c r="B7544">
        <v>16832</v>
      </c>
      <c r="C7544">
        <v>40</v>
      </c>
      <c r="D7544">
        <v>445.8</v>
      </c>
      <c r="E7544">
        <v>7.2</v>
      </c>
    </row>
    <row r="7545" spans="1:5" x14ac:dyDescent="0.2">
      <c r="A7545">
        <v>20380</v>
      </c>
      <c r="B7545">
        <v>16839</v>
      </c>
      <c r="C7545">
        <v>40</v>
      </c>
      <c r="D7545">
        <v>446.3</v>
      </c>
      <c r="E7545">
        <v>7.2</v>
      </c>
    </row>
    <row r="7546" spans="1:5" x14ac:dyDescent="0.2">
      <c r="A7546">
        <v>20390</v>
      </c>
      <c r="B7546">
        <v>16847</v>
      </c>
      <c r="C7546">
        <v>40</v>
      </c>
      <c r="D7546">
        <v>446.7</v>
      </c>
      <c r="E7546">
        <v>7.2</v>
      </c>
    </row>
    <row r="7547" spans="1:5" x14ac:dyDescent="0.2">
      <c r="A7547">
        <v>20400</v>
      </c>
      <c r="B7547">
        <v>16854</v>
      </c>
      <c r="C7547">
        <v>40</v>
      </c>
      <c r="D7547">
        <v>447.1</v>
      </c>
      <c r="E7547">
        <v>7.2</v>
      </c>
    </row>
    <row r="7548" spans="1:5" x14ac:dyDescent="0.2">
      <c r="A7548">
        <v>20410</v>
      </c>
      <c r="B7548">
        <v>16863</v>
      </c>
      <c r="C7548">
        <v>40</v>
      </c>
      <c r="D7548">
        <v>447.3</v>
      </c>
      <c r="E7548">
        <v>7.3</v>
      </c>
    </row>
    <row r="7549" spans="1:5" x14ac:dyDescent="0.2">
      <c r="A7549">
        <v>20420</v>
      </c>
      <c r="B7549">
        <v>16872</v>
      </c>
      <c r="C7549">
        <v>41</v>
      </c>
      <c r="D7549">
        <v>447.4</v>
      </c>
      <c r="E7549">
        <v>7.3</v>
      </c>
    </row>
    <row r="7550" spans="1:5" x14ac:dyDescent="0.2">
      <c r="A7550">
        <v>20430</v>
      </c>
      <c r="B7550">
        <v>16882</v>
      </c>
      <c r="C7550">
        <v>41</v>
      </c>
      <c r="D7550">
        <v>447.3</v>
      </c>
      <c r="E7550">
        <v>7.4</v>
      </c>
    </row>
    <row r="7551" spans="1:5" x14ac:dyDescent="0.2">
      <c r="A7551">
        <v>20440</v>
      </c>
      <c r="B7551">
        <v>16893</v>
      </c>
      <c r="C7551">
        <v>42</v>
      </c>
      <c r="D7551">
        <v>447.1</v>
      </c>
      <c r="E7551">
        <v>7.5</v>
      </c>
    </row>
    <row r="7552" spans="1:5" x14ac:dyDescent="0.2">
      <c r="A7552">
        <v>20450</v>
      </c>
      <c r="B7552">
        <v>16905</v>
      </c>
      <c r="C7552">
        <v>43</v>
      </c>
      <c r="D7552">
        <v>446.7</v>
      </c>
      <c r="E7552">
        <v>7.7</v>
      </c>
    </row>
    <row r="7553" spans="1:5" x14ac:dyDescent="0.2">
      <c r="A7553">
        <v>20460</v>
      </c>
      <c r="B7553">
        <v>16917</v>
      </c>
      <c r="C7553">
        <v>44</v>
      </c>
      <c r="D7553">
        <v>446.2</v>
      </c>
      <c r="E7553">
        <v>7.9</v>
      </c>
    </row>
    <row r="7554" spans="1:5" x14ac:dyDescent="0.2">
      <c r="A7554">
        <v>20470</v>
      </c>
      <c r="B7554">
        <v>16931</v>
      </c>
      <c r="C7554">
        <v>45</v>
      </c>
      <c r="D7554">
        <v>445.5</v>
      </c>
      <c r="E7554">
        <v>8.1</v>
      </c>
    </row>
    <row r="7555" spans="1:5" x14ac:dyDescent="0.2">
      <c r="A7555">
        <v>20480</v>
      </c>
      <c r="B7555">
        <v>16945</v>
      </c>
      <c r="C7555">
        <v>45</v>
      </c>
      <c r="D7555">
        <v>444.7</v>
      </c>
      <c r="E7555">
        <v>8.1</v>
      </c>
    </row>
    <row r="7556" spans="1:5" x14ac:dyDescent="0.2">
      <c r="A7556">
        <v>20490</v>
      </c>
      <c r="B7556">
        <v>16960</v>
      </c>
      <c r="C7556">
        <v>45</v>
      </c>
      <c r="D7556">
        <v>443.7</v>
      </c>
      <c r="E7556">
        <v>8.1</v>
      </c>
    </row>
    <row r="7557" spans="1:5" x14ac:dyDescent="0.2">
      <c r="A7557">
        <v>20500</v>
      </c>
      <c r="B7557">
        <v>16976</v>
      </c>
      <c r="C7557">
        <v>45</v>
      </c>
      <c r="D7557">
        <v>442.7</v>
      </c>
      <c r="E7557">
        <v>8.1</v>
      </c>
    </row>
    <row r="7558" spans="1:5" x14ac:dyDescent="0.2">
      <c r="A7558">
        <v>20510</v>
      </c>
      <c r="B7558">
        <v>16991</v>
      </c>
      <c r="C7558">
        <v>45</v>
      </c>
      <c r="D7558">
        <v>441.6</v>
      </c>
      <c r="E7558">
        <v>8.1</v>
      </c>
    </row>
    <row r="7559" spans="1:5" x14ac:dyDescent="0.2">
      <c r="A7559">
        <v>20520</v>
      </c>
      <c r="B7559">
        <v>17007</v>
      </c>
      <c r="C7559">
        <v>45</v>
      </c>
      <c r="D7559">
        <v>440.6</v>
      </c>
      <c r="E7559">
        <v>8.1</v>
      </c>
    </row>
    <row r="7560" spans="1:5" x14ac:dyDescent="0.2">
      <c r="A7560">
        <v>20530</v>
      </c>
      <c r="B7560">
        <v>17022</v>
      </c>
      <c r="C7560">
        <v>45</v>
      </c>
      <c r="D7560">
        <v>439.6</v>
      </c>
      <c r="E7560">
        <v>8.1</v>
      </c>
    </row>
    <row r="7561" spans="1:5" x14ac:dyDescent="0.2">
      <c r="A7561">
        <v>20540</v>
      </c>
      <c r="B7561">
        <v>17037</v>
      </c>
      <c r="C7561">
        <v>45</v>
      </c>
      <c r="D7561">
        <v>438.7</v>
      </c>
      <c r="E7561">
        <v>8.1</v>
      </c>
    </row>
    <row r="7562" spans="1:5" x14ac:dyDescent="0.2">
      <c r="A7562">
        <v>20550</v>
      </c>
      <c r="B7562">
        <v>17051</v>
      </c>
      <c r="C7562">
        <v>45</v>
      </c>
      <c r="D7562">
        <v>437.8</v>
      </c>
      <c r="E7562">
        <v>8.1</v>
      </c>
    </row>
    <row r="7563" spans="1:5" x14ac:dyDescent="0.2">
      <c r="A7563">
        <v>20560</v>
      </c>
      <c r="B7563">
        <v>17065</v>
      </c>
      <c r="C7563">
        <v>45</v>
      </c>
      <c r="D7563">
        <v>437.2</v>
      </c>
      <c r="E7563">
        <v>8.1</v>
      </c>
    </row>
    <row r="7564" spans="1:5" x14ac:dyDescent="0.2">
      <c r="A7564">
        <v>20570</v>
      </c>
      <c r="B7564">
        <v>17077</v>
      </c>
      <c r="C7564">
        <v>45</v>
      </c>
      <c r="D7564">
        <v>436.7</v>
      </c>
      <c r="E7564">
        <v>8</v>
      </c>
    </row>
    <row r="7565" spans="1:5" x14ac:dyDescent="0.2">
      <c r="A7565">
        <v>20580</v>
      </c>
      <c r="B7565">
        <v>17089</v>
      </c>
      <c r="C7565">
        <v>45</v>
      </c>
      <c r="D7565">
        <v>436.4</v>
      </c>
      <c r="E7565">
        <v>8</v>
      </c>
    </row>
    <row r="7566" spans="1:5" x14ac:dyDescent="0.2">
      <c r="A7566">
        <v>20590</v>
      </c>
      <c r="B7566">
        <v>17099</v>
      </c>
      <c r="C7566">
        <v>45</v>
      </c>
      <c r="D7566">
        <v>436.4</v>
      </c>
      <c r="E7566">
        <v>8</v>
      </c>
    </row>
    <row r="7567" spans="1:5" x14ac:dyDescent="0.2">
      <c r="A7567">
        <v>20600</v>
      </c>
      <c r="B7567">
        <v>17107</v>
      </c>
      <c r="C7567">
        <v>44</v>
      </c>
      <c r="D7567">
        <v>436.6</v>
      </c>
      <c r="E7567">
        <v>7.9</v>
      </c>
    </row>
    <row r="7568" spans="1:5" x14ac:dyDescent="0.2">
      <c r="A7568">
        <v>20610</v>
      </c>
      <c r="B7568">
        <v>17113</v>
      </c>
      <c r="C7568">
        <v>44</v>
      </c>
      <c r="D7568">
        <v>437.2</v>
      </c>
      <c r="E7568">
        <v>7.8</v>
      </c>
    </row>
    <row r="7569" spans="1:5" x14ac:dyDescent="0.2">
      <c r="A7569">
        <v>20620</v>
      </c>
      <c r="B7569">
        <v>17118</v>
      </c>
      <c r="C7569">
        <v>43</v>
      </c>
      <c r="D7569">
        <v>438</v>
      </c>
      <c r="E7569">
        <v>7.6</v>
      </c>
    </row>
    <row r="7570" spans="1:5" x14ac:dyDescent="0.2">
      <c r="A7570">
        <v>20630</v>
      </c>
      <c r="B7570">
        <v>17122</v>
      </c>
      <c r="C7570">
        <v>42</v>
      </c>
      <c r="D7570">
        <v>439.1</v>
      </c>
      <c r="E7570">
        <v>7.5</v>
      </c>
    </row>
    <row r="7571" spans="1:5" x14ac:dyDescent="0.2">
      <c r="A7571">
        <v>20640</v>
      </c>
      <c r="B7571">
        <v>17125</v>
      </c>
      <c r="C7571">
        <v>41</v>
      </c>
      <c r="D7571">
        <v>440.3</v>
      </c>
      <c r="E7571">
        <v>7.4</v>
      </c>
    </row>
    <row r="7572" spans="1:5" x14ac:dyDescent="0.2">
      <c r="A7572">
        <v>20650</v>
      </c>
      <c r="B7572">
        <v>17126</v>
      </c>
      <c r="C7572">
        <v>41</v>
      </c>
      <c r="D7572">
        <v>441.8</v>
      </c>
      <c r="E7572">
        <v>7.3</v>
      </c>
    </row>
    <row r="7573" spans="1:5" x14ac:dyDescent="0.2">
      <c r="A7573">
        <v>20660</v>
      </c>
      <c r="B7573">
        <v>17127</v>
      </c>
      <c r="C7573">
        <v>40</v>
      </c>
      <c r="D7573">
        <v>443.4</v>
      </c>
      <c r="E7573">
        <v>7.2</v>
      </c>
    </row>
    <row r="7574" spans="1:5" x14ac:dyDescent="0.2">
      <c r="A7574">
        <v>20670</v>
      </c>
      <c r="B7574">
        <v>17128</v>
      </c>
      <c r="C7574">
        <v>40</v>
      </c>
      <c r="D7574">
        <v>445.1</v>
      </c>
      <c r="E7574">
        <v>7.1</v>
      </c>
    </row>
    <row r="7575" spans="1:5" x14ac:dyDescent="0.2">
      <c r="A7575">
        <v>20680</v>
      </c>
      <c r="B7575">
        <v>17128</v>
      </c>
      <c r="C7575">
        <v>40</v>
      </c>
      <c r="D7575">
        <v>446.7</v>
      </c>
      <c r="E7575">
        <v>7.2</v>
      </c>
    </row>
    <row r="7576" spans="1:5" x14ac:dyDescent="0.2">
      <c r="A7576">
        <v>20690</v>
      </c>
      <c r="B7576">
        <v>17129</v>
      </c>
      <c r="C7576">
        <v>41</v>
      </c>
      <c r="D7576">
        <v>448.4</v>
      </c>
      <c r="E7576">
        <v>7.3</v>
      </c>
    </row>
    <row r="7577" spans="1:5" x14ac:dyDescent="0.2">
      <c r="A7577">
        <v>20700</v>
      </c>
      <c r="B7577">
        <v>17130</v>
      </c>
      <c r="C7577">
        <v>41</v>
      </c>
      <c r="D7577">
        <v>449.9</v>
      </c>
      <c r="E7577">
        <v>7.5</v>
      </c>
    </row>
    <row r="7578" spans="1:5" x14ac:dyDescent="0.2">
      <c r="A7578">
        <v>20710</v>
      </c>
      <c r="B7578">
        <v>17132</v>
      </c>
      <c r="C7578">
        <v>42</v>
      </c>
      <c r="D7578">
        <v>451.3</v>
      </c>
      <c r="E7578">
        <v>7.6</v>
      </c>
    </row>
    <row r="7579" spans="1:5" x14ac:dyDescent="0.2">
      <c r="A7579">
        <v>20720</v>
      </c>
      <c r="B7579">
        <v>17135</v>
      </c>
      <c r="C7579">
        <v>42</v>
      </c>
      <c r="D7579">
        <v>452.5</v>
      </c>
      <c r="E7579">
        <v>7.6</v>
      </c>
    </row>
    <row r="7580" spans="1:5" x14ac:dyDescent="0.2">
      <c r="A7580">
        <v>20730</v>
      </c>
      <c r="B7580">
        <v>17139</v>
      </c>
      <c r="C7580">
        <v>42</v>
      </c>
      <c r="D7580">
        <v>453.6</v>
      </c>
      <c r="E7580">
        <v>7.6</v>
      </c>
    </row>
    <row r="7581" spans="1:5" x14ac:dyDescent="0.2">
      <c r="A7581">
        <v>20740</v>
      </c>
      <c r="B7581">
        <v>17143</v>
      </c>
      <c r="C7581">
        <v>43</v>
      </c>
      <c r="D7581">
        <v>454.5</v>
      </c>
      <c r="E7581">
        <v>7.7</v>
      </c>
    </row>
    <row r="7582" spans="1:5" x14ac:dyDescent="0.2">
      <c r="A7582">
        <v>20750</v>
      </c>
      <c r="B7582">
        <v>17149</v>
      </c>
      <c r="C7582">
        <v>43</v>
      </c>
      <c r="D7582">
        <v>455.3</v>
      </c>
      <c r="E7582">
        <v>7.9</v>
      </c>
    </row>
    <row r="7583" spans="1:5" x14ac:dyDescent="0.2">
      <c r="A7583">
        <v>20760</v>
      </c>
      <c r="B7583">
        <v>17155</v>
      </c>
      <c r="C7583">
        <v>43</v>
      </c>
      <c r="D7583">
        <v>455.9</v>
      </c>
      <c r="E7583">
        <v>7.9</v>
      </c>
    </row>
    <row r="7584" spans="1:5" x14ac:dyDescent="0.2">
      <c r="A7584">
        <v>20770</v>
      </c>
      <c r="B7584">
        <v>17162</v>
      </c>
      <c r="C7584">
        <v>43</v>
      </c>
      <c r="D7584">
        <v>456.4</v>
      </c>
      <c r="E7584">
        <v>7.9</v>
      </c>
    </row>
    <row r="7585" spans="1:5" x14ac:dyDescent="0.2">
      <c r="A7585">
        <v>20780</v>
      </c>
      <c r="B7585">
        <v>17170</v>
      </c>
      <c r="C7585">
        <v>43</v>
      </c>
      <c r="D7585">
        <v>456.7</v>
      </c>
      <c r="E7585">
        <v>7.8</v>
      </c>
    </row>
    <row r="7586" spans="1:5" x14ac:dyDescent="0.2">
      <c r="A7586">
        <v>20790</v>
      </c>
      <c r="B7586">
        <v>17179</v>
      </c>
      <c r="C7586">
        <v>43</v>
      </c>
      <c r="D7586">
        <v>456.9</v>
      </c>
      <c r="E7586">
        <v>7.7</v>
      </c>
    </row>
    <row r="7587" spans="1:5" x14ac:dyDescent="0.2">
      <c r="A7587">
        <v>20800</v>
      </c>
      <c r="B7587">
        <v>17188</v>
      </c>
      <c r="C7587">
        <v>42</v>
      </c>
      <c r="D7587">
        <v>457</v>
      </c>
      <c r="E7587">
        <v>7.7</v>
      </c>
    </row>
    <row r="7588" spans="1:5" x14ac:dyDescent="0.2">
      <c r="A7588">
        <v>20810</v>
      </c>
      <c r="B7588">
        <v>17199</v>
      </c>
      <c r="C7588">
        <v>43</v>
      </c>
      <c r="D7588">
        <v>456.8</v>
      </c>
      <c r="E7588">
        <v>7.8</v>
      </c>
    </row>
    <row r="7589" spans="1:5" x14ac:dyDescent="0.2">
      <c r="A7589">
        <v>20820</v>
      </c>
      <c r="B7589">
        <v>17210</v>
      </c>
      <c r="C7589">
        <v>43</v>
      </c>
      <c r="D7589">
        <v>456.5</v>
      </c>
      <c r="E7589">
        <v>7.9</v>
      </c>
    </row>
    <row r="7590" spans="1:5" x14ac:dyDescent="0.2">
      <c r="A7590">
        <v>20830</v>
      </c>
      <c r="B7590">
        <v>17223</v>
      </c>
      <c r="C7590">
        <v>44</v>
      </c>
      <c r="D7590">
        <v>456</v>
      </c>
      <c r="E7590">
        <v>8</v>
      </c>
    </row>
    <row r="7591" spans="1:5" x14ac:dyDescent="0.2">
      <c r="A7591">
        <v>20840</v>
      </c>
      <c r="B7591">
        <v>17236</v>
      </c>
      <c r="C7591">
        <v>46</v>
      </c>
      <c r="D7591">
        <v>455.3</v>
      </c>
      <c r="E7591">
        <v>8.1999999999999993</v>
      </c>
    </row>
    <row r="7592" spans="1:5" x14ac:dyDescent="0.2">
      <c r="A7592">
        <v>20850</v>
      </c>
      <c r="B7592">
        <v>17251</v>
      </c>
      <c r="C7592">
        <v>47</v>
      </c>
      <c r="D7592">
        <v>454.4</v>
      </c>
      <c r="E7592">
        <v>8.4</v>
      </c>
    </row>
    <row r="7593" spans="1:5" x14ac:dyDescent="0.2">
      <c r="A7593">
        <v>20860</v>
      </c>
      <c r="B7593">
        <v>17267</v>
      </c>
      <c r="C7593">
        <v>48</v>
      </c>
      <c r="D7593">
        <v>453.3</v>
      </c>
      <c r="E7593">
        <v>8.8000000000000007</v>
      </c>
    </row>
    <row r="7594" spans="1:5" x14ac:dyDescent="0.2">
      <c r="A7594">
        <v>20870</v>
      </c>
      <c r="B7594">
        <v>17282</v>
      </c>
      <c r="C7594">
        <v>50</v>
      </c>
      <c r="D7594">
        <v>452.2</v>
      </c>
      <c r="E7594">
        <v>9.1</v>
      </c>
    </row>
    <row r="7595" spans="1:5" x14ac:dyDescent="0.2">
      <c r="A7595">
        <v>20880</v>
      </c>
      <c r="B7595">
        <v>17298</v>
      </c>
      <c r="C7595">
        <v>52</v>
      </c>
      <c r="D7595">
        <v>451.1</v>
      </c>
      <c r="E7595">
        <v>9.4</v>
      </c>
    </row>
    <row r="7596" spans="1:5" x14ac:dyDescent="0.2">
      <c r="A7596">
        <v>20890</v>
      </c>
      <c r="B7596">
        <v>17314</v>
      </c>
      <c r="C7596">
        <v>54</v>
      </c>
      <c r="D7596">
        <v>449.9</v>
      </c>
      <c r="E7596">
        <v>9.6999999999999993</v>
      </c>
    </row>
    <row r="7597" spans="1:5" x14ac:dyDescent="0.2">
      <c r="A7597">
        <v>20900</v>
      </c>
      <c r="B7597">
        <v>17330</v>
      </c>
      <c r="C7597">
        <v>55</v>
      </c>
      <c r="D7597">
        <v>448.8</v>
      </c>
      <c r="E7597">
        <v>9.9</v>
      </c>
    </row>
    <row r="7598" spans="1:5" x14ac:dyDescent="0.2">
      <c r="A7598">
        <v>20910</v>
      </c>
      <c r="B7598">
        <v>17346</v>
      </c>
      <c r="C7598">
        <v>55</v>
      </c>
      <c r="D7598">
        <v>447.7</v>
      </c>
      <c r="E7598">
        <v>10</v>
      </c>
    </row>
    <row r="7599" spans="1:5" x14ac:dyDescent="0.2">
      <c r="A7599">
        <v>20920</v>
      </c>
      <c r="B7599">
        <v>17361</v>
      </c>
      <c r="C7599">
        <v>55</v>
      </c>
      <c r="D7599">
        <v>446.7</v>
      </c>
      <c r="E7599">
        <v>9.8000000000000007</v>
      </c>
    </row>
    <row r="7600" spans="1:5" x14ac:dyDescent="0.2">
      <c r="A7600">
        <v>20930</v>
      </c>
      <c r="B7600">
        <v>17376</v>
      </c>
      <c r="C7600">
        <v>53</v>
      </c>
      <c r="D7600">
        <v>445.9</v>
      </c>
      <c r="E7600">
        <v>9.5</v>
      </c>
    </row>
    <row r="7601" spans="1:5" x14ac:dyDescent="0.2">
      <c r="A7601">
        <v>20940</v>
      </c>
      <c r="B7601">
        <v>17390</v>
      </c>
      <c r="C7601">
        <v>51</v>
      </c>
      <c r="D7601">
        <v>445.1</v>
      </c>
      <c r="E7601">
        <v>9.1999999999999993</v>
      </c>
    </row>
    <row r="7602" spans="1:5" x14ac:dyDescent="0.2">
      <c r="A7602">
        <v>20950</v>
      </c>
      <c r="B7602">
        <v>17404</v>
      </c>
      <c r="C7602">
        <v>49</v>
      </c>
      <c r="D7602">
        <v>444.3</v>
      </c>
      <c r="E7602">
        <v>8.8000000000000007</v>
      </c>
    </row>
    <row r="7603" spans="1:5" x14ac:dyDescent="0.2">
      <c r="A7603">
        <v>20960</v>
      </c>
      <c r="B7603">
        <v>17417</v>
      </c>
      <c r="C7603">
        <v>47</v>
      </c>
      <c r="D7603">
        <v>443.8</v>
      </c>
      <c r="E7603">
        <v>8.4</v>
      </c>
    </row>
    <row r="7604" spans="1:5" x14ac:dyDescent="0.2">
      <c r="A7604">
        <v>20970</v>
      </c>
      <c r="B7604">
        <v>17429</v>
      </c>
      <c r="C7604">
        <v>46</v>
      </c>
      <c r="D7604">
        <v>443.3</v>
      </c>
      <c r="E7604">
        <v>8.1999999999999993</v>
      </c>
    </row>
    <row r="7605" spans="1:5" x14ac:dyDescent="0.2">
      <c r="A7605">
        <v>20980</v>
      </c>
      <c r="B7605">
        <v>17441</v>
      </c>
      <c r="C7605">
        <v>45</v>
      </c>
      <c r="D7605">
        <v>442.9</v>
      </c>
      <c r="E7605">
        <v>8.1</v>
      </c>
    </row>
    <row r="7606" spans="1:5" x14ac:dyDescent="0.2">
      <c r="A7606">
        <v>20990</v>
      </c>
      <c r="B7606">
        <v>17452</v>
      </c>
      <c r="C7606">
        <v>45</v>
      </c>
      <c r="D7606">
        <v>442.7</v>
      </c>
      <c r="E7606">
        <v>8.1</v>
      </c>
    </row>
    <row r="7607" spans="1:5" x14ac:dyDescent="0.2">
      <c r="A7607">
        <v>21000</v>
      </c>
      <c r="B7607">
        <v>17462</v>
      </c>
      <c r="C7607">
        <v>46</v>
      </c>
      <c r="D7607">
        <v>442.5</v>
      </c>
      <c r="E7607">
        <v>8.3000000000000007</v>
      </c>
    </row>
    <row r="7608" spans="1:5" x14ac:dyDescent="0.2">
      <c r="A7608">
        <v>21010</v>
      </c>
      <c r="B7608">
        <v>17472</v>
      </c>
      <c r="C7608">
        <v>47</v>
      </c>
      <c r="D7608">
        <v>442.6</v>
      </c>
      <c r="E7608">
        <v>8.5</v>
      </c>
    </row>
    <row r="7609" spans="1:5" x14ac:dyDescent="0.2">
      <c r="A7609">
        <v>21020</v>
      </c>
      <c r="B7609">
        <v>17481</v>
      </c>
      <c r="C7609">
        <v>48</v>
      </c>
      <c r="D7609">
        <v>442.7</v>
      </c>
      <c r="E7609">
        <v>8.6999999999999993</v>
      </c>
    </row>
    <row r="7610" spans="1:5" x14ac:dyDescent="0.2">
      <c r="A7610">
        <v>21030</v>
      </c>
      <c r="B7610">
        <v>17489</v>
      </c>
      <c r="C7610">
        <v>49</v>
      </c>
      <c r="D7610">
        <v>443</v>
      </c>
      <c r="E7610">
        <v>8.8000000000000007</v>
      </c>
    </row>
    <row r="7611" spans="1:5" x14ac:dyDescent="0.2">
      <c r="A7611">
        <v>21040</v>
      </c>
      <c r="B7611">
        <v>17497</v>
      </c>
      <c r="C7611">
        <v>49</v>
      </c>
      <c r="D7611">
        <v>443.4</v>
      </c>
      <c r="E7611">
        <v>8.8000000000000007</v>
      </c>
    </row>
    <row r="7612" spans="1:5" x14ac:dyDescent="0.2">
      <c r="A7612">
        <v>21050</v>
      </c>
      <c r="B7612">
        <v>17503</v>
      </c>
      <c r="C7612">
        <v>49</v>
      </c>
      <c r="D7612">
        <v>443.9</v>
      </c>
      <c r="E7612">
        <v>8.8000000000000007</v>
      </c>
    </row>
    <row r="7613" spans="1:5" x14ac:dyDescent="0.2">
      <c r="A7613">
        <v>21060</v>
      </c>
      <c r="B7613">
        <v>17509</v>
      </c>
      <c r="C7613">
        <v>48</v>
      </c>
      <c r="D7613">
        <v>444.6</v>
      </c>
      <c r="E7613">
        <v>8.6</v>
      </c>
    </row>
    <row r="7614" spans="1:5" x14ac:dyDescent="0.2">
      <c r="A7614">
        <v>21070</v>
      </c>
      <c r="B7614">
        <v>17515</v>
      </c>
      <c r="C7614">
        <v>46</v>
      </c>
      <c r="D7614">
        <v>445.3</v>
      </c>
      <c r="E7614">
        <v>8.3000000000000007</v>
      </c>
    </row>
    <row r="7615" spans="1:5" x14ac:dyDescent="0.2">
      <c r="A7615">
        <v>21080</v>
      </c>
      <c r="B7615">
        <v>17520</v>
      </c>
      <c r="C7615">
        <v>45</v>
      </c>
      <c r="D7615">
        <v>446.2</v>
      </c>
      <c r="E7615">
        <v>8.1</v>
      </c>
    </row>
    <row r="7616" spans="1:5" x14ac:dyDescent="0.2">
      <c r="A7616">
        <v>21090</v>
      </c>
      <c r="B7616">
        <v>17524</v>
      </c>
      <c r="C7616">
        <v>44</v>
      </c>
      <c r="D7616">
        <v>447.1</v>
      </c>
      <c r="E7616">
        <v>7.9</v>
      </c>
    </row>
    <row r="7617" spans="1:5" x14ac:dyDescent="0.2">
      <c r="A7617">
        <v>21100</v>
      </c>
      <c r="B7617">
        <v>17528</v>
      </c>
      <c r="C7617">
        <v>43</v>
      </c>
      <c r="D7617">
        <v>448.1</v>
      </c>
      <c r="E7617">
        <v>7.7</v>
      </c>
    </row>
    <row r="7618" spans="1:5" x14ac:dyDescent="0.2">
      <c r="A7618">
        <v>21110</v>
      </c>
      <c r="B7618">
        <v>17532</v>
      </c>
      <c r="C7618">
        <v>42</v>
      </c>
      <c r="D7618">
        <v>449.2</v>
      </c>
      <c r="E7618">
        <v>7.6</v>
      </c>
    </row>
    <row r="7619" spans="1:5" x14ac:dyDescent="0.2">
      <c r="A7619">
        <v>21120</v>
      </c>
      <c r="B7619">
        <v>17536</v>
      </c>
      <c r="C7619">
        <v>42</v>
      </c>
      <c r="D7619">
        <v>450.3</v>
      </c>
      <c r="E7619">
        <v>7.5</v>
      </c>
    </row>
    <row r="7620" spans="1:5" x14ac:dyDescent="0.2">
      <c r="A7620">
        <v>21130</v>
      </c>
      <c r="B7620">
        <v>17539</v>
      </c>
      <c r="C7620">
        <v>41</v>
      </c>
      <c r="D7620">
        <v>451.4</v>
      </c>
      <c r="E7620">
        <v>7.4</v>
      </c>
    </row>
    <row r="7621" spans="1:5" x14ac:dyDescent="0.2">
      <c r="A7621">
        <v>21140</v>
      </c>
      <c r="B7621">
        <v>17543</v>
      </c>
      <c r="C7621">
        <v>41</v>
      </c>
      <c r="D7621">
        <v>452.6</v>
      </c>
      <c r="E7621">
        <v>7.4</v>
      </c>
    </row>
    <row r="7622" spans="1:5" x14ac:dyDescent="0.2">
      <c r="A7622">
        <v>21150</v>
      </c>
      <c r="B7622">
        <v>17546</v>
      </c>
      <c r="C7622">
        <v>40</v>
      </c>
      <c r="D7622">
        <v>453.7</v>
      </c>
      <c r="E7622">
        <v>7.3</v>
      </c>
    </row>
    <row r="7623" spans="1:5" x14ac:dyDescent="0.2">
      <c r="A7623">
        <v>21160</v>
      </c>
      <c r="B7623">
        <v>17549</v>
      </c>
      <c r="C7623">
        <v>40</v>
      </c>
      <c r="D7623">
        <v>454.9</v>
      </c>
      <c r="E7623">
        <v>7.2</v>
      </c>
    </row>
    <row r="7624" spans="1:5" x14ac:dyDescent="0.2">
      <c r="A7624">
        <v>21170</v>
      </c>
      <c r="B7624">
        <v>17553</v>
      </c>
      <c r="C7624">
        <v>39</v>
      </c>
      <c r="D7624">
        <v>456</v>
      </c>
      <c r="E7624">
        <v>7.1</v>
      </c>
    </row>
    <row r="7625" spans="1:5" x14ac:dyDescent="0.2">
      <c r="A7625">
        <v>21180</v>
      </c>
      <c r="B7625">
        <v>17556</v>
      </c>
      <c r="C7625">
        <v>38</v>
      </c>
      <c r="D7625">
        <v>457.2</v>
      </c>
      <c r="E7625">
        <v>7</v>
      </c>
    </row>
    <row r="7626" spans="1:5" x14ac:dyDescent="0.2">
      <c r="A7626">
        <v>21190</v>
      </c>
      <c r="B7626">
        <v>17559</v>
      </c>
      <c r="C7626">
        <v>38</v>
      </c>
      <c r="D7626">
        <v>458.4</v>
      </c>
      <c r="E7626">
        <v>6.9</v>
      </c>
    </row>
    <row r="7627" spans="1:5" x14ac:dyDescent="0.2">
      <c r="A7627">
        <v>21200</v>
      </c>
      <c r="B7627">
        <v>17563</v>
      </c>
      <c r="C7627">
        <v>37</v>
      </c>
      <c r="D7627">
        <v>459.5</v>
      </c>
      <c r="E7627">
        <v>6.8</v>
      </c>
    </row>
    <row r="7628" spans="1:5" x14ac:dyDescent="0.2">
      <c r="A7628">
        <v>21210</v>
      </c>
      <c r="B7628">
        <v>17566</v>
      </c>
      <c r="C7628">
        <v>38</v>
      </c>
      <c r="D7628">
        <v>460.8</v>
      </c>
      <c r="E7628">
        <v>6.8</v>
      </c>
    </row>
    <row r="7629" spans="1:5" x14ac:dyDescent="0.2">
      <c r="A7629">
        <v>21220</v>
      </c>
      <c r="B7629">
        <v>17568</v>
      </c>
      <c r="C7629">
        <v>38</v>
      </c>
      <c r="D7629">
        <v>462</v>
      </c>
      <c r="E7629">
        <v>6.9</v>
      </c>
    </row>
    <row r="7630" spans="1:5" x14ac:dyDescent="0.2">
      <c r="A7630">
        <v>21230</v>
      </c>
      <c r="B7630">
        <v>17571</v>
      </c>
      <c r="C7630">
        <v>39</v>
      </c>
      <c r="D7630">
        <v>463.3</v>
      </c>
      <c r="E7630">
        <v>7.1</v>
      </c>
    </row>
    <row r="7631" spans="1:5" x14ac:dyDescent="0.2">
      <c r="A7631">
        <v>21240</v>
      </c>
      <c r="B7631">
        <v>17573</v>
      </c>
      <c r="C7631">
        <v>40</v>
      </c>
      <c r="D7631">
        <v>464.7</v>
      </c>
      <c r="E7631">
        <v>7.3</v>
      </c>
    </row>
    <row r="7632" spans="1:5" x14ac:dyDescent="0.2">
      <c r="A7632">
        <v>21250</v>
      </c>
      <c r="B7632">
        <v>17575</v>
      </c>
      <c r="C7632">
        <v>40</v>
      </c>
      <c r="D7632">
        <v>466.1</v>
      </c>
      <c r="E7632">
        <v>7.4</v>
      </c>
    </row>
    <row r="7633" spans="1:5" x14ac:dyDescent="0.2">
      <c r="A7633">
        <v>21260</v>
      </c>
      <c r="B7633">
        <v>17577</v>
      </c>
      <c r="C7633">
        <v>41</v>
      </c>
      <c r="D7633">
        <v>467.6</v>
      </c>
      <c r="E7633">
        <v>7.4</v>
      </c>
    </row>
    <row r="7634" spans="1:5" x14ac:dyDescent="0.2">
      <c r="A7634">
        <v>21270</v>
      </c>
      <c r="B7634">
        <v>17578</v>
      </c>
      <c r="C7634">
        <v>41</v>
      </c>
      <c r="D7634">
        <v>469.1</v>
      </c>
      <c r="E7634">
        <v>7.5</v>
      </c>
    </row>
    <row r="7635" spans="1:5" x14ac:dyDescent="0.2">
      <c r="A7635">
        <v>21280</v>
      </c>
      <c r="B7635">
        <v>17579</v>
      </c>
      <c r="C7635">
        <v>41</v>
      </c>
      <c r="D7635">
        <v>470.7</v>
      </c>
      <c r="E7635">
        <v>7.5</v>
      </c>
    </row>
    <row r="7636" spans="1:5" x14ac:dyDescent="0.2">
      <c r="A7636">
        <v>21290</v>
      </c>
      <c r="B7636">
        <v>17579</v>
      </c>
      <c r="C7636">
        <v>40</v>
      </c>
      <c r="D7636">
        <v>472.4</v>
      </c>
      <c r="E7636">
        <v>7.4</v>
      </c>
    </row>
    <row r="7637" spans="1:5" x14ac:dyDescent="0.2">
      <c r="A7637">
        <v>21300</v>
      </c>
      <c r="B7637">
        <v>17581</v>
      </c>
      <c r="C7637">
        <v>40</v>
      </c>
      <c r="D7637">
        <v>474</v>
      </c>
      <c r="E7637">
        <v>7.4</v>
      </c>
    </row>
    <row r="7638" spans="1:5" x14ac:dyDescent="0.2">
      <c r="A7638">
        <v>21310</v>
      </c>
      <c r="B7638">
        <v>17582</v>
      </c>
      <c r="C7638">
        <v>40</v>
      </c>
      <c r="D7638">
        <v>475.5</v>
      </c>
      <c r="E7638">
        <v>7.4</v>
      </c>
    </row>
    <row r="7639" spans="1:5" x14ac:dyDescent="0.2">
      <c r="A7639">
        <v>21320</v>
      </c>
      <c r="B7639">
        <v>17585</v>
      </c>
      <c r="C7639">
        <v>41</v>
      </c>
      <c r="D7639">
        <v>476.7</v>
      </c>
      <c r="E7639">
        <v>7.5</v>
      </c>
    </row>
    <row r="7640" spans="1:5" x14ac:dyDescent="0.2">
      <c r="A7640">
        <v>21330</v>
      </c>
      <c r="B7640">
        <v>17590</v>
      </c>
      <c r="C7640">
        <v>41</v>
      </c>
      <c r="D7640">
        <v>477.6</v>
      </c>
      <c r="E7640">
        <v>7.6</v>
      </c>
    </row>
    <row r="7641" spans="1:5" x14ac:dyDescent="0.2">
      <c r="A7641">
        <v>21340</v>
      </c>
      <c r="B7641">
        <v>17597</v>
      </c>
      <c r="C7641">
        <v>42</v>
      </c>
      <c r="D7641">
        <v>478.1</v>
      </c>
      <c r="E7641">
        <v>7.7</v>
      </c>
    </row>
    <row r="7642" spans="1:5" x14ac:dyDescent="0.2">
      <c r="A7642">
        <v>21350</v>
      </c>
      <c r="B7642">
        <v>17606</v>
      </c>
      <c r="C7642">
        <v>43</v>
      </c>
      <c r="D7642">
        <v>478.2</v>
      </c>
      <c r="E7642">
        <v>8</v>
      </c>
    </row>
    <row r="7643" spans="1:5" x14ac:dyDescent="0.2">
      <c r="A7643">
        <v>21360</v>
      </c>
      <c r="B7643">
        <v>17617</v>
      </c>
      <c r="C7643">
        <v>46</v>
      </c>
      <c r="D7643">
        <v>478</v>
      </c>
      <c r="E7643">
        <v>8.4</v>
      </c>
    </row>
    <row r="7644" spans="1:5" x14ac:dyDescent="0.2">
      <c r="A7644">
        <v>21370</v>
      </c>
      <c r="B7644">
        <v>17631</v>
      </c>
      <c r="C7644">
        <v>48</v>
      </c>
      <c r="D7644">
        <v>477.3</v>
      </c>
      <c r="E7644">
        <v>8.9</v>
      </c>
    </row>
    <row r="7645" spans="1:5" x14ac:dyDescent="0.2">
      <c r="A7645">
        <v>21380</v>
      </c>
      <c r="B7645">
        <v>17647</v>
      </c>
      <c r="C7645">
        <v>51</v>
      </c>
      <c r="D7645">
        <v>476.2</v>
      </c>
      <c r="E7645">
        <v>9.3000000000000007</v>
      </c>
    </row>
    <row r="7646" spans="1:5" x14ac:dyDescent="0.2">
      <c r="A7646">
        <v>21390</v>
      </c>
      <c r="B7646">
        <v>17664</v>
      </c>
      <c r="C7646">
        <v>53</v>
      </c>
      <c r="D7646">
        <v>474.8</v>
      </c>
      <c r="E7646">
        <v>9.6999999999999993</v>
      </c>
    </row>
    <row r="7647" spans="1:5" x14ac:dyDescent="0.2">
      <c r="A7647">
        <v>21400</v>
      </c>
      <c r="B7647">
        <v>17683</v>
      </c>
      <c r="C7647">
        <v>55</v>
      </c>
      <c r="D7647">
        <v>473.1</v>
      </c>
      <c r="E7647">
        <v>10</v>
      </c>
    </row>
    <row r="7648" spans="1:5" x14ac:dyDescent="0.2">
      <c r="A7648">
        <v>21410</v>
      </c>
      <c r="B7648">
        <v>17702</v>
      </c>
      <c r="C7648">
        <v>56</v>
      </c>
      <c r="D7648">
        <v>471.4</v>
      </c>
      <c r="E7648">
        <v>10.3</v>
      </c>
    </row>
    <row r="7649" spans="1:5" x14ac:dyDescent="0.2">
      <c r="A7649">
        <v>21420</v>
      </c>
      <c r="B7649">
        <v>17721</v>
      </c>
      <c r="C7649">
        <v>57</v>
      </c>
      <c r="D7649">
        <v>469.7</v>
      </c>
      <c r="E7649">
        <v>10.5</v>
      </c>
    </row>
    <row r="7650" spans="1:5" x14ac:dyDescent="0.2">
      <c r="A7650">
        <v>21430</v>
      </c>
      <c r="B7650">
        <v>17739</v>
      </c>
      <c r="C7650">
        <v>59</v>
      </c>
      <c r="D7650">
        <v>468.1</v>
      </c>
      <c r="E7650">
        <v>10.7</v>
      </c>
    </row>
    <row r="7651" spans="1:5" x14ac:dyDescent="0.2">
      <c r="A7651">
        <v>21440</v>
      </c>
      <c r="B7651">
        <v>17756</v>
      </c>
      <c r="C7651">
        <v>59</v>
      </c>
      <c r="D7651">
        <v>466.8</v>
      </c>
      <c r="E7651">
        <v>10.8</v>
      </c>
    </row>
    <row r="7652" spans="1:5" x14ac:dyDescent="0.2">
      <c r="A7652">
        <v>21450</v>
      </c>
      <c r="B7652">
        <v>17770</v>
      </c>
      <c r="C7652">
        <v>59</v>
      </c>
      <c r="D7652">
        <v>465.9</v>
      </c>
      <c r="E7652">
        <v>10.7</v>
      </c>
    </row>
    <row r="7653" spans="1:5" x14ac:dyDescent="0.2">
      <c r="A7653">
        <v>21460</v>
      </c>
      <c r="B7653">
        <v>17783</v>
      </c>
      <c r="C7653">
        <v>57</v>
      </c>
      <c r="D7653">
        <v>465.5</v>
      </c>
      <c r="E7653">
        <v>10.4</v>
      </c>
    </row>
    <row r="7654" spans="1:5" x14ac:dyDescent="0.2">
      <c r="A7654">
        <v>21470</v>
      </c>
      <c r="B7654">
        <v>17792</v>
      </c>
      <c r="C7654">
        <v>54</v>
      </c>
      <c r="D7654">
        <v>465.5</v>
      </c>
      <c r="E7654">
        <v>9.9</v>
      </c>
    </row>
    <row r="7655" spans="1:5" x14ac:dyDescent="0.2">
      <c r="A7655">
        <v>21480</v>
      </c>
      <c r="B7655">
        <v>17800</v>
      </c>
      <c r="C7655">
        <v>51</v>
      </c>
      <c r="D7655">
        <v>465.9</v>
      </c>
      <c r="E7655">
        <v>9.4</v>
      </c>
    </row>
    <row r="7656" spans="1:5" x14ac:dyDescent="0.2">
      <c r="A7656">
        <v>21490</v>
      </c>
      <c r="B7656">
        <v>17806</v>
      </c>
      <c r="C7656">
        <v>49</v>
      </c>
      <c r="D7656">
        <v>466.6</v>
      </c>
      <c r="E7656">
        <v>8.9</v>
      </c>
    </row>
    <row r="7657" spans="1:5" x14ac:dyDescent="0.2">
      <c r="A7657">
        <v>21500</v>
      </c>
      <c r="B7657">
        <v>17810</v>
      </c>
      <c r="C7657">
        <v>46</v>
      </c>
      <c r="D7657">
        <v>467.6</v>
      </c>
      <c r="E7657">
        <v>8.5</v>
      </c>
    </row>
    <row r="7658" spans="1:5" x14ac:dyDescent="0.2">
      <c r="A7658">
        <v>21510</v>
      </c>
      <c r="B7658">
        <v>17812</v>
      </c>
      <c r="C7658">
        <v>45</v>
      </c>
      <c r="D7658">
        <v>468.9</v>
      </c>
      <c r="E7658">
        <v>8.3000000000000007</v>
      </c>
    </row>
    <row r="7659" spans="1:5" x14ac:dyDescent="0.2">
      <c r="A7659">
        <v>21520</v>
      </c>
      <c r="B7659">
        <v>17813</v>
      </c>
      <c r="C7659">
        <v>45</v>
      </c>
      <c r="D7659">
        <v>470.5</v>
      </c>
      <c r="E7659">
        <v>8.1999999999999993</v>
      </c>
    </row>
    <row r="7660" spans="1:5" x14ac:dyDescent="0.2">
      <c r="A7660">
        <v>21530</v>
      </c>
      <c r="B7660">
        <v>17813</v>
      </c>
      <c r="C7660">
        <v>45</v>
      </c>
      <c r="D7660">
        <v>472.3</v>
      </c>
      <c r="E7660">
        <v>8.3000000000000007</v>
      </c>
    </row>
    <row r="7661" spans="1:5" x14ac:dyDescent="0.2">
      <c r="A7661">
        <v>21540</v>
      </c>
      <c r="B7661">
        <v>17813</v>
      </c>
      <c r="C7661">
        <v>46</v>
      </c>
      <c r="D7661">
        <v>474.2</v>
      </c>
      <c r="E7661">
        <v>8.4</v>
      </c>
    </row>
    <row r="7662" spans="1:5" x14ac:dyDescent="0.2">
      <c r="A7662">
        <v>21550</v>
      </c>
      <c r="B7662">
        <v>17811</v>
      </c>
      <c r="C7662">
        <v>46</v>
      </c>
      <c r="D7662">
        <v>476.3</v>
      </c>
      <c r="E7662">
        <v>8.5</v>
      </c>
    </row>
    <row r="7663" spans="1:5" x14ac:dyDescent="0.2">
      <c r="A7663">
        <v>21560</v>
      </c>
      <c r="B7663">
        <v>17808</v>
      </c>
      <c r="C7663">
        <v>46</v>
      </c>
      <c r="D7663">
        <v>478.6</v>
      </c>
      <c r="E7663">
        <v>8.5</v>
      </c>
    </row>
    <row r="7664" spans="1:5" x14ac:dyDescent="0.2">
      <c r="A7664">
        <v>21570</v>
      </c>
      <c r="B7664">
        <v>17806</v>
      </c>
      <c r="C7664">
        <v>46</v>
      </c>
      <c r="D7664">
        <v>480.8</v>
      </c>
      <c r="E7664">
        <v>8.5</v>
      </c>
    </row>
    <row r="7665" spans="1:5" x14ac:dyDescent="0.2">
      <c r="A7665">
        <v>21580</v>
      </c>
      <c r="B7665">
        <v>17803</v>
      </c>
      <c r="C7665">
        <v>46</v>
      </c>
      <c r="D7665">
        <v>483.1</v>
      </c>
      <c r="E7665">
        <v>8.5</v>
      </c>
    </row>
    <row r="7666" spans="1:5" x14ac:dyDescent="0.2">
      <c r="A7666">
        <v>21590</v>
      </c>
      <c r="B7666">
        <v>17800</v>
      </c>
      <c r="C7666">
        <v>46</v>
      </c>
      <c r="D7666">
        <v>485.5</v>
      </c>
      <c r="E7666">
        <v>8.5</v>
      </c>
    </row>
    <row r="7667" spans="1:5" x14ac:dyDescent="0.2">
      <c r="A7667">
        <v>21600</v>
      </c>
      <c r="B7667">
        <v>17798</v>
      </c>
      <c r="C7667">
        <v>46</v>
      </c>
      <c r="D7667">
        <v>487.8</v>
      </c>
      <c r="E7667">
        <v>8.6</v>
      </c>
    </row>
    <row r="7668" spans="1:5" x14ac:dyDescent="0.2">
      <c r="A7668">
        <v>21610</v>
      </c>
      <c r="B7668">
        <v>17795</v>
      </c>
      <c r="C7668">
        <v>47</v>
      </c>
      <c r="D7668">
        <v>490</v>
      </c>
      <c r="E7668">
        <v>8.6</v>
      </c>
    </row>
    <row r="7669" spans="1:5" x14ac:dyDescent="0.2">
      <c r="A7669">
        <v>21620</v>
      </c>
      <c r="B7669">
        <v>17794</v>
      </c>
      <c r="C7669">
        <v>47</v>
      </c>
      <c r="D7669">
        <v>492.1</v>
      </c>
      <c r="E7669">
        <v>8.6999999999999993</v>
      </c>
    </row>
    <row r="7670" spans="1:5" x14ac:dyDescent="0.2">
      <c r="A7670">
        <v>21630</v>
      </c>
      <c r="B7670">
        <v>17792</v>
      </c>
      <c r="C7670">
        <v>46</v>
      </c>
      <c r="D7670">
        <v>494.1</v>
      </c>
      <c r="E7670">
        <v>8.6</v>
      </c>
    </row>
    <row r="7671" spans="1:5" x14ac:dyDescent="0.2">
      <c r="A7671">
        <v>21640</v>
      </c>
      <c r="B7671">
        <v>17792</v>
      </c>
      <c r="C7671">
        <v>46</v>
      </c>
      <c r="D7671">
        <v>495.9</v>
      </c>
      <c r="E7671">
        <v>8.6</v>
      </c>
    </row>
    <row r="7672" spans="1:5" x14ac:dyDescent="0.2">
      <c r="A7672">
        <v>21650</v>
      </c>
      <c r="B7672">
        <v>17793</v>
      </c>
      <c r="C7672">
        <v>46</v>
      </c>
      <c r="D7672">
        <v>497.7</v>
      </c>
      <c r="E7672">
        <v>8.5</v>
      </c>
    </row>
    <row r="7673" spans="1:5" x14ac:dyDescent="0.2">
      <c r="A7673">
        <v>21660</v>
      </c>
      <c r="B7673">
        <v>17794</v>
      </c>
      <c r="C7673">
        <v>46</v>
      </c>
      <c r="D7673">
        <v>499.3</v>
      </c>
      <c r="E7673">
        <v>8.5</v>
      </c>
    </row>
    <row r="7674" spans="1:5" x14ac:dyDescent="0.2">
      <c r="A7674">
        <v>21670</v>
      </c>
      <c r="B7674">
        <v>17796</v>
      </c>
      <c r="C7674">
        <v>46</v>
      </c>
      <c r="D7674">
        <v>500.7</v>
      </c>
      <c r="E7674">
        <v>8.6</v>
      </c>
    </row>
    <row r="7675" spans="1:5" x14ac:dyDescent="0.2">
      <c r="A7675">
        <v>21680</v>
      </c>
      <c r="B7675">
        <v>17799</v>
      </c>
      <c r="C7675">
        <v>47</v>
      </c>
      <c r="D7675">
        <v>502</v>
      </c>
      <c r="E7675">
        <v>8.6999999999999993</v>
      </c>
    </row>
    <row r="7676" spans="1:5" x14ac:dyDescent="0.2">
      <c r="A7676">
        <v>21690</v>
      </c>
      <c r="B7676">
        <v>17802</v>
      </c>
      <c r="C7676">
        <v>47</v>
      </c>
      <c r="D7676">
        <v>503.2</v>
      </c>
      <c r="E7676">
        <v>8.8000000000000007</v>
      </c>
    </row>
    <row r="7677" spans="1:5" x14ac:dyDescent="0.2">
      <c r="A7677">
        <v>21700</v>
      </c>
      <c r="B7677">
        <v>17806</v>
      </c>
      <c r="C7677">
        <v>48</v>
      </c>
      <c r="D7677">
        <v>504.2</v>
      </c>
      <c r="E7677">
        <v>8.9</v>
      </c>
    </row>
    <row r="7678" spans="1:5" x14ac:dyDescent="0.2">
      <c r="A7678">
        <v>21710</v>
      </c>
      <c r="B7678">
        <v>17811</v>
      </c>
      <c r="C7678">
        <v>47</v>
      </c>
      <c r="D7678">
        <v>505.1</v>
      </c>
      <c r="E7678">
        <v>8.9</v>
      </c>
    </row>
    <row r="7679" spans="1:5" x14ac:dyDescent="0.2">
      <c r="A7679">
        <v>21720</v>
      </c>
      <c r="B7679">
        <v>17817</v>
      </c>
      <c r="C7679">
        <v>47</v>
      </c>
      <c r="D7679">
        <v>505.9</v>
      </c>
      <c r="E7679">
        <v>8.8000000000000007</v>
      </c>
    </row>
    <row r="7680" spans="1:5" x14ac:dyDescent="0.2">
      <c r="A7680">
        <v>21730</v>
      </c>
      <c r="B7680">
        <v>17823</v>
      </c>
      <c r="C7680">
        <v>46</v>
      </c>
      <c r="D7680">
        <v>506.5</v>
      </c>
      <c r="E7680">
        <v>8.6999999999999993</v>
      </c>
    </row>
    <row r="7681" spans="1:5" x14ac:dyDescent="0.2">
      <c r="A7681">
        <v>21740</v>
      </c>
      <c r="B7681">
        <v>17830</v>
      </c>
      <c r="C7681">
        <v>46</v>
      </c>
      <c r="D7681">
        <v>507</v>
      </c>
      <c r="E7681">
        <v>8.6</v>
      </c>
    </row>
    <row r="7682" spans="1:5" x14ac:dyDescent="0.2">
      <c r="A7682">
        <v>21750</v>
      </c>
      <c r="B7682">
        <v>17837</v>
      </c>
      <c r="C7682">
        <v>45</v>
      </c>
      <c r="D7682">
        <v>507.5</v>
      </c>
      <c r="E7682">
        <v>8.4</v>
      </c>
    </row>
    <row r="7683" spans="1:5" x14ac:dyDescent="0.2">
      <c r="A7683">
        <v>21760</v>
      </c>
      <c r="B7683">
        <v>17845</v>
      </c>
      <c r="C7683">
        <v>44</v>
      </c>
      <c r="D7683">
        <v>507.9</v>
      </c>
      <c r="E7683">
        <v>8.3000000000000007</v>
      </c>
    </row>
    <row r="7684" spans="1:5" x14ac:dyDescent="0.2">
      <c r="A7684">
        <v>21770</v>
      </c>
      <c r="B7684">
        <v>17853</v>
      </c>
      <c r="C7684">
        <v>44</v>
      </c>
      <c r="D7684">
        <v>508.3</v>
      </c>
      <c r="E7684">
        <v>8.3000000000000007</v>
      </c>
    </row>
    <row r="7685" spans="1:5" x14ac:dyDescent="0.2">
      <c r="A7685">
        <v>21780</v>
      </c>
      <c r="B7685">
        <v>17861</v>
      </c>
      <c r="C7685">
        <v>44</v>
      </c>
      <c r="D7685">
        <v>508.6</v>
      </c>
      <c r="E7685">
        <v>8.1999999999999993</v>
      </c>
    </row>
    <row r="7686" spans="1:5" x14ac:dyDescent="0.2">
      <c r="A7686">
        <v>21790</v>
      </c>
      <c r="B7686">
        <v>17869</v>
      </c>
      <c r="C7686">
        <v>43</v>
      </c>
      <c r="D7686">
        <v>508.9</v>
      </c>
      <c r="E7686">
        <v>8.1</v>
      </c>
    </row>
    <row r="7687" spans="1:5" x14ac:dyDescent="0.2">
      <c r="A7687">
        <v>21800</v>
      </c>
      <c r="B7687">
        <v>17877</v>
      </c>
      <c r="C7687">
        <v>43</v>
      </c>
      <c r="D7687">
        <v>509.2</v>
      </c>
      <c r="E7687">
        <v>8.1</v>
      </c>
    </row>
    <row r="7688" spans="1:5" x14ac:dyDescent="0.2">
      <c r="A7688">
        <v>21810</v>
      </c>
      <c r="B7688">
        <v>17885</v>
      </c>
      <c r="C7688">
        <v>42</v>
      </c>
      <c r="D7688">
        <v>509.5</v>
      </c>
      <c r="E7688">
        <v>8</v>
      </c>
    </row>
    <row r="7689" spans="1:5" x14ac:dyDescent="0.2">
      <c r="A7689">
        <v>21820</v>
      </c>
      <c r="B7689">
        <v>17893</v>
      </c>
      <c r="C7689">
        <v>42</v>
      </c>
      <c r="D7689">
        <v>509.8</v>
      </c>
      <c r="E7689">
        <v>7.9</v>
      </c>
    </row>
    <row r="7690" spans="1:5" x14ac:dyDescent="0.2">
      <c r="A7690">
        <v>21830</v>
      </c>
      <c r="B7690">
        <v>17901</v>
      </c>
      <c r="C7690">
        <v>42</v>
      </c>
      <c r="D7690">
        <v>510.2</v>
      </c>
      <c r="E7690">
        <v>7.9</v>
      </c>
    </row>
    <row r="7691" spans="1:5" x14ac:dyDescent="0.2">
      <c r="A7691">
        <v>21840</v>
      </c>
      <c r="B7691">
        <v>17908</v>
      </c>
      <c r="C7691">
        <v>43</v>
      </c>
      <c r="D7691">
        <v>510.6</v>
      </c>
      <c r="E7691">
        <v>8</v>
      </c>
    </row>
    <row r="7692" spans="1:5" x14ac:dyDescent="0.2">
      <c r="A7692">
        <v>21850</v>
      </c>
      <c r="B7692">
        <v>17915</v>
      </c>
      <c r="C7692">
        <v>44</v>
      </c>
      <c r="D7692">
        <v>511.1</v>
      </c>
      <c r="E7692">
        <v>8.1999999999999993</v>
      </c>
    </row>
    <row r="7693" spans="1:5" x14ac:dyDescent="0.2">
      <c r="A7693">
        <v>21860</v>
      </c>
      <c r="B7693">
        <v>17922</v>
      </c>
      <c r="C7693">
        <v>45</v>
      </c>
      <c r="D7693">
        <v>511.6</v>
      </c>
      <c r="E7693">
        <v>8.4</v>
      </c>
    </row>
    <row r="7694" spans="1:5" x14ac:dyDescent="0.2">
      <c r="A7694">
        <v>21870</v>
      </c>
      <c r="B7694">
        <v>17929</v>
      </c>
      <c r="C7694">
        <v>45</v>
      </c>
      <c r="D7694">
        <v>512.20000000000005</v>
      </c>
      <c r="E7694">
        <v>8.5</v>
      </c>
    </row>
    <row r="7695" spans="1:5" x14ac:dyDescent="0.2">
      <c r="A7695">
        <v>21880</v>
      </c>
      <c r="B7695">
        <v>17936</v>
      </c>
      <c r="C7695">
        <v>46</v>
      </c>
      <c r="D7695">
        <v>512.79999999999995</v>
      </c>
      <c r="E7695">
        <v>8.6</v>
      </c>
    </row>
    <row r="7696" spans="1:5" x14ac:dyDescent="0.2">
      <c r="A7696">
        <v>21890</v>
      </c>
      <c r="B7696">
        <v>17942</v>
      </c>
      <c r="C7696">
        <v>46</v>
      </c>
      <c r="D7696">
        <v>513.4</v>
      </c>
      <c r="E7696">
        <v>8.6999999999999993</v>
      </c>
    </row>
    <row r="7697" spans="1:5" x14ac:dyDescent="0.2">
      <c r="A7697">
        <v>21900</v>
      </c>
      <c r="B7697">
        <v>17949</v>
      </c>
      <c r="C7697">
        <v>47</v>
      </c>
      <c r="D7697">
        <v>514</v>
      </c>
      <c r="E7697">
        <v>8.9</v>
      </c>
    </row>
    <row r="7698" spans="1:5" x14ac:dyDescent="0.2">
      <c r="A7698">
        <v>21910</v>
      </c>
      <c r="B7698">
        <v>17955</v>
      </c>
      <c r="C7698">
        <v>48</v>
      </c>
      <c r="D7698">
        <v>514.6</v>
      </c>
      <c r="E7698">
        <v>9</v>
      </c>
    </row>
    <row r="7699" spans="1:5" x14ac:dyDescent="0.2">
      <c r="A7699">
        <v>21920</v>
      </c>
      <c r="B7699">
        <v>17962</v>
      </c>
      <c r="C7699">
        <v>48</v>
      </c>
      <c r="D7699">
        <v>515.1</v>
      </c>
      <c r="E7699">
        <v>9.1</v>
      </c>
    </row>
    <row r="7700" spans="1:5" x14ac:dyDescent="0.2">
      <c r="A7700">
        <v>21930</v>
      </c>
      <c r="B7700">
        <v>17970</v>
      </c>
      <c r="C7700">
        <v>48</v>
      </c>
      <c r="D7700">
        <v>515.5</v>
      </c>
      <c r="E7700">
        <v>9.1</v>
      </c>
    </row>
    <row r="7701" spans="1:5" x14ac:dyDescent="0.2">
      <c r="A7701">
        <v>21940</v>
      </c>
      <c r="B7701">
        <v>17977</v>
      </c>
      <c r="C7701">
        <v>48</v>
      </c>
      <c r="D7701">
        <v>516</v>
      </c>
      <c r="E7701">
        <v>9</v>
      </c>
    </row>
    <row r="7702" spans="1:5" x14ac:dyDescent="0.2">
      <c r="A7702">
        <v>21950</v>
      </c>
      <c r="B7702">
        <v>17985</v>
      </c>
      <c r="C7702">
        <v>48</v>
      </c>
      <c r="D7702">
        <v>516.29999999999995</v>
      </c>
      <c r="E7702">
        <v>9</v>
      </c>
    </row>
    <row r="7703" spans="1:5" x14ac:dyDescent="0.2">
      <c r="A7703">
        <v>21960</v>
      </c>
      <c r="B7703">
        <v>17994</v>
      </c>
      <c r="C7703">
        <v>48</v>
      </c>
      <c r="D7703">
        <v>516.5</v>
      </c>
      <c r="E7703">
        <v>9.1</v>
      </c>
    </row>
    <row r="7704" spans="1:5" x14ac:dyDescent="0.2">
      <c r="A7704">
        <v>21970</v>
      </c>
      <c r="B7704">
        <v>18003</v>
      </c>
      <c r="C7704">
        <v>49</v>
      </c>
      <c r="D7704">
        <v>516.6</v>
      </c>
      <c r="E7704">
        <v>9.1999999999999993</v>
      </c>
    </row>
    <row r="7705" spans="1:5" x14ac:dyDescent="0.2">
      <c r="A7705">
        <v>21980</v>
      </c>
      <c r="B7705">
        <v>18013</v>
      </c>
      <c r="C7705">
        <v>49</v>
      </c>
      <c r="D7705">
        <v>516.6</v>
      </c>
      <c r="E7705">
        <v>9.3000000000000007</v>
      </c>
    </row>
    <row r="7706" spans="1:5" x14ac:dyDescent="0.2">
      <c r="A7706">
        <v>21990</v>
      </c>
      <c r="B7706">
        <v>18023</v>
      </c>
      <c r="C7706">
        <v>49</v>
      </c>
      <c r="D7706">
        <v>516.5</v>
      </c>
      <c r="E7706">
        <v>9.3000000000000007</v>
      </c>
    </row>
    <row r="7707" spans="1:5" x14ac:dyDescent="0.2">
      <c r="A7707">
        <v>22000</v>
      </c>
      <c r="B7707">
        <v>18034</v>
      </c>
      <c r="C7707">
        <v>49</v>
      </c>
      <c r="D7707">
        <v>516.20000000000005</v>
      </c>
      <c r="E7707">
        <v>9.3000000000000007</v>
      </c>
    </row>
    <row r="7708" spans="1:5" x14ac:dyDescent="0.2">
      <c r="A7708">
        <v>22010</v>
      </c>
      <c r="B7708">
        <v>18045</v>
      </c>
      <c r="C7708">
        <v>49</v>
      </c>
      <c r="D7708">
        <v>515.9</v>
      </c>
      <c r="E7708">
        <v>9.1999999999999993</v>
      </c>
    </row>
    <row r="7709" spans="1:5" x14ac:dyDescent="0.2">
      <c r="A7709">
        <v>22020</v>
      </c>
      <c r="B7709">
        <v>18057</v>
      </c>
      <c r="C7709">
        <v>48</v>
      </c>
      <c r="D7709">
        <v>515.5</v>
      </c>
      <c r="E7709">
        <v>9.1</v>
      </c>
    </row>
    <row r="7710" spans="1:5" x14ac:dyDescent="0.2">
      <c r="A7710">
        <v>22030</v>
      </c>
      <c r="B7710">
        <v>18069</v>
      </c>
      <c r="C7710">
        <v>47</v>
      </c>
      <c r="D7710">
        <v>515.1</v>
      </c>
      <c r="E7710">
        <v>8.9</v>
      </c>
    </row>
    <row r="7711" spans="1:5" x14ac:dyDescent="0.2">
      <c r="A7711">
        <v>22040</v>
      </c>
      <c r="B7711">
        <v>18081</v>
      </c>
      <c r="C7711">
        <v>47</v>
      </c>
      <c r="D7711">
        <v>514.70000000000005</v>
      </c>
      <c r="E7711">
        <v>8.8000000000000007</v>
      </c>
    </row>
    <row r="7712" spans="1:5" x14ac:dyDescent="0.2">
      <c r="A7712">
        <v>22050</v>
      </c>
      <c r="B7712">
        <v>18093</v>
      </c>
      <c r="C7712">
        <v>46</v>
      </c>
      <c r="D7712">
        <v>514.29999999999995</v>
      </c>
      <c r="E7712">
        <v>8.6999999999999993</v>
      </c>
    </row>
    <row r="7713" spans="1:5" x14ac:dyDescent="0.2">
      <c r="A7713">
        <v>22060</v>
      </c>
      <c r="B7713">
        <v>18105</v>
      </c>
      <c r="C7713">
        <v>46</v>
      </c>
      <c r="D7713">
        <v>513.79999999999995</v>
      </c>
      <c r="E7713">
        <v>8.6</v>
      </c>
    </row>
    <row r="7714" spans="1:5" x14ac:dyDescent="0.2">
      <c r="A7714">
        <v>22070</v>
      </c>
      <c r="B7714">
        <v>18117</v>
      </c>
      <c r="C7714">
        <v>46</v>
      </c>
      <c r="D7714">
        <v>513.4</v>
      </c>
      <c r="E7714">
        <v>8.6</v>
      </c>
    </row>
    <row r="7715" spans="1:5" x14ac:dyDescent="0.2">
      <c r="A7715">
        <v>22080</v>
      </c>
      <c r="B7715">
        <v>18128</v>
      </c>
      <c r="C7715">
        <v>45</v>
      </c>
      <c r="D7715">
        <v>513.1</v>
      </c>
      <c r="E7715">
        <v>8.5</v>
      </c>
    </row>
    <row r="7716" spans="1:5" x14ac:dyDescent="0.2">
      <c r="A7716">
        <v>22090</v>
      </c>
      <c r="B7716">
        <v>18140</v>
      </c>
      <c r="C7716">
        <v>45</v>
      </c>
      <c r="D7716">
        <v>512.79999999999995</v>
      </c>
      <c r="E7716">
        <v>8.5</v>
      </c>
    </row>
    <row r="7717" spans="1:5" x14ac:dyDescent="0.2">
      <c r="A7717">
        <v>22100</v>
      </c>
      <c r="B7717">
        <v>18151</v>
      </c>
      <c r="C7717">
        <v>45</v>
      </c>
      <c r="D7717">
        <v>512.5</v>
      </c>
      <c r="E7717">
        <v>8.4</v>
      </c>
    </row>
    <row r="7718" spans="1:5" x14ac:dyDescent="0.2">
      <c r="A7718">
        <v>22110</v>
      </c>
      <c r="B7718">
        <v>18161</v>
      </c>
      <c r="C7718">
        <v>44</v>
      </c>
      <c r="D7718">
        <v>512.4</v>
      </c>
      <c r="E7718">
        <v>8.3000000000000007</v>
      </c>
    </row>
    <row r="7719" spans="1:5" x14ac:dyDescent="0.2">
      <c r="A7719">
        <v>22120</v>
      </c>
      <c r="B7719">
        <v>18171</v>
      </c>
      <c r="C7719">
        <v>44</v>
      </c>
      <c r="D7719">
        <v>512.4</v>
      </c>
      <c r="E7719">
        <v>8.1999999999999993</v>
      </c>
    </row>
    <row r="7720" spans="1:5" x14ac:dyDescent="0.2">
      <c r="A7720">
        <v>22130</v>
      </c>
      <c r="B7720">
        <v>18180</v>
      </c>
      <c r="C7720">
        <v>43</v>
      </c>
      <c r="D7720">
        <v>512.5</v>
      </c>
      <c r="E7720">
        <v>8.1</v>
      </c>
    </row>
    <row r="7721" spans="1:5" x14ac:dyDescent="0.2">
      <c r="A7721">
        <v>22140</v>
      </c>
      <c r="B7721">
        <v>18189</v>
      </c>
      <c r="C7721">
        <v>42</v>
      </c>
      <c r="D7721">
        <v>512.6</v>
      </c>
      <c r="E7721">
        <v>8</v>
      </c>
    </row>
    <row r="7722" spans="1:5" x14ac:dyDescent="0.2">
      <c r="A7722">
        <v>22150</v>
      </c>
      <c r="B7722">
        <v>18198</v>
      </c>
      <c r="C7722">
        <v>42</v>
      </c>
      <c r="D7722">
        <v>512.9</v>
      </c>
      <c r="E7722">
        <v>7.9</v>
      </c>
    </row>
    <row r="7723" spans="1:5" x14ac:dyDescent="0.2">
      <c r="A7723">
        <v>22160</v>
      </c>
      <c r="B7723">
        <v>18206</v>
      </c>
      <c r="C7723">
        <v>42</v>
      </c>
      <c r="D7723">
        <v>513.1</v>
      </c>
      <c r="E7723">
        <v>7.9</v>
      </c>
    </row>
    <row r="7724" spans="1:5" x14ac:dyDescent="0.2">
      <c r="A7724">
        <v>22170</v>
      </c>
      <c r="B7724">
        <v>18214</v>
      </c>
      <c r="C7724">
        <v>43</v>
      </c>
      <c r="D7724">
        <v>513.5</v>
      </c>
      <c r="E7724">
        <v>8</v>
      </c>
    </row>
    <row r="7725" spans="1:5" x14ac:dyDescent="0.2">
      <c r="A7725">
        <v>22180</v>
      </c>
      <c r="B7725">
        <v>18222</v>
      </c>
      <c r="C7725">
        <v>43</v>
      </c>
      <c r="D7725">
        <v>513.79999999999995</v>
      </c>
      <c r="E7725">
        <v>8.1</v>
      </c>
    </row>
    <row r="7726" spans="1:5" x14ac:dyDescent="0.2">
      <c r="A7726">
        <v>22190</v>
      </c>
      <c r="B7726">
        <v>18229</v>
      </c>
      <c r="C7726">
        <v>43</v>
      </c>
      <c r="D7726">
        <v>514.20000000000005</v>
      </c>
      <c r="E7726">
        <v>8.1999999999999993</v>
      </c>
    </row>
    <row r="7727" spans="1:5" x14ac:dyDescent="0.2">
      <c r="A7727">
        <v>22200</v>
      </c>
      <c r="B7727">
        <v>18238</v>
      </c>
      <c r="C7727">
        <v>44</v>
      </c>
      <c r="D7727">
        <v>514.5</v>
      </c>
      <c r="E7727">
        <v>8.1999999999999993</v>
      </c>
    </row>
    <row r="7728" spans="1:5" x14ac:dyDescent="0.2">
      <c r="A7728">
        <v>22210</v>
      </c>
      <c r="B7728">
        <v>18246</v>
      </c>
      <c r="C7728">
        <v>43</v>
      </c>
      <c r="D7728">
        <v>514.79999999999995</v>
      </c>
      <c r="E7728">
        <v>8.1</v>
      </c>
    </row>
    <row r="7729" spans="1:5" x14ac:dyDescent="0.2">
      <c r="A7729">
        <v>22220</v>
      </c>
      <c r="B7729">
        <v>18254</v>
      </c>
      <c r="C7729">
        <v>42</v>
      </c>
      <c r="D7729">
        <v>515</v>
      </c>
      <c r="E7729">
        <v>8</v>
      </c>
    </row>
    <row r="7730" spans="1:5" x14ac:dyDescent="0.2">
      <c r="A7730">
        <v>22230</v>
      </c>
      <c r="B7730">
        <v>18263</v>
      </c>
      <c r="C7730">
        <v>42</v>
      </c>
      <c r="D7730">
        <v>515.20000000000005</v>
      </c>
      <c r="E7730">
        <v>7.9</v>
      </c>
    </row>
    <row r="7731" spans="1:5" x14ac:dyDescent="0.2">
      <c r="A7731">
        <v>22240</v>
      </c>
      <c r="B7731">
        <v>18272</v>
      </c>
      <c r="C7731">
        <v>41</v>
      </c>
      <c r="D7731">
        <v>515.29999999999995</v>
      </c>
      <c r="E7731">
        <v>7.8</v>
      </c>
    </row>
    <row r="7732" spans="1:5" x14ac:dyDescent="0.2">
      <c r="A7732">
        <v>22250</v>
      </c>
      <c r="B7732">
        <v>18281</v>
      </c>
      <c r="C7732">
        <v>41</v>
      </c>
      <c r="D7732">
        <v>515.4</v>
      </c>
      <c r="E7732">
        <v>7.8</v>
      </c>
    </row>
    <row r="7733" spans="1:5" x14ac:dyDescent="0.2">
      <c r="A7733">
        <v>22260</v>
      </c>
      <c r="B7733">
        <v>18291</v>
      </c>
      <c r="C7733">
        <v>42</v>
      </c>
      <c r="D7733">
        <v>515.4</v>
      </c>
      <c r="E7733">
        <v>7.9</v>
      </c>
    </row>
    <row r="7734" spans="1:5" x14ac:dyDescent="0.2">
      <c r="A7734">
        <v>22270</v>
      </c>
      <c r="B7734">
        <v>18301</v>
      </c>
      <c r="C7734">
        <v>42</v>
      </c>
      <c r="D7734">
        <v>515.4</v>
      </c>
      <c r="E7734">
        <v>8</v>
      </c>
    </row>
    <row r="7735" spans="1:5" x14ac:dyDescent="0.2">
      <c r="A7735">
        <v>22280</v>
      </c>
      <c r="B7735">
        <v>18311</v>
      </c>
      <c r="C7735">
        <v>43</v>
      </c>
      <c r="D7735">
        <v>515.29999999999995</v>
      </c>
      <c r="E7735">
        <v>8</v>
      </c>
    </row>
    <row r="7736" spans="1:5" x14ac:dyDescent="0.2">
      <c r="A7736">
        <v>22290</v>
      </c>
      <c r="B7736">
        <v>18321</v>
      </c>
      <c r="C7736">
        <v>43</v>
      </c>
      <c r="D7736">
        <v>515.1</v>
      </c>
      <c r="E7736">
        <v>8.1</v>
      </c>
    </row>
    <row r="7737" spans="1:5" x14ac:dyDescent="0.2">
      <c r="A7737">
        <v>22300</v>
      </c>
      <c r="B7737">
        <v>18332</v>
      </c>
      <c r="C7737">
        <v>44</v>
      </c>
      <c r="D7737">
        <v>514.9</v>
      </c>
      <c r="E7737">
        <v>8.3000000000000007</v>
      </c>
    </row>
    <row r="7738" spans="1:5" x14ac:dyDescent="0.2">
      <c r="A7738">
        <v>22310</v>
      </c>
      <c r="B7738">
        <v>18344</v>
      </c>
      <c r="C7738">
        <v>46</v>
      </c>
      <c r="D7738">
        <v>514.5</v>
      </c>
      <c r="E7738">
        <v>8.6</v>
      </c>
    </row>
    <row r="7739" spans="1:5" x14ac:dyDescent="0.2">
      <c r="A7739">
        <v>22320</v>
      </c>
      <c r="B7739">
        <v>18357</v>
      </c>
      <c r="C7739">
        <v>48</v>
      </c>
      <c r="D7739">
        <v>514</v>
      </c>
      <c r="E7739">
        <v>9</v>
      </c>
    </row>
    <row r="7740" spans="1:5" x14ac:dyDescent="0.2">
      <c r="A7740">
        <v>22330</v>
      </c>
      <c r="B7740">
        <v>18370</v>
      </c>
      <c r="C7740">
        <v>51</v>
      </c>
      <c r="D7740">
        <v>513.29999999999995</v>
      </c>
      <c r="E7740">
        <v>9.5</v>
      </c>
    </row>
    <row r="7741" spans="1:5" x14ac:dyDescent="0.2">
      <c r="A7741">
        <v>22340</v>
      </c>
      <c r="B7741">
        <v>18385</v>
      </c>
      <c r="C7741">
        <v>54</v>
      </c>
      <c r="D7741">
        <v>512.4</v>
      </c>
      <c r="E7741">
        <v>10.1</v>
      </c>
    </row>
    <row r="7742" spans="1:5" x14ac:dyDescent="0.2">
      <c r="A7742">
        <v>22350</v>
      </c>
      <c r="B7742">
        <v>18400</v>
      </c>
      <c r="C7742">
        <v>57</v>
      </c>
      <c r="D7742">
        <v>511.3</v>
      </c>
      <c r="E7742">
        <v>10.7</v>
      </c>
    </row>
    <row r="7743" spans="1:5" x14ac:dyDescent="0.2">
      <c r="A7743">
        <v>22360</v>
      </c>
      <c r="B7743">
        <v>18417</v>
      </c>
      <c r="C7743">
        <v>60</v>
      </c>
      <c r="D7743">
        <v>510</v>
      </c>
      <c r="E7743">
        <v>11.3</v>
      </c>
    </row>
    <row r="7744" spans="1:5" x14ac:dyDescent="0.2">
      <c r="A7744">
        <v>22370</v>
      </c>
      <c r="B7744">
        <v>18434</v>
      </c>
      <c r="C7744">
        <v>64</v>
      </c>
      <c r="D7744">
        <v>508.6</v>
      </c>
      <c r="E7744">
        <v>11.9</v>
      </c>
    </row>
    <row r="7745" spans="1:5" x14ac:dyDescent="0.2">
      <c r="A7745">
        <v>22380</v>
      </c>
      <c r="B7745">
        <v>18452</v>
      </c>
      <c r="C7745">
        <v>67</v>
      </c>
      <c r="D7745">
        <v>507.1</v>
      </c>
      <c r="E7745">
        <v>12.6</v>
      </c>
    </row>
    <row r="7746" spans="1:5" x14ac:dyDescent="0.2">
      <c r="A7746">
        <v>22390</v>
      </c>
      <c r="B7746">
        <v>18470</v>
      </c>
      <c r="C7746">
        <v>71</v>
      </c>
      <c r="D7746">
        <v>505.5</v>
      </c>
      <c r="E7746">
        <v>13.3</v>
      </c>
    </row>
    <row r="7747" spans="1:5" x14ac:dyDescent="0.2">
      <c r="A7747">
        <v>22400</v>
      </c>
      <c r="B7747">
        <v>18489</v>
      </c>
      <c r="C7747">
        <v>75</v>
      </c>
      <c r="D7747">
        <v>503.8</v>
      </c>
      <c r="E7747">
        <v>14</v>
      </c>
    </row>
    <row r="7748" spans="1:5" x14ac:dyDescent="0.2">
      <c r="A7748">
        <v>22410</v>
      </c>
      <c r="B7748">
        <v>18508</v>
      </c>
      <c r="C7748">
        <v>78</v>
      </c>
      <c r="D7748">
        <v>502.1</v>
      </c>
      <c r="E7748">
        <v>14.5</v>
      </c>
    </row>
    <row r="7749" spans="1:5" x14ac:dyDescent="0.2">
      <c r="A7749">
        <v>22420</v>
      </c>
      <c r="B7749">
        <v>18527</v>
      </c>
      <c r="C7749">
        <v>81</v>
      </c>
      <c r="D7749">
        <v>500.4</v>
      </c>
      <c r="E7749">
        <v>15</v>
      </c>
    </row>
    <row r="7750" spans="1:5" x14ac:dyDescent="0.2">
      <c r="A7750">
        <v>22430</v>
      </c>
      <c r="B7750">
        <v>18545</v>
      </c>
      <c r="C7750">
        <v>82</v>
      </c>
      <c r="D7750">
        <v>498.7</v>
      </c>
      <c r="E7750">
        <v>15.3</v>
      </c>
    </row>
    <row r="7751" spans="1:5" x14ac:dyDescent="0.2">
      <c r="A7751">
        <v>22440</v>
      </c>
      <c r="B7751">
        <v>18563</v>
      </c>
      <c r="C7751">
        <v>83</v>
      </c>
      <c r="D7751">
        <v>497.2</v>
      </c>
      <c r="E7751">
        <v>15.4</v>
      </c>
    </row>
    <row r="7752" spans="1:5" x14ac:dyDescent="0.2">
      <c r="A7752">
        <v>22450</v>
      </c>
      <c r="B7752">
        <v>18581</v>
      </c>
      <c r="C7752">
        <v>82</v>
      </c>
      <c r="D7752">
        <v>495.7</v>
      </c>
      <c r="E7752">
        <v>15.2</v>
      </c>
    </row>
    <row r="7753" spans="1:5" x14ac:dyDescent="0.2">
      <c r="A7753">
        <v>22460</v>
      </c>
      <c r="B7753">
        <v>18598</v>
      </c>
      <c r="C7753">
        <v>79</v>
      </c>
      <c r="D7753">
        <v>494.3</v>
      </c>
      <c r="E7753">
        <v>14.7</v>
      </c>
    </row>
    <row r="7754" spans="1:5" x14ac:dyDescent="0.2">
      <c r="A7754">
        <v>22470</v>
      </c>
      <c r="B7754">
        <v>18614</v>
      </c>
      <c r="C7754">
        <v>75</v>
      </c>
      <c r="D7754">
        <v>493.1</v>
      </c>
      <c r="E7754">
        <v>14</v>
      </c>
    </row>
    <row r="7755" spans="1:5" x14ac:dyDescent="0.2">
      <c r="A7755">
        <v>22480</v>
      </c>
      <c r="B7755">
        <v>18629</v>
      </c>
      <c r="C7755">
        <v>70</v>
      </c>
      <c r="D7755">
        <v>492.1</v>
      </c>
      <c r="E7755">
        <v>13</v>
      </c>
    </row>
    <row r="7756" spans="1:5" x14ac:dyDescent="0.2">
      <c r="A7756">
        <v>22490</v>
      </c>
      <c r="B7756">
        <v>18644</v>
      </c>
      <c r="C7756">
        <v>64</v>
      </c>
      <c r="D7756">
        <v>491.1</v>
      </c>
      <c r="E7756">
        <v>11.9</v>
      </c>
    </row>
    <row r="7757" spans="1:5" x14ac:dyDescent="0.2">
      <c r="A7757">
        <v>22500</v>
      </c>
      <c r="B7757">
        <v>18658</v>
      </c>
      <c r="C7757">
        <v>59</v>
      </c>
      <c r="D7757">
        <v>490.4</v>
      </c>
      <c r="E7757">
        <v>10.9</v>
      </c>
    </row>
    <row r="7758" spans="1:5" x14ac:dyDescent="0.2">
      <c r="A7758">
        <v>22510</v>
      </c>
      <c r="B7758">
        <v>18671</v>
      </c>
      <c r="C7758">
        <v>54</v>
      </c>
      <c r="D7758">
        <v>489.8</v>
      </c>
      <c r="E7758">
        <v>10.1</v>
      </c>
    </row>
    <row r="7759" spans="1:5" x14ac:dyDescent="0.2">
      <c r="A7759">
        <v>22520</v>
      </c>
      <c r="B7759">
        <v>18683</v>
      </c>
      <c r="C7759">
        <v>51</v>
      </c>
      <c r="D7759">
        <v>489.3</v>
      </c>
      <c r="E7759">
        <v>9.5</v>
      </c>
    </row>
    <row r="7760" spans="1:5" x14ac:dyDescent="0.2">
      <c r="A7760">
        <v>22530</v>
      </c>
      <c r="B7760">
        <v>18695</v>
      </c>
      <c r="C7760">
        <v>50</v>
      </c>
      <c r="D7760">
        <v>488.9</v>
      </c>
      <c r="E7760">
        <v>9.1999999999999993</v>
      </c>
    </row>
    <row r="7761" spans="1:5" x14ac:dyDescent="0.2">
      <c r="A7761">
        <v>22540</v>
      </c>
      <c r="B7761">
        <v>18706</v>
      </c>
      <c r="C7761">
        <v>50</v>
      </c>
      <c r="D7761">
        <v>488.7</v>
      </c>
      <c r="E7761">
        <v>9.1999999999999993</v>
      </c>
    </row>
    <row r="7762" spans="1:5" x14ac:dyDescent="0.2">
      <c r="A7762">
        <v>22550</v>
      </c>
      <c r="B7762">
        <v>18716</v>
      </c>
      <c r="C7762">
        <v>51</v>
      </c>
      <c r="D7762">
        <v>488.7</v>
      </c>
      <c r="E7762">
        <v>9.5</v>
      </c>
    </row>
    <row r="7763" spans="1:5" x14ac:dyDescent="0.2">
      <c r="A7763">
        <v>22560</v>
      </c>
      <c r="B7763">
        <v>18725</v>
      </c>
      <c r="C7763">
        <v>53</v>
      </c>
      <c r="D7763">
        <v>488.7</v>
      </c>
      <c r="E7763">
        <v>9.9</v>
      </c>
    </row>
    <row r="7764" spans="1:5" x14ac:dyDescent="0.2">
      <c r="A7764">
        <v>22570</v>
      </c>
      <c r="B7764">
        <v>18733</v>
      </c>
      <c r="C7764">
        <v>55</v>
      </c>
      <c r="D7764">
        <v>489</v>
      </c>
      <c r="E7764">
        <v>10.3</v>
      </c>
    </row>
    <row r="7765" spans="1:5" x14ac:dyDescent="0.2">
      <c r="A7765">
        <v>22580</v>
      </c>
      <c r="B7765">
        <v>18741</v>
      </c>
      <c r="C7765">
        <v>57</v>
      </c>
      <c r="D7765">
        <v>489.4</v>
      </c>
      <c r="E7765">
        <v>10.6</v>
      </c>
    </row>
    <row r="7766" spans="1:5" x14ac:dyDescent="0.2">
      <c r="A7766">
        <v>22590</v>
      </c>
      <c r="B7766">
        <v>18748</v>
      </c>
      <c r="C7766">
        <v>59</v>
      </c>
      <c r="D7766">
        <v>489.9</v>
      </c>
      <c r="E7766">
        <v>10.9</v>
      </c>
    </row>
    <row r="7767" spans="1:5" x14ac:dyDescent="0.2">
      <c r="A7767">
        <v>22600</v>
      </c>
      <c r="B7767">
        <v>18754</v>
      </c>
      <c r="C7767">
        <v>60</v>
      </c>
      <c r="D7767">
        <v>490.5</v>
      </c>
      <c r="E7767">
        <v>11.1</v>
      </c>
    </row>
    <row r="7768" spans="1:5" x14ac:dyDescent="0.2">
      <c r="A7768">
        <v>22610</v>
      </c>
      <c r="B7768">
        <v>18760</v>
      </c>
      <c r="C7768">
        <v>61</v>
      </c>
      <c r="D7768">
        <v>491.2</v>
      </c>
      <c r="E7768">
        <v>11.2</v>
      </c>
    </row>
    <row r="7769" spans="1:5" x14ac:dyDescent="0.2">
      <c r="A7769">
        <v>22620</v>
      </c>
      <c r="B7769">
        <v>18765</v>
      </c>
      <c r="C7769">
        <v>61</v>
      </c>
      <c r="D7769">
        <v>492.1</v>
      </c>
      <c r="E7769">
        <v>11.3</v>
      </c>
    </row>
    <row r="7770" spans="1:5" x14ac:dyDescent="0.2">
      <c r="A7770">
        <v>22630</v>
      </c>
      <c r="B7770">
        <v>18770</v>
      </c>
      <c r="C7770">
        <v>61</v>
      </c>
      <c r="D7770">
        <v>493.1</v>
      </c>
      <c r="E7770">
        <v>11.4</v>
      </c>
    </row>
    <row r="7771" spans="1:5" x14ac:dyDescent="0.2">
      <c r="A7771">
        <v>22640</v>
      </c>
      <c r="B7771">
        <v>18773</v>
      </c>
      <c r="C7771">
        <v>60</v>
      </c>
      <c r="D7771">
        <v>494.2</v>
      </c>
      <c r="E7771">
        <v>11.2</v>
      </c>
    </row>
    <row r="7772" spans="1:5" x14ac:dyDescent="0.2">
      <c r="A7772">
        <v>22650</v>
      </c>
      <c r="B7772">
        <v>18776</v>
      </c>
      <c r="C7772">
        <v>58</v>
      </c>
      <c r="D7772">
        <v>495.5</v>
      </c>
      <c r="E7772">
        <v>10.8</v>
      </c>
    </row>
    <row r="7773" spans="1:5" x14ac:dyDescent="0.2">
      <c r="A7773">
        <v>22660</v>
      </c>
      <c r="B7773">
        <v>18779</v>
      </c>
      <c r="C7773">
        <v>55</v>
      </c>
      <c r="D7773">
        <v>496.8</v>
      </c>
      <c r="E7773">
        <v>10.3</v>
      </c>
    </row>
    <row r="7774" spans="1:5" x14ac:dyDescent="0.2">
      <c r="A7774">
        <v>22670</v>
      </c>
      <c r="B7774">
        <v>18781</v>
      </c>
      <c r="C7774">
        <v>52</v>
      </c>
      <c r="D7774">
        <v>498.2</v>
      </c>
      <c r="E7774">
        <v>9.6999999999999993</v>
      </c>
    </row>
    <row r="7775" spans="1:5" x14ac:dyDescent="0.2">
      <c r="A7775">
        <v>22680</v>
      </c>
      <c r="B7775">
        <v>18783</v>
      </c>
      <c r="C7775">
        <v>50</v>
      </c>
      <c r="D7775">
        <v>499.7</v>
      </c>
      <c r="E7775">
        <v>9.3000000000000007</v>
      </c>
    </row>
    <row r="7776" spans="1:5" x14ac:dyDescent="0.2">
      <c r="A7776">
        <v>22690</v>
      </c>
      <c r="B7776">
        <v>18784</v>
      </c>
      <c r="C7776">
        <v>48</v>
      </c>
      <c r="D7776">
        <v>501.2</v>
      </c>
      <c r="E7776">
        <v>9</v>
      </c>
    </row>
    <row r="7777" spans="1:5" x14ac:dyDescent="0.2">
      <c r="A7777">
        <v>22700</v>
      </c>
      <c r="B7777">
        <v>18785</v>
      </c>
      <c r="C7777">
        <v>49</v>
      </c>
      <c r="D7777">
        <v>502.8</v>
      </c>
      <c r="E7777">
        <v>9.1</v>
      </c>
    </row>
    <row r="7778" spans="1:5" x14ac:dyDescent="0.2">
      <c r="A7778">
        <v>22710</v>
      </c>
      <c r="B7778">
        <v>18786</v>
      </c>
      <c r="C7778">
        <v>50</v>
      </c>
      <c r="D7778">
        <v>504.5</v>
      </c>
      <c r="E7778">
        <v>9.3000000000000007</v>
      </c>
    </row>
    <row r="7779" spans="1:5" x14ac:dyDescent="0.2">
      <c r="A7779">
        <v>22720</v>
      </c>
      <c r="B7779">
        <v>18787</v>
      </c>
      <c r="C7779">
        <v>51</v>
      </c>
      <c r="D7779">
        <v>506.2</v>
      </c>
      <c r="E7779">
        <v>9.6</v>
      </c>
    </row>
    <row r="7780" spans="1:5" x14ac:dyDescent="0.2">
      <c r="A7780">
        <v>22730</v>
      </c>
      <c r="B7780">
        <v>18788</v>
      </c>
      <c r="C7780">
        <v>53</v>
      </c>
      <c r="D7780">
        <v>507.8</v>
      </c>
      <c r="E7780">
        <v>9.9</v>
      </c>
    </row>
    <row r="7781" spans="1:5" x14ac:dyDescent="0.2">
      <c r="A7781">
        <v>22740</v>
      </c>
      <c r="B7781">
        <v>18789</v>
      </c>
      <c r="C7781">
        <v>53</v>
      </c>
      <c r="D7781">
        <v>509.5</v>
      </c>
      <c r="E7781">
        <v>9.9</v>
      </c>
    </row>
    <row r="7782" spans="1:5" x14ac:dyDescent="0.2">
      <c r="A7782">
        <v>22750</v>
      </c>
      <c r="B7782">
        <v>18789</v>
      </c>
      <c r="C7782">
        <v>52</v>
      </c>
      <c r="D7782">
        <v>511.2</v>
      </c>
      <c r="E7782">
        <v>9.8000000000000007</v>
      </c>
    </row>
    <row r="7783" spans="1:5" x14ac:dyDescent="0.2">
      <c r="A7783">
        <v>22760</v>
      </c>
      <c r="B7783">
        <v>18790</v>
      </c>
      <c r="C7783">
        <v>51</v>
      </c>
      <c r="D7783">
        <v>512.9</v>
      </c>
      <c r="E7783">
        <v>9.6</v>
      </c>
    </row>
    <row r="7784" spans="1:5" x14ac:dyDescent="0.2">
      <c r="A7784">
        <v>22770</v>
      </c>
      <c r="B7784">
        <v>18791</v>
      </c>
      <c r="C7784">
        <v>50</v>
      </c>
      <c r="D7784">
        <v>514.5</v>
      </c>
      <c r="E7784">
        <v>9.4</v>
      </c>
    </row>
    <row r="7785" spans="1:5" x14ac:dyDescent="0.2">
      <c r="A7785">
        <v>22780</v>
      </c>
      <c r="B7785">
        <v>18792</v>
      </c>
      <c r="C7785">
        <v>49</v>
      </c>
      <c r="D7785">
        <v>516.20000000000005</v>
      </c>
      <c r="E7785">
        <v>9.3000000000000007</v>
      </c>
    </row>
    <row r="7786" spans="1:5" x14ac:dyDescent="0.2">
      <c r="A7786">
        <v>22790</v>
      </c>
      <c r="B7786">
        <v>18793</v>
      </c>
      <c r="C7786">
        <v>49</v>
      </c>
      <c r="D7786">
        <v>517.79999999999995</v>
      </c>
      <c r="E7786">
        <v>9.1999999999999993</v>
      </c>
    </row>
    <row r="7787" spans="1:5" x14ac:dyDescent="0.2">
      <c r="A7787">
        <v>22800</v>
      </c>
      <c r="B7787">
        <v>18794</v>
      </c>
      <c r="C7787">
        <v>49</v>
      </c>
      <c r="D7787">
        <v>519.4</v>
      </c>
      <c r="E7787">
        <v>9.1999999999999993</v>
      </c>
    </row>
    <row r="7788" spans="1:5" x14ac:dyDescent="0.2">
      <c r="A7788">
        <v>22810</v>
      </c>
      <c r="B7788">
        <v>18796</v>
      </c>
      <c r="C7788">
        <v>49</v>
      </c>
      <c r="D7788">
        <v>520.9</v>
      </c>
      <c r="E7788">
        <v>9.3000000000000007</v>
      </c>
    </row>
    <row r="7789" spans="1:5" x14ac:dyDescent="0.2">
      <c r="A7789">
        <v>22820</v>
      </c>
      <c r="B7789">
        <v>18798</v>
      </c>
      <c r="C7789">
        <v>49</v>
      </c>
      <c r="D7789">
        <v>522.4</v>
      </c>
      <c r="E7789">
        <v>9.1999999999999993</v>
      </c>
    </row>
    <row r="7790" spans="1:5" x14ac:dyDescent="0.2">
      <c r="A7790">
        <v>22830</v>
      </c>
      <c r="B7790">
        <v>18800</v>
      </c>
      <c r="C7790">
        <v>48</v>
      </c>
      <c r="D7790">
        <v>523.79999999999995</v>
      </c>
      <c r="E7790">
        <v>9.1999999999999993</v>
      </c>
    </row>
    <row r="7791" spans="1:5" x14ac:dyDescent="0.2">
      <c r="A7791">
        <v>22840</v>
      </c>
      <c r="B7791">
        <v>18803</v>
      </c>
      <c r="C7791">
        <v>49</v>
      </c>
      <c r="D7791">
        <v>525.1</v>
      </c>
      <c r="E7791">
        <v>9.3000000000000007</v>
      </c>
    </row>
    <row r="7792" spans="1:5" x14ac:dyDescent="0.2">
      <c r="A7792">
        <v>22850</v>
      </c>
      <c r="B7792">
        <v>18807</v>
      </c>
      <c r="C7792">
        <v>50</v>
      </c>
      <c r="D7792">
        <v>526.20000000000005</v>
      </c>
      <c r="E7792">
        <v>9.6</v>
      </c>
    </row>
    <row r="7793" spans="1:5" x14ac:dyDescent="0.2">
      <c r="A7793">
        <v>22860</v>
      </c>
      <c r="B7793">
        <v>18813</v>
      </c>
      <c r="C7793">
        <v>53</v>
      </c>
      <c r="D7793">
        <v>526.9</v>
      </c>
      <c r="E7793">
        <v>10.1</v>
      </c>
    </row>
    <row r="7794" spans="1:5" x14ac:dyDescent="0.2">
      <c r="A7794">
        <v>22870</v>
      </c>
      <c r="B7794">
        <v>18822</v>
      </c>
      <c r="C7794">
        <v>58</v>
      </c>
      <c r="D7794">
        <v>527.1</v>
      </c>
      <c r="E7794">
        <v>10.9</v>
      </c>
    </row>
    <row r="7795" spans="1:5" x14ac:dyDescent="0.2">
      <c r="A7795">
        <v>22880</v>
      </c>
      <c r="B7795">
        <v>18833</v>
      </c>
      <c r="C7795">
        <v>63</v>
      </c>
      <c r="D7795">
        <v>526.9</v>
      </c>
      <c r="E7795">
        <v>11.8</v>
      </c>
    </row>
    <row r="7796" spans="1:5" x14ac:dyDescent="0.2">
      <c r="A7796">
        <v>22890</v>
      </c>
      <c r="B7796">
        <v>18847</v>
      </c>
      <c r="C7796">
        <v>67</v>
      </c>
      <c r="D7796">
        <v>526.1</v>
      </c>
      <c r="E7796">
        <v>12.7</v>
      </c>
    </row>
    <row r="7797" spans="1:5" x14ac:dyDescent="0.2">
      <c r="A7797">
        <v>22900</v>
      </c>
      <c r="B7797">
        <v>18864</v>
      </c>
      <c r="C7797">
        <v>72</v>
      </c>
      <c r="D7797">
        <v>524.70000000000005</v>
      </c>
      <c r="E7797">
        <v>13.5</v>
      </c>
    </row>
    <row r="7798" spans="1:5" x14ac:dyDescent="0.2">
      <c r="A7798">
        <v>22910</v>
      </c>
      <c r="B7798">
        <v>18884</v>
      </c>
      <c r="C7798">
        <v>76</v>
      </c>
      <c r="D7798">
        <v>522.70000000000005</v>
      </c>
      <c r="E7798">
        <v>14.4</v>
      </c>
    </row>
    <row r="7799" spans="1:5" x14ac:dyDescent="0.2">
      <c r="A7799">
        <v>22920</v>
      </c>
      <c r="B7799">
        <v>18906</v>
      </c>
      <c r="C7799">
        <v>81</v>
      </c>
      <c r="D7799">
        <v>520.29999999999995</v>
      </c>
      <c r="E7799">
        <v>15.3</v>
      </c>
    </row>
    <row r="7800" spans="1:5" x14ac:dyDescent="0.2">
      <c r="A7800">
        <v>22930</v>
      </c>
      <c r="B7800">
        <v>18930</v>
      </c>
      <c r="C7800">
        <v>85</v>
      </c>
      <c r="D7800">
        <v>517.70000000000005</v>
      </c>
      <c r="E7800">
        <v>16.100000000000001</v>
      </c>
    </row>
    <row r="7801" spans="1:5" x14ac:dyDescent="0.2">
      <c r="A7801">
        <v>22940</v>
      </c>
      <c r="B7801">
        <v>18955</v>
      </c>
      <c r="C7801">
        <v>89</v>
      </c>
      <c r="D7801">
        <v>514.79999999999995</v>
      </c>
      <c r="E7801">
        <v>16.7</v>
      </c>
    </row>
    <row r="7802" spans="1:5" x14ac:dyDescent="0.2">
      <c r="A7802">
        <v>22950</v>
      </c>
      <c r="B7802">
        <v>18981</v>
      </c>
      <c r="C7802">
        <v>90</v>
      </c>
      <c r="D7802">
        <v>511.8</v>
      </c>
      <c r="E7802">
        <v>17</v>
      </c>
    </row>
    <row r="7803" spans="1:5" x14ac:dyDescent="0.2">
      <c r="A7803">
        <v>22960</v>
      </c>
      <c r="B7803">
        <v>19006</v>
      </c>
      <c r="C7803">
        <v>90</v>
      </c>
      <c r="D7803">
        <v>508.8</v>
      </c>
      <c r="E7803">
        <v>16.899999999999999</v>
      </c>
    </row>
    <row r="7804" spans="1:5" x14ac:dyDescent="0.2">
      <c r="A7804">
        <v>22970</v>
      </c>
      <c r="B7804">
        <v>19032</v>
      </c>
      <c r="C7804">
        <v>88</v>
      </c>
      <c r="D7804">
        <v>505.8</v>
      </c>
      <c r="E7804">
        <v>16.399999999999999</v>
      </c>
    </row>
    <row r="7805" spans="1:5" x14ac:dyDescent="0.2">
      <c r="A7805">
        <v>22980</v>
      </c>
      <c r="B7805">
        <v>19057</v>
      </c>
      <c r="C7805">
        <v>84</v>
      </c>
      <c r="D7805">
        <v>503</v>
      </c>
      <c r="E7805">
        <v>15.7</v>
      </c>
    </row>
    <row r="7806" spans="1:5" x14ac:dyDescent="0.2">
      <c r="A7806">
        <v>22990</v>
      </c>
      <c r="B7806">
        <v>19082</v>
      </c>
      <c r="C7806">
        <v>79</v>
      </c>
      <c r="D7806">
        <v>500.2</v>
      </c>
      <c r="E7806">
        <v>14.7</v>
      </c>
    </row>
    <row r="7807" spans="1:5" x14ac:dyDescent="0.2">
      <c r="A7807">
        <v>23000</v>
      </c>
      <c r="B7807">
        <v>19105</v>
      </c>
      <c r="C7807">
        <v>73</v>
      </c>
      <c r="D7807">
        <v>497.6</v>
      </c>
      <c r="E7807">
        <v>13.7</v>
      </c>
    </row>
    <row r="7808" spans="1:5" x14ac:dyDescent="0.2">
      <c r="A7808">
        <v>23010</v>
      </c>
      <c r="B7808">
        <v>19127</v>
      </c>
      <c r="C7808">
        <v>68</v>
      </c>
      <c r="D7808">
        <v>495.2</v>
      </c>
      <c r="E7808">
        <v>12.7</v>
      </c>
    </row>
    <row r="7809" spans="1:5" x14ac:dyDescent="0.2">
      <c r="A7809">
        <v>23020</v>
      </c>
      <c r="B7809">
        <v>19149</v>
      </c>
      <c r="C7809">
        <v>63</v>
      </c>
      <c r="D7809">
        <v>493.1</v>
      </c>
      <c r="E7809">
        <v>11.8</v>
      </c>
    </row>
    <row r="7810" spans="1:5" x14ac:dyDescent="0.2">
      <c r="A7810">
        <v>23030</v>
      </c>
      <c r="B7810">
        <v>19168</v>
      </c>
      <c r="C7810">
        <v>59</v>
      </c>
      <c r="D7810">
        <v>491.3</v>
      </c>
      <c r="E7810">
        <v>11</v>
      </c>
    </row>
    <row r="7811" spans="1:5" x14ac:dyDescent="0.2">
      <c r="A7811">
        <v>23040</v>
      </c>
      <c r="B7811">
        <v>19185</v>
      </c>
      <c r="C7811">
        <v>56</v>
      </c>
      <c r="D7811">
        <v>489.9</v>
      </c>
      <c r="E7811">
        <v>10.3</v>
      </c>
    </row>
    <row r="7812" spans="1:5" x14ac:dyDescent="0.2">
      <c r="A7812">
        <v>23050</v>
      </c>
      <c r="B7812">
        <v>19200</v>
      </c>
      <c r="C7812">
        <v>53</v>
      </c>
      <c r="D7812">
        <v>488.9</v>
      </c>
      <c r="E7812">
        <v>9.9</v>
      </c>
    </row>
    <row r="7813" spans="1:5" x14ac:dyDescent="0.2">
      <c r="A7813">
        <v>23060</v>
      </c>
      <c r="B7813">
        <v>19213</v>
      </c>
      <c r="C7813">
        <v>51</v>
      </c>
      <c r="D7813">
        <v>488.3</v>
      </c>
      <c r="E7813">
        <v>9.4</v>
      </c>
    </row>
    <row r="7814" spans="1:5" x14ac:dyDescent="0.2">
      <c r="A7814">
        <v>23070</v>
      </c>
      <c r="B7814">
        <v>19225</v>
      </c>
      <c r="C7814">
        <v>49</v>
      </c>
      <c r="D7814">
        <v>488</v>
      </c>
      <c r="E7814">
        <v>9.1999999999999993</v>
      </c>
    </row>
    <row r="7815" spans="1:5" x14ac:dyDescent="0.2">
      <c r="A7815">
        <v>23080</v>
      </c>
      <c r="B7815">
        <v>19234</v>
      </c>
      <c r="C7815">
        <v>49</v>
      </c>
      <c r="D7815">
        <v>488</v>
      </c>
      <c r="E7815">
        <v>9</v>
      </c>
    </row>
    <row r="7816" spans="1:5" x14ac:dyDescent="0.2">
      <c r="A7816">
        <v>23090</v>
      </c>
      <c r="B7816">
        <v>19243</v>
      </c>
      <c r="C7816">
        <v>48</v>
      </c>
      <c r="D7816">
        <v>488.2</v>
      </c>
      <c r="E7816">
        <v>8.9</v>
      </c>
    </row>
    <row r="7817" spans="1:5" x14ac:dyDescent="0.2">
      <c r="A7817">
        <v>23100</v>
      </c>
      <c r="B7817">
        <v>19251</v>
      </c>
      <c r="C7817">
        <v>48</v>
      </c>
      <c r="D7817">
        <v>488.5</v>
      </c>
      <c r="E7817">
        <v>8.9</v>
      </c>
    </row>
    <row r="7818" spans="1:5" x14ac:dyDescent="0.2">
      <c r="A7818">
        <v>23110</v>
      </c>
      <c r="B7818">
        <v>19258</v>
      </c>
      <c r="C7818">
        <v>48</v>
      </c>
      <c r="D7818">
        <v>489</v>
      </c>
      <c r="E7818">
        <v>8.9</v>
      </c>
    </row>
    <row r="7819" spans="1:5" x14ac:dyDescent="0.2">
      <c r="A7819">
        <v>23120</v>
      </c>
      <c r="B7819">
        <v>19265</v>
      </c>
      <c r="C7819">
        <v>48</v>
      </c>
      <c r="D7819">
        <v>489.4</v>
      </c>
      <c r="E7819">
        <v>8.9</v>
      </c>
    </row>
    <row r="7820" spans="1:5" x14ac:dyDescent="0.2">
      <c r="A7820">
        <v>23130</v>
      </c>
      <c r="B7820">
        <v>19273</v>
      </c>
      <c r="C7820">
        <v>48</v>
      </c>
      <c r="D7820">
        <v>489.9</v>
      </c>
      <c r="E7820">
        <v>8.9</v>
      </c>
    </row>
    <row r="7821" spans="1:5" x14ac:dyDescent="0.2">
      <c r="A7821">
        <v>23140</v>
      </c>
      <c r="B7821">
        <v>19280</v>
      </c>
      <c r="C7821">
        <v>47</v>
      </c>
      <c r="D7821">
        <v>490.3</v>
      </c>
      <c r="E7821">
        <v>8.8000000000000007</v>
      </c>
    </row>
    <row r="7822" spans="1:5" x14ac:dyDescent="0.2">
      <c r="A7822">
        <v>23150</v>
      </c>
      <c r="B7822">
        <v>19288</v>
      </c>
      <c r="C7822">
        <v>47</v>
      </c>
      <c r="D7822">
        <v>490.6</v>
      </c>
      <c r="E7822">
        <v>8.6999999999999993</v>
      </c>
    </row>
    <row r="7823" spans="1:5" x14ac:dyDescent="0.2">
      <c r="A7823">
        <v>23160</v>
      </c>
      <c r="B7823">
        <v>19296</v>
      </c>
      <c r="C7823">
        <v>46</v>
      </c>
      <c r="D7823">
        <v>491</v>
      </c>
      <c r="E7823">
        <v>8.6</v>
      </c>
    </row>
    <row r="7824" spans="1:5" x14ac:dyDescent="0.2">
      <c r="A7824">
        <v>23170</v>
      </c>
      <c r="B7824">
        <v>19303</v>
      </c>
      <c r="C7824">
        <v>45</v>
      </c>
      <c r="D7824">
        <v>491.4</v>
      </c>
      <c r="E7824">
        <v>8.4</v>
      </c>
    </row>
    <row r="7825" spans="1:5" x14ac:dyDescent="0.2">
      <c r="A7825">
        <v>23180</v>
      </c>
      <c r="B7825">
        <v>19311</v>
      </c>
      <c r="C7825">
        <v>45</v>
      </c>
      <c r="D7825">
        <v>491.8</v>
      </c>
      <c r="E7825">
        <v>8.4</v>
      </c>
    </row>
    <row r="7826" spans="1:5" x14ac:dyDescent="0.2">
      <c r="A7826">
        <v>23190</v>
      </c>
      <c r="B7826">
        <v>19319</v>
      </c>
      <c r="C7826">
        <v>45</v>
      </c>
      <c r="D7826">
        <v>492.1</v>
      </c>
      <c r="E7826">
        <v>8.3000000000000007</v>
      </c>
    </row>
    <row r="7827" spans="1:5" x14ac:dyDescent="0.2">
      <c r="A7827">
        <v>23200</v>
      </c>
      <c r="B7827">
        <v>19326</v>
      </c>
      <c r="C7827">
        <v>45</v>
      </c>
      <c r="D7827">
        <v>492.5</v>
      </c>
      <c r="E7827">
        <v>8.4</v>
      </c>
    </row>
    <row r="7828" spans="1:5" x14ac:dyDescent="0.2">
      <c r="A7828">
        <v>23210</v>
      </c>
      <c r="B7828">
        <v>19334</v>
      </c>
      <c r="C7828">
        <v>46</v>
      </c>
      <c r="D7828">
        <v>493</v>
      </c>
      <c r="E7828">
        <v>8.5</v>
      </c>
    </row>
    <row r="7829" spans="1:5" x14ac:dyDescent="0.2">
      <c r="A7829">
        <v>23220</v>
      </c>
      <c r="B7829">
        <v>19341</v>
      </c>
      <c r="C7829">
        <v>47</v>
      </c>
      <c r="D7829">
        <v>493.5</v>
      </c>
      <c r="E7829">
        <v>8.6</v>
      </c>
    </row>
    <row r="7830" spans="1:5" x14ac:dyDescent="0.2">
      <c r="A7830">
        <v>23230</v>
      </c>
      <c r="B7830">
        <v>19348</v>
      </c>
      <c r="C7830">
        <v>47</v>
      </c>
      <c r="D7830">
        <v>494</v>
      </c>
      <c r="E7830">
        <v>8.8000000000000007</v>
      </c>
    </row>
    <row r="7831" spans="1:5" x14ac:dyDescent="0.2">
      <c r="A7831">
        <v>23240</v>
      </c>
      <c r="B7831">
        <v>19354</v>
      </c>
      <c r="C7831">
        <v>48</v>
      </c>
      <c r="D7831">
        <v>494.7</v>
      </c>
      <c r="E7831">
        <v>8.9</v>
      </c>
    </row>
    <row r="7832" spans="1:5" x14ac:dyDescent="0.2">
      <c r="A7832">
        <v>23250</v>
      </c>
      <c r="B7832">
        <v>19360</v>
      </c>
      <c r="C7832">
        <v>48</v>
      </c>
      <c r="D7832">
        <v>495.3</v>
      </c>
      <c r="E7832">
        <v>9</v>
      </c>
    </row>
    <row r="7833" spans="1:5" x14ac:dyDescent="0.2">
      <c r="A7833">
        <v>23260</v>
      </c>
      <c r="B7833">
        <v>19366</v>
      </c>
      <c r="C7833">
        <v>49</v>
      </c>
      <c r="D7833">
        <v>496.1</v>
      </c>
      <c r="E7833">
        <v>9</v>
      </c>
    </row>
    <row r="7834" spans="1:5" x14ac:dyDescent="0.2">
      <c r="A7834">
        <v>23270</v>
      </c>
      <c r="B7834">
        <v>19371</v>
      </c>
      <c r="C7834">
        <v>48</v>
      </c>
      <c r="D7834">
        <v>497</v>
      </c>
      <c r="E7834">
        <v>9</v>
      </c>
    </row>
    <row r="7835" spans="1:5" x14ac:dyDescent="0.2">
      <c r="A7835">
        <v>23280</v>
      </c>
      <c r="B7835">
        <v>19375</v>
      </c>
      <c r="C7835">
        <v>48</v>
      </c>
      <c r="D7835">
        <v>497.9</v>
      </c>
      <c r="E7835">
        <v>8.9</v>
      </c>
    </row>
    <row r="7836" spans="1:5" x14ac:dyDescent="0.2">
      <c r="A7836">
        <v>23290</v>
      </c>
      <c r="B7836">
        <v>19380</v>
      </c>
      <c r="C7836">
        <v>48</v>
      </c>
      <c r="D7836">
        <v>498.9</v>
      </c>
      <c r="E7836">
        <v>8.9</v>
      </c>
    </row>
    <row r="7837" spans="1:5" x14ac:dyDescent="0.2">
      <c r="A7837">
        <v>23300</v>
      </c>
      <c r="B7837">
        <v>19384</v>
      </c>
      <c r="C7837">
        <v>48</v>
      </c>
      <c r="D7837">
        <v>499.8</v>
      </c>
      <c r="E7837">
        <v>9</v>
      </c>
    </row>
    <row r="7838" spans="1:5" x14ac:dyDescent="0.2">
      <c r="A7838">
        <v>23310</v>
      </c>
      <c r="B7838">
        <v>19390</v>
      </c>
      <c r="C7838">
        <v>49</v>
      </c>
      <c r="D7838">
        <v>500.6</v>
      </c>
      <c r="E7838">
        <v>9.1</v>
      </c>
    </row>
    <row r="7839" spans="1:5" x14ac:dyDescent="0.2">
      <c r="A7839">
        <v>23320</v>
      </c>
      <c r="B7839">
        <v>19396</v>
      </c>
      <c r="C7839">
        <v>51</v>
      </c>
      <c r="D7839">
        <v>501.3</v>
      </c>
      <c r="E7839">
        <v>9.5</v>
      </c>
    </row>
    <row r="7840" spans="1:5" x14ac:dyDescent="0.2">
      <c r="A7840">
        <v>23330</v>
      </c>
      <c r="B7840">
        <v>19403</v>
      </c>
      <c r="C7840">
        <v>53</v>
      </c>
      <c r="D7840">
        <v>501.8</v>
      </c>
      <c r="E7840">
        <v>10</v>
      </c>
    </row>
    <row r="7841" spans="1:5" x14ac:dyDescent="0.2">
      <c r="A7841">
        <v>23340</v>
      </c>
      <c r="B7841">
        <v>19412</v>
      </c>
      <c r="C7841">
        <v>55</v>
      </c>
      <c r="D7841">
        <v>502</v>
      </c>
      <c r="E7841">
        <v>10.3</v>
      </c>
    </row>
    <row r="7842" spans="1:5" x14ac:dyDescent="0.2">
      <c r="A7842">
        <v>23350</v>
      </c>
      <c r="B7842">
        <v>19423</v>
      </c>
      <c r="C7842">
        <v>57</v>
      </c>
      <c r="D7842">
        <v>501.7</v>
      </c>
      <c r="E7842">
        <v>10.6</v>
      </c>
    </row>
    <row r="7843" spans="1:5" x14ac:dyDescent="0.2">
      <c r="A7843">
        <v>23360</v>
      </c>
      <c r="B7843">
        <v>19435</v>
      </c>
      <c r="C7843">
        <v>58</v>
      </c>
      <c r="D7843">
        <v>501.2</v>
      </c>
      <c r="E7843">
        <v>10.8</v>
      </c>
    </row>
    <row r="7844" spans="1:5" x14ac:dyDescent="0.2">
      <c r="A7844">
        <v>23370</v>
      </c>
      <c r="B7844">
        <v>19449</v>
      </c>
      <c r="C7844">
        <v>58</v>
      </c>
      <c r="D7844">
        <v>500.4</v>
      </c>
      <c r="E7844">
        <v>10.9</v>
      </c>
    </row>
    <row r="7845" spans="1:5" x14ac:dyDescent="0.2">
      <c r="A7845">
        <v>23380</v>
      </c>
      <c r="B7845">
        <v>19465</v>
      </c>
      <c r="C7845">
        <v>59</v>
      </c>
      <c r="D7845">
        <v>499.4</v>
      </c>
      <c r="E7845">
        <v>10.9</v>
      </c>
    </row>
    <row r="7846" spans="1:5" x14ac:dyDescent="0.2">
      <c r="A7846">
        <v>23390</v>
      </c>
      <c r="B7846">
        <v>19481</v>
      </c>
      <c r="C7846">
        <v>58</v>
      </c>
      <c r="D7846">
        <v>498.2</v>
      </c>
      <c r="E7846">
        <v>10.9</v>
      </c>
    </row>
    <row r="7847" spans="1:5" x14ac:dyDescent="0.2">
      <c r="A7847">
        <v>23400</v>
      </c>
      <c r="B7847">
        <v>19496</v>
      </c>
      <c r="C7847">
        <v>58</v>
      </c>
      <c r="D7847">
        <v>497.1</v>
      </c>
      <c r="E7847">
        <v>10.8</v>
      </c>
    </row>
    <row r="7848" spans="1:5" x14ac:dyDescent="0.2">
      <c r="A7848">
        <v>23410</v>
      </c>
      <c r="B7848">
        <v>19512</v>
      </c>
      <c r="C7848">
        <v>58</v>
      </c>
      <c r="D7848">
        <v>496.1</v>
      </c>
      <c r="E7848">
        <v>10.7</v>
      </c>
    </row>
    <row r="7849" spans="1:5" x14ac:dyDescent="0.2">
      <c r="A7849">
        <v>23420</v>
      </c>
      <c r="B7849">
        <v>19526</v>
      </c>
      <c r="C7849">
        <v>57</v>
      </c>
      <c r="D7849">
        <v>495.2</v>
      </c>
      <c r="E7849">
        <v>10.7</v>
      </c>
    </row>
    <row r="7850" spans="1:5" x14ac:dyDescent="0.2">
      <c r="A7850">
        <v>23430</v>
      </c>
      <c r="B7850">
        <v>19539</v>
      </c>
      <c r="C7850">
        <v>57</v>
      </c>
      <c r="D7850">
        <v>494.6</v>
      </c>
      <c r="E7850">
        <v>10.6</v>
      </c>
    </row>
    <row r="7851" spans="1:5" x14ac:dyDescent="0.2">
      <c r="A7851">
        <v>23440</v>
      </c>
      <c r="B7851">
        <v>19550</v>
      </c>
      <c r="C7851">
        <v>57</v>
      </c>
      <c r="D7851">
        <v>494.4</v>
      </c>
      <c r="E7851">
        <v>10.6</v>
      </c>
    </row>
    <row r="7852" spans="1:5" x14ac:dyDescent="0.2">
      <c r="A7852">
        <v>23450</v>
      </c>
      <c r="B7852">
        <v>19559</v>
      </c>
      <c r="C7852">
        <v>56</v>
      </c>
      <c r="D7852">
        <v>494.5</v>
      </c>
      <c r="E7852">
        <v>10.4</v>
      </c>
    </row>
    <row r="7853" spans="1:5" x14ac:dyDescent="0.2">
      <c r="A7853">
        <v>23460</v>
      </c>
      <c r="B7853">
        <v>19565</v>
      </c>
      <c r="C7853">
        <v>55</v>
      </c>
      <c r="D7853">
        <v>495.2</v>
      </c>
      <c r="E7853">
        <v>10.199999999999999</v>
      </c>
    </row>
    <row r="7854" spans="1:5" x14ac:dyDescent="0.2">
      <c r="A7854">
        <v>23470</v>
      </c>
      <c r="B7854">
        <v>19568</v>
      </c>
      <c r="C7854">
        <v>54</v>
      </c>
      <c r="D7854">
        <v>496.4</v>
      </c>
      <c r="E7854">
        <v>10.1</v>
      </c>
    </row>
    <row r="7855" spans="1:5" x14ac:dyDescent="0.2">
      <c r="A7855">
        <v>23480</v>
      </c>
      <c r="B7855">
        <v>19569</v>
      </c>
      <c r="C7855">
        <v>54</v>
      </c>
      <c r="D7855">
        <v>498</v>
      </c>
      <c r="E7855">
        <v>10</v>
      </c>
    </row>
    <row r="7856" spans="1:5" x14ac:dyDescent="0.2">
      <c r="A7856">
        <v>23490</v>
      </c>
      <c r="B7856">
        <v>19568</v>
      </c>
      <c r="C7856">
        <v>54</v>
      </c>
      <c r="D7856">
        <v>500.1</v>
      </c>
      <c r="E7856">
        <v>10</v>
      </c>
    </row>
    <row r="7857" spans="1:5" x14ac:dyDescent="0.2">
      <c r="A7857">
        <v>23500</v>
      </c>
      <c r="B7857">
        <v>19564</v>
      </c>
      <c r="C7857">
        <v>54</v>
      </c>
      <c r="D7857">
        <v>502.5</v>
      </c>
      <c r="E7857">
        <v>10.199999999999999</v>
      </c>
    </row>
    <row r="7858" spans="1:5" x14ac:dyDescent="0.2">
      <c r="A7858">
        <v>23510</v>
      </c>
      <c r="B7858">
        <v>19559</v>
      </c>
      <c r="C7858">
        <v>56</v>
      </c>
      <c r="D7858">
        <v>505.4</v>
      </c>
      <c r="E7858">
        <v>10.5</v>
      </c>
    </row>
    <row r="7859" spans="1:5" x14ac:dyDescent="0.2">
      <c r="A7859">
        <v>23520</v>
      </c>
      <c r="B7859">
        <v>19552</v>
      </c>
      <c r="C7859">
        <v>58</v>
      </c>
      <c r="D7859">
        <v>508.5</v>
      </c>
      <c r="E7859">
        <v>10.9</v>
      </c>
    </row>
    <row r="7860" spans="1:5" x14ac:dyDescent="0.2">
      <c r="A7860">
        <v>23530</v>
      </c>
      <c r="B7860">
        <v>19543</v>
      </c>
      <c r="C7860">
        <v>61</v>
      </c>
      <c r="D7860">
        <v>512</v>
      </c>
      <c r="E7860">
        <v>11.4</v>
      </c>
    </row>
    <row r="7861" spans="1:5" x14ac:dyDescent="0.2">
      <c r="A7861">
        <v>23540</v>
      </c>
      <c r="B7861">
        <v>19533</v>
      </c>
      <c r="C7861">
        <v>63</v>
      </c>
      <c r="D7861">
        <v>515.79999999999995</v>
      </c>
      <c r="E7861">
        <v>12</v>
      </c>
    </row>
    <row r="7862" spans="1:5" x14ac:dyDescent="0.2">
      <c r="A7862">
        <v>23550</v>
      </c>
      <c r="B7862">
        <v>19522</v>
      </c>
      <c r="C7862">
        <v>66</v>
      </c>
      <c r="D7862">
        <v>519.70000000000005</v>
      </c>
      <c r="E7862">
        <v>12.5</v>
      </c>
    </row>
    <row r="7863" spans="1:5" x14ac:dyDescent="0.2">
      <c r="A7863">
        <v>23560</v>
      </c>
      <c r="B7863">
        <v>19509</v>
      </c>
      <c r="C7863">
        <v>68</v>
      </c>
      <c r="D7863">
        <v>524</v>
      </c>
      <c r="E7863">
        <v>12.9</v>
      </c>
    </row>
    <row r="7864" spans="1:5" x14ac:dyDescent="0.2">
      <c r="A7864">
        <v>23570</v>
      </c>
      <c r="B7864">
        <v>19496</v>
      </c>
      <c r="C7864">
        <v>69</v>
      </c>
      <c r="D7864">
        <v>528.4</v>
      </c>
      <c r="E7864">
        <v>13.2</v>
      </c>
    </row>
    <row r="7865" spans="1:5" x14ac:dyDescent="0.2">
      <c r="A7865">
        <v>23580</v>
      </c>
      <c r="B7865">
        <v>19481</v>
      </c>
      <c r="C7865">
        <v>70</v>
      </c>
      <c r="D7865">
        <v>532.9</v>
      </c>
      <c r="E7865">
        <v>13.3</v>
      </c>
    </row>
    <row r="7866" spans="1:5" x14ac:dyDescent="0.2">
      <c r="A7866">
        <v>23590</v>
      </c>
      <c r="B7866">
        <v>19466</v>
      </c>
      <c r="C7866">
        <v>70</v>
      </c>
      <c r="D7866">
        <v>537.70000000000005</v>
      </c>
      <c r="E7866">
        <v>13.3</v>
      </c>
    </row>
    <row r="7867" spans="1:5" x14ac:dyDescent="0.2">
      <c r="A7867">
        <v>23600</v>
      </c>
      <c r="B7867">
        <v>19451</v>
      </c>
      <c r="C7867">
        <v>68</v>
      </c>
      <c r="D7867">
        <v>542.5</v>
      </c>
      <c r="E7867">
        <v>13.1</v>
      </c>
    </row>
    <row r="7868" spans="1:5" x14ac:dyDescent="0.2">
      <c r="A7868">
        <v>23610</v>
      </c>
      <c r="B7868">
        <v>19436</v>
      </c>
      <c r="C7868">
        <v>66</v>
      </c>
      <c r="D7868">
        <v>547.20000000000005</v>
      </c>
      <c r="E7868">
        <v>12.7</v>
      </c>
    </row>
    <row r="7869" spans="1:5" x14ac:dyDescent="0.2">
      <c r="A7869">
        <v>23620</v>
      </c>
      <c r="B7869">
        <v>19422</v>
      </c>
      <c r="C7869">
        <v>64</v>
      </c>
      <c r="D7869">
        <v>551.79999999999995</v>
      </c>
      <c r="E7869">
        <v>12.4</v>
      </c>
    </row>
    <row r="7870" spans="1:5" x14ac:dyDescent="0.2">
      <c r="A7870">
        <v>23630</v>
      </c>
      <c r="B7870">
        <v>19411</v>
      </c>
      <c r="C7870">
        <v>62</v>
      </c>
      <c r="D7870">
        <v>555.70000000000005</v>
      </c>
      <c r="E7870">
        <v>12</v>
      </c>
    </row>
    <row r="7871" spans="1:5" x14ac:dyDescent="0.2">
      <c r="A7871">
        <v>23640</v>
      </c>
      <c r="B7871">
        <v>19405</v>
      </c>
      <c r="C7871">
        <v>61</v>
      </c>
      <c r="D7871">
        <v>558.9</v>
      </c>
      <c r="E7871">
        <v>11.7</v>
      </c>
    </row>
    <row r="7872" spans="1:5" x14ac:dyDescent="0.2">
      <c r="A7872">
        <v>23650</v>
      </c>
      <c r="B7872">
        <v>19403</v>
      </c>
      <c r="C7872">
        <v>59</v>
      </c>
      <c r="D7872">
        <v>561.1</v>
      </c>
      <c r="E7872">
        <v>11.5</v>
      </c>
    </row>
    <row r="7873" spans="1:5" x14ac:dyDescent="0.2">
      <c r="A7873">
        <v>23660</v>
      </c>
      <c r="B7873">
        <v>19406</v>
      </c>
      <c r="C7873">
        <v>59</v>
      </c>
      <c r="D7873">
        <v>562.29999999999995</v>
      </c>
      <c r="E7873">
        <v>11.4</v>
      </c>
    </row>
    <row r="7874" spans="1:5" x14ac:dyDescent="0.2">
      <c r="A7874">
        <v>23670</v>
      </c>
      <c r="B7874">
        <v>19415</v>
      </c>
      <c r="C7874">
        <v>59</v>
      </c>
      <c r="D7874">
        <v>562.6</v>
      </c>
      <c r="E7874">
        <v>11.5</v>
      </c>
    </row>
    <row r="7875" spans="1:5" x14ac:dyDescent="0.2">
      <c r="A7875">
        <v>23680</v>
      </c>
      <c r="B7875">
        <v>19428</v>
      </c>
      <c r="C7875">
        <v>61</v>
      </c>
      <c r="D7875">
        <v>562</v>
      </c>
      <c r="E7875">
        <v>11.9</v>
      </c>
    </row>
    <row r="7876" spans="1:5" x14ac:dyDescent="0.2">
      <c r="A7876">
        <v>23690</v>
      </c>
      <c r="B7876">
        <v>19445</v>
      </c>
      <c r="C7876">
        <v>65</v>
      </c>
      <c r="D7876">
        <v>560.6</v>
      </c>
      <c r="E7876">
        <v>12.6</v>
      </c>
    </row>
    <row r="7877" spans="1:5" x14ac:dyDescent="0.2">
      <c r="A7877">
        <v>23700</v>
      </c>
      <c r="B7877">
        <v>19465</v>
      </c>
      <c r="C7877">
        <v>69</v>
      </c>
      <c r="D7877">
        <v>558.6</v>
      </c>
      <c r="E7877">
        <v>13.4</v>
      </c>
    </row>
    <row r="7878" spans="1:5" x14ac:dyDescent="0.2">
      <c r="A7878">
        <v>23710</v>
      </c>
      <c r="B7878">
        <v>19488</v>
      </c>
      <c r="C7878">
        <v>73</v>
      </c>
      <c r="D7878">
        <v>556</v>
      </c>
      <c r="E7878">
        <v>14.1</v>
      </c>
    </row>
    <row r="7879" spans="1:5" x14ac:dyDescent="0.2">
      <c r="A7879">
        <v>23720</v>
      </c>
      <c r="B7879">
        <v>19513</v>
      </c>
      <c r="C7879">
        <v>76</v>
      </c>
      <c r="D7879">
        <v>552.9</v>
      </c>
      <c r="E7879">
        <v>14.7</v>
      </c>
    </row>
    <row r="7880" spans="1:5" x14ac:dyDescent="0.2">
      <c r="A7880">
        <v>23730</v>
      </c>
      <c r="B7880">
        <v>19541</v>
      </c>
      <c r="C7880">
        <v>78</v>
      </c>
      <c r="D7880">
        <v>549.5</v>
      </c>
      <c r="E7880">
        <v>15.1</v>
      </c>
    </row>
    <row r="7881" spans="1:5" x14ac:dyDescent="0.2">
      <c r="A7881">
        <v>23740</v>
      </c>
      <c r="B7881">
        <v>19570</v>
      </c>
      <c r="C7881">
        <v>79</v>
      </c>
      <c r="D7881">
        <v>545.70000000000005</v>
      </c>
      <c r="E7881">
        <v>15.2</v>
      </c>
    </row>
    <row r="7882" spans="1:5" x14ac:dyDescent="0.2">
      <c r="A7882">
        <v>23750</v>
      </c>
      <c r="B7882">
        <v>19601</v>
      </c>
      <c r="C7882">
        <v>79</v>
      </c>
      <c r="D7882">
        <v>541.70000000000005</v>
      </c>
      <c r="E7882">
        <v>15.1</v>
      </c>
    </row>
    <row r="7883" spans="1:5" x14ac:dyDescent="0.2">
      <c r="A7883">
        <v>23760</v>
      </c>
      <c r="B7883">
        <v>19632</v>
      </c>
      <c r="C7883">
        <v>78</v>
      </c>
      <c r="D7883">
        <v>537.6</v>
      </c>
      <c r="E7883">
        <v>14.9</v>
      </c>
    </row>
    <row r="7884" spans="1:5" x14ac:dyDescent="0.2">
      <c r="A7884">
        <v>23770</v>
      </c>
      <c r="B7884">
        <v>19664</v>
      </c>
      <c r="C7884">
        <v>76</v>
      </c>
      <c r="D7884">
        <v>533.29999999999995</v>
      </c>
      <c r="E7884">
        <v>14.6</v>
      </c>
    </row>
    <row r="7885" spans="1:5" x14ac:dyDescent="0.2">
      <c r="A7885">
        <v>23780</v>
      </c>
      <c r="B7885">
        <v>19696</v>
      </c>
      <c r="C7885">
        <v>74</v>
      </c>
      <c r="D7885">
        <v>529.1</v>
      </c>
      <c r="E7885">
        <v>14.2</v>
      </c>
    </row>
    <row r="7886" spans="1:5" x14ac:dyDescent="0.2">
      <c r="A7886">
        <v>23790</v>
      </c>
      <c r="B7886">
        <v>19727</v>
      </c>
      <c r="C7886">
        <v>72</v>
      </c>
      <c r="D7886">
        <v>525</v>
      </c>
      <c r="E7886">
        <v>13.7</v>
      </c>
    </row>
    <row r="7887" spans="1:5" x14ac:dyDescent="0.2">
      <c r="A7887">
        <v>23800</v>
      </c>
      <c r="B7887">
        <v>19758</v>
      </c>
      <c r="C7887">
        <v>70</v>
      </c>
      <c r="D7887">
        <v>521</v>
      </c>
      <c r="E7887">
        <v>13.2</v>
      </c>
    </row>
    <row r="7888" spans="1:5" x14ac:dyDescent="0.2">
      <c r="A7888">
        <v>23810</v>
      </c>
      <c r="B7888">
        <v>19787</v>
      </c>
      <c r="C7888">
        <v>67</v>
      </c>
      <c r="D7888">
        <v>517.29999999999995</v>
      </c>
      <c r="E7888">
        <v>12.7</v>
      </c>
    </row>
    <row r="7889" spans="1:5" x14ac:dyDescent="0.2">
      <c r="A7889">
        <v>23820</v>
      </c>
      <c r="B7889">
        <v>19815</v>
      </c>
      <c r="C7889">
        <v>64</v>
      </c>
      <c r="D7889">
        <v>513.9</v>
      </c>
      <c r="E7889">
        <v>12.1</v>
      </c>
    </row>
    <row r="7890" spans="1:5" x14ac:dyDescent="0.2">
      <c r="A7890">
        <v>23830</v>
      </c>
      <c r="B7890">
        <v>19840</v>
      </c>
      <c r="C7890">
        <v>62</v>
      </c>
      <c r="D7890">
        <v>510.9</v>
      </c>
      <c r="E7890">
        <v>11.6</v>
      </c>
    </row>
    <row r="7891" spans="1:5" x14ac:dyDescent="0.2">
      <c r="A7891">
        <v>23840</v>
      </c>
      <c r="B7891">
        <v>19864</v>
      </c>
      <c r="C7891">
        <v>59</v>
      </c>
      <c r="D7891">
        <v>508.4</v>
      </c>
      <c r="E7891">
        <v>11</v>
      </c>
    </row>
    <row r="7892" spans="1:5" x14ac:dyDescent="0.2">
      <c r="A7892">
        <v>23850</v>
      </c>
      <c r="B7892">
        <v>19885</v>
      </c>
      <c r="C7892">
        <v>56</v>
      </c>
      <c r="D7892">
        <v>506.3</v>
      </c>
      <c r="E7892">
        <v>10.5</v>
      </c>
    </row>
    <row r="7893" spans="1:5" x14ac:dyDescent="0.2">
      <c r="A7893">
        <v>23860</v>
      </c>
      <c r="B7893">
        <v>19903</v>
      </c>
      <c r="C7893">
        <v>54</v>
      </c>
      <c r="D7893">
        <v>504.6</v>
      </c>
      <c r="E7893">
        <v>10.1</v>
      </c>
    </row>
    <row r="7894" spans="1:5" x14ac:dyDescent="0.2">
      <c r="A7894">
        <v>23870</v>
      </c>
      <c r="B7894">
        <v>19920</v>
      </c>
      <c r="C7894">
        <v>52</v>
      </c>
      <c r="D7894">
        <v>503.3</v>
      </c>
      <c r="E7894">
        <v>9.8000000000000007</v>
      </c>
    </row>
    <row r="7895" spans="1:5" x14ac:dyDescent="0.2">
      <c r="A7895">
        <v>23880</v>
      </c>
      <c r="B7895">
        <v>19935</v>
      </c>
      <c r="C7895">
        <v>51</v>
      </c>
      <c r="D7895">
        <v>502.3</v>
      </c>
      <c r="E7895">
        <v>9.6</v>
      </c>
    </row>
    <row r="7896" spans="1:5" x14ac:dyDescent="0.2">
      <c r="A7896">
        <v>23890</v>
      </c>
      <c r="B7896">
        <v>19948</v>
      </c>
      <c r="C7896">
        <v>50</v>
      </c>
      <c r="D7896">
        <v>501.6</v>
      </c>
      <c r="E7896">
        <v>9.4</v>
      </c>
    </row>
    <row r="7897" spans="1:5" x14ac:dyDescent="0.2">
      <c r="A7897">
        <v>23900</v>
      </c>
      <c r="B7897">
        <v>19960</v>
      </c>
      <c r="C7897">
        <v>49</v>
      </c>
      <c r="D7897">
        <v>501.2</v>
      </c>
      <c r="E7897">
        <v>9.1999999999999993</v>
      </c>
    </row>
    <row r="7898" spans="1:5" x14ac:dyDescent="0.2">
      <c r="A7898">
        <v>23910</v>
      </c>
      <c r="B7898">
        <v>19971</v>
      </c>
      <c r="C7898">
        <v>48</v>
      </c>
      <c r="D7898">
        <v>501.1</v>
      </c>
      <c r="E7898">
        <v>9</v>
      </c>
    </row>
    <row r="7899" spans="1:5" x14ac:dyDescent="0.2">
      <c r="A7899">
        <v>23920</v>
      </c>
      <c r="B7899">
        <v>19979</v>
      </c>
      <c r="C7899">
        <v>47</v>
      </c>
      <c r="D7899">
        <v>501.2</v>
      </c>
      <c r="E7899">
        <v>8.9</v>
      </c>
    </row>
    <row r="7900" spans="1:5" x14ac:dyDescent="0.2">
      <c r="A7900">
        <v>23930</v>
      </c>
      <c r="B7900">
        <v>19988</v>
      </c>
      <c r="C7900">
        <v>47</v>
      </c>
      <c r="D7900">
        <v>501.5</v>
      </c>
      <c r="E7900">
        <v>8.6999999999999993</v>
      </c>
    </row>
    <row r="7901" spans="1:5" x14ac:dyDescent="0.2">
      <c r="A7901">
        <v>23940</v>
      </c>
      <c r="B7901">
        <v>19994</v>
      </c>
      <c r="C7901">
        <v>46</v>
      </c>
      <c r="D7901">
        <v>502.1</v>
      </c>
      <c r="E7901">
        <v>8.6999999999999993</v>
      </c>
    </row>
    <row r="7902" spans="1:5" x14ac:dyDescent="0.2">
      <c r="A7902">
        <v>23950</v>
      </c>
      <c r="B7902">
        <v>20000</v>
      </c>
      <c r="C7902">
        <v>46</v>
      </c>
      <c r="D7902">
        <v>502.8</v>
      </c>
      <c r="E7902">
        <v>8.6999999999999993</v>
      </c>
    </row>
    <row r="7903" spans="1:5" x14ac:dyDescent="0.2">
      <c r="A7903">
        <v>23960</v>
      </c>
      <c r="B7903">
        <v>20005</v>
      </c>
      <c r="C7903">
        <v>47</v>
      </c>
      <c r="D7903">
        <v>503.6</v>
      </c>
      <c r="E7903">
        <v>8.6999999999999993</v>
      </c>
    </row>
    <row r="7904" spans="1:5" x14ac:dyDescent="0.2">
      <c r="A7904">
        <v>23970</v>
      </c>
      <c r="B7904">
        <v>20010</v>
      </c>
      <c r="C7904">
        <v>47</v>
      </c>
      <c r="D7904">
        <v>504.6</v>
      </c>
      <c r="E7904">
        <v>8.8000000000000007</v>
      </c>
    </row>
    <row r="7905" spans="1:5" x14ac:dyDescent="0.2">
      <c r="A7905">
        <v>23980</v>
      </c>
      <c r="B7905">
        <v>20014</v>
      </c>
      <c r="C7905">
        <v>48</v>
      </c>
      <c r="D7905">
        <v>505.6</v>
      </c>
      <c r="E7905">
        <v>9</v>
      </c>
    </row>
    <row r="7906" spans="1:5" x14ac:dyDescent="0.2">
      <c r="A7906">
        <v>23990</v>
      </c>
      <c r="B7906">
        <v>20018</v>
      </c>
      <c r="C7906">
        <v>49</v>
      </c>
      <c r="D7906">
        <v>506.8</v>
      </c>
      <c r="E7906">
        <v>9.1999999999999993</v>
      </c>
    </row>
    <row r="7907" spans="1:5" x14ac:dyDescent="0.2">
      <c r="A7907">
        <v>24000</v>
      </c>
      <c r="B7907">
        <v>20021</v>
      </c>
      <c r="C7907">
        <v>50</v>
      </c>
      <c r="D7907">
        <v>508</v>
      </c>
      <c r="E7907">
        <v>9.3000000000000007</v>
      </c>
    </row>
    <row r="7908" spans="1:5" x14ac:dyDescent="0.2">
      <c r="A7908">
        <v>24010</v>
      </c>
      <c r="B7908">
        <v>20024</v>
      </c>
      <c r="C7908">
        <v>50</v>
      </c>
      <c r="D7908">
        <v>509.2</v>
      </c>
      <c r="E7908">
        <v>9.4</v>
      </c>
    </row>
    <row r="7909" spans="1:5" x14ac:dyDescent="0.2">
      <c r="A7909">
        <v>24020</v>
      </c>
      <c r="B7909">
        <v>20028</v>
      </c>
      <c r="C7909">
        <v>50</v>
      </c>
      <c r="D7909">
        <v>510.4</v>
      </c>
      <c r="E7909">
        <v>9.4</v>
      </c>
    </row>
    <row r="7910" spans="1:5" x14ac:dyDescent="0.2">
      <c r="A7910">
        <v>24030</v>
      </c>
      <c r="B7910">
        <v>20031</v>
      </c>
      <c r="C7910">
        <v>50</v>
      </c>
      <c r="D7910">
        <v>511.6</v>
      </c>
      <c r="E7910">
        <v>9.5</v>
      </c>
    </row>
    <row r="7911" spans="1:5" x14ac:dyDescent="0.2">
      <c r="A7911">
        <v>24040</v>
      </c>
      <c r="B7911">
        <v>20034</v>
      </c>
      <c r="C7911">
        <v>51</v>
      </c>
      <c r="D7911">
        <v>512.79999999999995</v>
      </c>
      <c r="E7911">
        <v>9.5</v>
      </c>
    </row>
    <row r="7912" spans="1:5" x14ac:dyDescent="0.2">
      <c r="A7912">
        <v>24050</v>
      </c>
      <c r="B7912">
        <v>20038</v>
      </c>
      <c r="C7912">
        <v>51</v>
      </c>
      <c r="D7912">
        <v>514</v>
      </c>
      <c r="E7912">
        <v>9.6</v>
      </c>
    </row>
    <row r="7913" spans="1:5" x14ac:dyDescent="0.2">
      <c r="A7913">
        <v>24060</v>
      </c>
      <c r="B7913">
        <v>20041</v>
      </c>
      <c r="C7913">
        <v>51</v>
      </c>
      <c r="D7913">
        <v>515.20000000000005</v>
      </c>
      <c r="E7913">
        <v>9.6</v>
      </c>
    </row>
    <row r="7914" spans="1:5" x14ac:dyDescent="0.2">
      <c r="A7914">
        <v>24070</v>
      </c>
      <c r="B7914">
        <v>20044</v>
      </c>
      <c r="C7914">
        <v>51</v>
      </c>
      <c r="D7914">
        <v>516.5</v>
      </c>
      <c r="E7914">
        <v>9.5</v>
      </c>
    </row>
    <row r="7915" spans="1:5" x14ac:dyDescent="0.2">
      <c r="A7915">
        <v>24080</v>
      </c>
      <c r="B7915">
        <v>20047</v>
      </c>
      <c r="C7915">
        <v>50</v>
      </c>
      <c r="D7915">
        <v>517.70000000000005</v>
      </c>
      <c r="E7915">
        <v>9.5</v>
      </c>
    </row>
    <row r="7916" spans="1:5" x14ac:dyDescent="0.2">
      <c r="A7916">
        <v>24090</v>
      </c>
      <c r="B7916">
        <v>20051</v>
      </c>
      <c r="C7916">
        <v>50</v>
      </c>
      <c r="D7916">
        <v>518.70000000000005</v>
      </c>
      <c r="E7916">
        <v>9.4</v>
      </c>
    </row>
    <row r="7917" spans="1:5" x14ac:dyDescent="0.2">
      <c r="A7917">
        <v>24100</v>
      </c>
      <c r="B7917">
        <v>20057</v>
      </c>
      <c r="C7917">
        <v>50</v>
      </c>
      <c r="D7917">
        <v>519.6</v>
      </c>
      <c r="E7917">
        <v>9.5</v>
      </c>
    </row>
    <row r="7918" spans="1:5" x14ac:dyDescent="0.2">
      <c r="A7918">
        <v>24110</v>
      </c>
      <c r="B7918">
        <v>20063</v>
      </c>
      <c r="C7918">
        <v>51</v>
      </c>
      <c r="D7918">
        <v>520.29999999999995</v>
      </c>
      <c r="E7918">
        <v>9.6999999999999993</v>
      </c>
    </row>
    <row r="7919" spans="1:5" x14ac:dyDescent="0.2">
      <c r="A7919">
        <v>24120</v>
      </c>
      <c r="B7919">
        <v>20070</v>
      </c>
      <c r="C7919">
        <v>53</v>
      </c>
      <c r="D7919">
        <v>520.79999999999995</v>
      </c>
      <c r="E7919">
        <v>9.9</v>
      </c>
    </row>
    <row r="7920" spans="1:5" x14ac:dyDescent="0.2">
      <c r="A7920">
        <v>24130</v>
      </c>
      <c r="B7920">
        <v>20078</v>
      </c>
      <c r="C7920">
        <v>55</v>
      </c>
      <c r="D7920">
        <v>521.1</v>
      </c>
      <c r="E7920">
        <v>10.5</v>
      </c>
    </row>
    <row r="7921" spans="1:5" x14ac:dyDescent="0.2">
      <c r="A7921">
        <v>24140</v>
      </c>
      <c r="B7921">
        <v>20087</v>
      </c>
      <c r="C7921">
        <v>59</v>
      </c>
      <c r="D7921">
        <v>521.1</v>
      </c>
      <c r="E7921">
        <v>11.1</v>
      </c>
    </row>
    <row r="7922" spans="1:5" x14ac:dyDescent="0.2">
      <c r="A7922">
        <v>24150</v>
      </c>
      <c r="B7922">
        <v>20098</v>
      </c>
      <c r="C7922">
        <v>63</v>
      </c>
      <c r="D7922">
        <v>521</v>
      </c>
      <c r="E7922">
        <v>11.9</v>
      </c>
    </row>
    <row r="7923" spans="1:5" x14ac:dyDescent="0.2">
      <c r="A7923">
        <v>24160</v>
      </c>
      <c r="B7923">
        <v>20109</v>
      </c>
      <c r="C7923">
        <v>68</v>
      </c>
      <c r="D7923">
        <v>520.79999999999995</v>
      </c>
      <c r="E7923">
        <v>12.9</v>
      </c>
    </row>
    <row r="7924" spans="1:5" x14ac:dyDescent="0.2">
      <c r="A7924">
        <v>24170</v>
      </c>
      <c r="B7924">
        <v>20121</v>
      </c>
      <c r="C7924">
        <v>73</v>
      </c>
      <c r="D7924">
        <v>520.4</v>
      </c>
      <c r="E7924">
        <v>13.9</v>
      </c>
    </row>
    <row r="7925" spans="1:5" x14ac:dyDescent="0.2">
      <c r="A7925">
        <v>24180</v>
      </c>
      <c r="B7925">
        <v>20133</v>
      </c>
      <c r="C7925">
        <v>79</v>
      </c>
      <c r="D7925">
        <v>519.9</v>
      </c>
      <c r="E7925">
        <v>14.9</v>
      </c>
    </row>
    <row r="7926" spans="1:5" x14ac:dyDescent="0.2">
      <c r="A7926">
        <v>24190</v>
      </c>
      <c r="B7926">
        <v>20147</v>
      </c>
      <c r="C7926">
        <v>84</v>
      </c>
      <c r="D7926">
        <v>519.20000000000005</v>
      </c>
      <c r="E7926">
        <v>15.8</v>
      </c>
    </row>
    <row r="7927" spans="1:5" x14ac:dyDescent="0.2">
      <c r="A7927">
        <v>24200</v>
      </c>
      <c r="B7927">
        <v>20160</v>
      </c>
      <c r="C7927">
        <v>88</v>
      </c>
      <c r="D7927">
        <v>518.4</v>
      </c>
      <c r="E7927">
        <v>16.5</v>
      </c>
    </row>
    <row r="7928" spans="1:5" x14ac:dyDescent="0.2">
      <c r="A7928">
        <v>24210</v>
      </c>
      <c r="B7928">
        <v>20175</v>
      </c>
      <c r="C7928">
        <v>90</v>
      </c>
      <c r="D7928">
        <v>517.6</v>
      </c>
      <c r="E7928">
        <v>17</v>
      </c>
    </row>
    <row r="7929" spans="1:5" x14ac:dyDescent="0.2">
      <c r="A7929">
        <v>24220</v>
      </c>
      <c r="B7929">
        <v>20189</v>
      </c>
      <c r="C7929">
        <v>91</v>
      </c>
      <c r="D7929">
        <v>516.6</v>
      </c>
      <c r="E7929">
        <v>17.2</v>
      </c>
    </row>
    <row r="7930" spans="1:5" x14ac:dyDescent="0.2">
      <c r="A7930">
        <v>24230</v>
      </c>
      <c r="B7930">
        <v>20204</v>
      </c>
      <c r="C7930">
        <v>91</v>
      </c>
      <c r="D7930">
        <v>515.6</v>
      </c>
      <c r="E7930">
        <v>17.100000000000001</v>
      </c>
    </row>
    <row r="7931" spans="1:5" x14ac:dyDescent="0.2">
      <c r="A7931">
        <v>24240</v>
      </c>
      <c r="B7931">
        <v>20220</v>
      </c>
      <c r="C7931">
        <v>88</v>
      </c>
      <c r="D7931">
        <v>514.6</v>
      </c>
      <c r="E7931">
        <v>16.5</v>
      </c>
    </row>
    <row r="7932" spans="1:5" x14ac:dyDescent="0.2">
      <c r="A7932">
        <v>24250</v>
      </c>
      <c r="B7932">
        <v>20235</v>
      </c>
      <c r="C7932">
        <v>83</v>
      </c>
      <c r="D7932">
        <v>513.5</v>
      </c>
      <c r="E7932">
        <v>15.7</v>
      </c>
    </row>
    <row r="7933" spans="1:5" x14ac:dyDescent="0.2">
      <c r="A7933">
        <v>24260</v>
      </c>
      <c r="B7933">
        <v>20250</v>
      </c>
      <c r="C7933">
        <v>78</v>
      </c>
      <c r="D7933">
        <v>512.5</v>
      </c>
      <c r="E7933">
        <v>14.8</v>
      </c>
    </row>
    <row r="7934" spans="1:5" x14ac:dyDescent="0.2">
      <c r="A7934">
        <v>24270</v>
      </c>
      <c r="B7934">
        <v>20265</v>
      </c>
      <c r="C7934">
        <v>74</v>
      </c>
      <c r="D7934">
        <v>511.5</v>
      </c>
      <c r="E7934">
        <v>13.9</v>
      </c>
    </row>
    <row r="7935" spans="1:5" x14ac:dyDescent="0.2">
      <c r="A7935">
        <v>24280</v>
      </c>
      <c r="B7935">
        <v>20279</v>
      </c>
      <c r="C7935">
        <v>69</v>
      </c>
      <c r="D7935">
        <v>510.6</v>
      </c>
      <c r="E7935">
        <v>13.1</v>
      </c>
    </row>
    <row r="7936" spans="1:5" x14ac:dyDescent="0.2">
      <c r="A7936">
        <v>24290</v>
      </c>
      <c r="B7936">
        <v>20293</v>
      </c>
      <c r="C7936">
        <v>67</v>
      </c>
      <c r="D7936">
        <v>509.9</v>
      </c>
      <c r="E7936">
        <v>12.6</v>
      </c>
    </row>
    <row r="7937" spans="1:5" x14ac:dyDescent="0.2">
      <c r="A7937">
        <v>24300</v>
      </c>
      <c r="B7937">
        <v>20305</v>
      </c>
      <c r="C7937">
        <v>65</v>
      </c>
      <c r="D7937">
        <v>509.5</v>
      </c>
      <c r="E7937">
        <v>12.2</v>
      </c>
    </row>
    <row r="7938" spans="1:5" x14ac:dyDescent="0.2">
      <c r="A7938">
        <v>24310</v>
      </c>
      <c r="B7938">
        <v>20316</v>
      </c>
      <c r="C7938">
        <v>64</v>
      </c>
      <c r="D7938">
        <v>509.2</v>
      </c>
      <c r="E7938">
        <v>12</v>
      </c>
    </row>
    <row r="7939" spans="1:5" x14ac:dyDescent="0.2">
      <c r="A7939">
        <v>24320</v>
      </c>
      <c r="B7939">
        <v>20325</v>
      </c>
      <c r="C7939">
        <v>63</v>
      </c>
      <c r="D7939">
        <v>509.3</v>
      </c>
      <c r="E7939">
        <v>11.9</v>
      </c>
    </row>
    <row r="7940" spans="1:5" x14ac:dyDescent="0.2">
      <c r="A7940">
        <v>24330</v>
      </c>
      <c r="B7940">
        <v>20333</v>
      </c>
      <c r="C7940">
        <v>62</v>
      </c>
      <c r="D7940">
        <v>509.7</v>
      </c>
      <c r="E7940">
        <v>11.7</v>
      </c>
    </row>
    <row r="7941" spans="1:5" x14ac:dyDescent="0.2">
      <c r="A7941">
        <v>24340</v>
      </c>
      <c r="B7941">
        <v>20339</v>
      </c>
      <c r="C7941">
        <v>62</v>
      </c>
      <c r="D7941">
        <v>510.3</v>
      </c>
      <c r="E7941">
        <v>11.7</v>
      </c>
    </row>
    <row r="7942" spans="1:5" x14ac:dyDescent="0.2">
      <c r="A7942">
        <v>24350</v>
      </c>
      <c r="B7942">
        <v>20344</v>
      </c>
      <c r="C7942">
        <v>63</v>
      </c>
      <c r="D7942">
        <v>511.2</v>
      </c>
      <c r="E7942">
        <v>11.9</v>
      </c>
    </row>
    <row r="7943" spans="1:5" x14ac:dyDescent="0.2">
      <c r="A7943">
        <v>24360</v>
      </c>
      <c r="B7943">
        <v>20348</v>
      </c>
      <c r="C7943">
        <v>64</v>
      </c>
      <c r="D7943">
        <v>512.29999999999995</v>
      </c>
      <c r="E7943">
        <v>12.1</v>
      </c>
    </row>
    <row r="7944" spans="1:5" x14ac:dyDescent="0.2">
      <c r="A7944">
        <v>24370</v>
      </c>
      <c r="B7944">
        <v>20351</v>
      </c>
      <c r="C7944">
        <v>66</v>
      </c>
      <c r="D7944">
        <v>513.6</v>
      </c>
      <c r="E7944">
        <v>12.5</v>
      </c>
    </row>
    <row r="7945" spans="1:5" x14ac:dyDescent="0.2">
      <c r="A7945">
        <v>24380</v>
      </c>
      <c r="B7945">
        <v>20353</v>
      </c>
      <c r="C7945">
        <v>68</v>
      </c>
      <c r="D7945">
        <v>515.1</v>
      </c>
      <c r="E7945">
        <v>12.8</v>
      </c>
    </row>
    <row r="7946" spans="1:5" x14ac:dyDescent="0.2">
      <c r="A7946">
        <v>24390</v>
      </c>
      <c r="B7946">
        <v>20353</v>
      </c>
      <c r="C7946">
        <v>70</v>
      </c>
      <c r="D7946">
        <v>516.79999999999995</v>
      </c>
      <c r="E7946">
        <v>13.1</v>
      </c>
    </row>
    <row r="7947" spans="1:5" x14ac:dyDescent="0.2">
      <c r="A7947">
        <v>24400</v>
      </c>
      <c r="B7947">
        <v>20354</v>
      </c>
      <c r="C7947">
        <v>70</v>
      </c>
      <c r="D7947">
        <v>518.6</v>
      </c>
      <c r="E7947">
        <v>13.2</v>
      </c>
    </row>
    <row r="7948" spans="1:5" x14ac:dyDescent="0.2">
      <c r="A7948">
        <v>24410</v>
      </c>
      <c r="B7948">
        <v>20353</v>
      </c>
      <c r="C7948">
        <v>70</v>
      </c>
      <c r="D7948">
        <v>520.5</v>
      </c>
      <c r="E7948">
        <v>13.1</v>
      </c>
    </row>
    <row r="7949" spans="1:5" x14ac:dyDescent="0.2">
      <c r="A7949">
        <v>24420</v>
      </c>
      <c r="B7949">
        <v>20353</v>
      </c>
      <c r="C7949">
        <v>68</v>
      </c>
      <c r="D7949">
        <v>522.5</v>
      </c>
      <c r="E7949">
        <v>12.9</v>
      </c>
    </row>
    <row r="7950" spans="1:5" x14ac:dyDescent="0.2">
      <c r="A7950">
        <v>24430</v>
      </c>
      <c r="B7950">
        <v>20352</v>
      </c>
      <c r="C7950">
        <v>67</v>
      </c>
      <c r="D7950">
        <v>524.5</v>
      </c>
      <c r="E7950">
        <v>12.7</v>
      </c>
    </row>
    <row r="7951" spans="1:5" x14ac:dyDescent="0.2">
      <c r="A7951">
        <v>24440</v>
      </c>
      <c r="B7951">
        <v>20351</v>
      </c>
      <c r="C7951">
        <v>66</v>
      </c>
      <c r="D7951">
        <v>526.4</v>
      </c>
      <c r="E7951">
        <v>12.5</v>
      </c>
    </row>
    <row r="7952" spans="1:5" x14ac:dyDescent="0.2">
      <c r="A7952">
        <v>24450</v>
      </c>
      <c r="B7952">
        <v>20351</v>
      </c>
      <c r="C7952">
        <v>65</v>
      </c>
      <c r="D7952">
        <v>528.29999999999995</v>
      </c>
      <c r="E7952">
        <v>12.3</v>
      </c>
    </row>
    <row r="7953" spans="1:5" x14ac:dyDescent="0.2">
      <c r="A7953">
        <v>24460</v>
      </c>
      <c r="B7953">
        <v>20351</v>
      </c>
      <c r="C7953">
        <v>64</v>
      </c>
      <c r="D7953">
        <v>530.1</v>
      </c>
      <c r="E7953">
        <v>12.1</v>
      </c>
    </row>
    <row r="7954" spans="1:5" x14ac:dyDescent="0.2">
      <c r="A7954">
        <v>24470</v>
      </c>
      <c r="B7954">
        <v>20353</v>
      </c>
      <c r="C7954">
        <v>62</v>
      </c>
      <c r="D7954">
        <v>531.70000000000005</v>
      </c>
      <c r="E7954">
        <v>11.9</v>
      </c>
    </row>
    <row r="7955" spans="1:5" x14ac:dyDescent="0.2">
      <c r="A7955">
        <v>24480</v>
      </c>
      <c r="B7955">
        <v>20355</v>
      </c>
      <c r="C7955">
        <v>60</v>
      </c>
      <c r="D7955">
        <v>533.1</v>
      </c>
      <c r="E7955">
        <v>11.5</v>
      </c>
    </row>
    <row r="7956" spans="1:5" x14ac:dyDescent="0.2">
      <c r="A7956">
        <v>24490</v>
      </c>
      <c r="B7956">
        <v>20358</v>
      </c>
      <c r="C7956">
        <v>58</v>
      </c>
      <c r="D7956">
        <v>534.29999999999995</v>
      </c>
      <c r="E7956">
        <v>11.1</v>
      </c>
    </row>
    <row r="7957" spans="1:5" x14ac:dyDescent="0.2">
      <c r="A7957">
        <v>24500</v>
      </c>
      <c r="B7957">
        <v>20362</v>
      </c>
      <c r="C7957">
        <v>56</v>
      </c>
      <c r="D7957">
        <v>535.4</v>
      </c>
      <c r="E7957">
        <v>10.7</v>
      </c>
    </row>
    <row r="7958" spans="1:5" x14ac:dyDescent="0.2">
      <c r="A7958">
        <v>24510</v>
      </c>
      <c r="B7958">
        <v>20368</v>
      </c>
      <c r="C7958">
        <v>55</v>
      </c>
      <c r="D7958">
        <v>536.20000000000005</v>
      </c>
      <c r="E7958">
        <v>10.4</v>
      </c>
    </row>
    <row r="7959" spans="1:5" x14ac:dyDescent="0.2">
      <c r="A7959">
        <v>24520</v>
      </c>
      <c r="B7959">
        <v>20373</v>
      </c>
      <c r="C7959">
        <v>54</v>
      </c>
      <c r="D7959">
        <v>537</v>
      </c>
      <c r="E7959">
        <v>10.4</v>
      </c>
    </row>
    <row r="7960" spans="1:5" x14ac:dyDescent="0.2">
      <c r="A7960">
        <v>24530</v>
      </c>
      <c r="B7960">
        <v>20380</v>
      </c>
      <c r="C7960">
        <v>54</v>
      </c>
      <c r="D7960">
        <v>537.5</v>
      </c>
      <c r="E7960">
        <v>10.4</v>
      </c>
    </row>
    <row r="7961" spans="1:5" x14ac:dyDescent="0.2">
      <c r="A7961">
        <v>24540</v>
      </c>
      <c r="B7961">
        <v>20388</v>
      </c>
      <c r="C7961">
        <v>55</v>
      </c>
      <c r="D7961">
        <v>537.9</v>
      </c>
      <c r="E7961">
        <v>10.5</v>
      </c>
    </row>
    <row r="7962" spans="1:5" x14ac:dyDescent="0.2">
      <c r="A7962">
        <v>24550</v>
      </c>
      <c r="B7962">
        <v>20397</v>
      </c>
      <c r="C7962">
        <v>56</v>
      </c>
      <c r="D7962">
        <v>538.1</v>
      </c>
      <c r="E7962">
        <v>10.7</v>
      </c>
    </row>
    <row r="7963" spans="1:5" x14ac:dyDescent="0.2">
      <c r="A7963">
        <v>24560</v>
      </c>
      <c r="B7963">
        <v>20406</v>
      </c>
      <c r="C7963">
        <v>57</v>
      </c>
      <c r="D7963">
        <v>538.20000000000005</v>
      </c>
      <c r="E7963">
        <v>10.9</v>
      </c>
    </row>
    <row r="7964" spans="1:5" x14ac:dyDescent="0.2">
      <c r="A7964">
        <v>24570</v>
      </c>
      <c r="B7964">
        <v>20416</v>
      </c>
      <c r="C7964">
        <v>57</v>
      </c>
      <c r="D7964">
        <v>538.20000000000005</v>
      </c>
      <c r="E7964">
        <v>10.9</v>
      </c>
    </row>
    <row r="7965" spans="1:5" x14ac:dyDescent="0.2">
      <c r="A7965">
        <v>24580</v>
      </c>
      <c r="B7965">
        <v>20426</v>
      </c>
      <c r="C7965">
        <v>57</v>
      </c>
      <c r="D7965">
        <v>538</v>
      </c>
      <c r="E7965">
        <v>10.9</v>
      </c>
    </row>
    <row r="7966" spans="1:5" x14ac:dyDescent="0.2">
      <c r="A7966">
        <v>24590</v>
      </c>
      <c r="B7966">
        <v>20437</v>
      </c>
      <c r="C7966">
        <v>57</v>
      </c>
      <c r="D7966">
        <v>537.79999999999995</v>
      </c>
      <c r="E7966">
        <v>10.9</v>
      </c>
    </row>
    <row r="7967" spans="1:5" x14ac:dyDescent="0.2">
      <c r="A7967">
        <v>24600</v>
      </c>
      <c r="B7967">
        <v>20449</v>
      </c>
      <c r="C7967">
        <v>57</v>
      </c>
      <c r="D7967">
        <v>537.5</v>
      </c>
      <c r="E7967">
        <v>10.8</v>
      </c>
    </row>
    <row r="7968" spans="1:5" x14ac:dyDescent="0.2">
      <c r="A7968">
        <v>24610</v>
      </c>
      <c r="B7968">
        <v>20460</v>
      </c>
      <c r="C7968">
        <v>56</v>
      </c>
      <c r="D7968">
        <v>537.20000000000005</v>
      </c>
      <c r="E7968">
        <v>10.8</v>
      </c>
    </row>
    <row r="7969" spans="1:5" x14ac:dyDescent="0.2">
      <c r="A7969">
        <v>24620</v>
      </c>
      <c r="B7969">
        <v>20471</v>
      </c>
      <c r="C7969">
        <v>56</v>
      </c>
      <c r="D7969">
        <v>537</v>
      </c>
      <c r="E7969">
        <v>10.8</v>
      </c>
    </row>
    <row r="7970" spans="1:5" x14ac:dyDescent="0.2">
      <c r="A7970">
        <v>24630</v>
      </c>
      <c r="B7970">
        <v>20481</v>
      </c>
      <c r="C7970">
        <v>56</v>
      </c>
      <c r="D7970">
        <v>536.79999999999995</v>
      </c>
      <c r="E7970">
        <v>10.8</v>
      </c>
    </row>
    <row r="7971" spans="1:5" x14ac:dyDescent="0.2">
      <c r="A7971">
        <v>24640</v>
      </c>
      <c r="B7971">
        <v>20492</v>
      </c>
      <c r="C7971">
        <v>56</v>
      </c>
      <c r="D7971">
        <v>536.6</v>
      </c>
      <c r="E7971">
        <v>10.7</v>
      </c>
    </row>
    <row r="7972" spans="1:5" x14ac:dyDescent="0.2">
      <c r="A7972">
        <v>24650</v>
      </c>
      <c r="B7972">
        <v>20501</v>
      </c>
      <c r="C7972">
        <v>55</v>
      </c>
      <c r="D7972">
        <v>536.70000000000005</v>
      </c>
      <c r="E7972">
        <v>10.6</v>
      </c>
    </row>
    <row r="7973" spans="1:5" x14ac:dyDescent="0.2">
      <c r="A7973">
        <v>24660</v>
      </c>
      <c r="B7973">
        <v>20510</v>
      </c>
      <c r="C7973">
        <v>55</v>
      </c>
      <c r="D7973">
        <v>536.79999999999995</v>
      </c>
      <c r="E7973">
        <v>10.5</v>
      </c>
    </row>
    <row r="7974" spans="1:5" x14ac:dyDescent="0.2">
      <c r="A7974">
        <v>24670</v>
      </c>
      <c r="B7974">
        <v>20519</v>
      </c>
      <c r="C7974">
        <v>54</v>
      </c>
      <c r="D7974">
        <v>537.1</v>
      </c>
      <c r="E7974">
        <v>10.3</v>
      </c>
    </row>
    <row r="7975" spans="1:5" x14ac:dyDescent="0.2">
      <c r="A7975">
        <v>24680</v>
      </c>
      <c r="B7975">
        <v>20527</v>
      </c>
      <c r="C7975">
        <v>54</v>
      </c>
      <c r="D7975">
        <v>537.4</v>
      </c>
      <c r="E7975">
        <v>10.3</v>
      </c>
    </row>
    <row r="7976" spans="1:5" x14ac:dyDescent="0.2">
      <c r="A7976">
        <v>24690</v>
      </c>
      <c r="B7976">
        <v>20534</v>
      </c>
      <c r="C7976">
        <v>54</v>
      </c>
      <c r="D7976">
        <v>537.9</v>
      </c>
      <c r="E7976">
        <v>10.3</v>
      </c>
    </row>
    <row r="7977" spans="1:5" x14ac:dyDescent="0.2">
      <c r="A7977">
        <v>24700</v>
      </c>
      <c r="B7977">
        <v>20540</v>
      </c>
      <c r="C7977">
        <v>54</v>
      </c>
      <c r="D7977">
        <v>538.5</v>
      </c>
      <c r="E7977">
        <v>10.3</v>
      </c>
    </row>
    <row r="7978" spans="1:5" x14ac:dyDescent="0.2">
      <c r="A7978">
        <v>24710</v>
      </c>
      <c r="B7978">
        <v>20546</v>
      </c>
      <c r="C7978">
        <v>54</v>
      </c>
      <c r="D7978">
        <v>539.20000000000005</v>
      </c>
      <c r="E7978">
        <v>10.4</v>
      </c>
    </row>
    <row r="7979" spans="1:5" x14ac:dyDescent="0.2">
      <c r="A7979">
        <v>24720</v>
      </c>
      <c r="B7979">
        <v>20552</v>
      </c>
      <c r="C7979">
        <v>54</v>
      </c>
      <c r="D7979">
        <v>540.1</v>
      </c>
      <c r="E7979">
        <v>10.4</v>
      </c>
    </row>
    <row r="7980" spans="1:5" x14ac:dyDescent="0.2">
      <c r="A7980">
        <v>24730</v>
      </c>
      <c r="B7980">
        <v>20557</v>
      </c>
      <c r="C7980">
        <v>54</v>
      </c>
      <c r="D7980">
        <v>541</v>
      </c>
      <c r="E7980">
        <v>10.4</v>
      </c>
    </row>
    <row r="7981" spans="1:5" x14ac:dyDescent="0.2">
      <c r="A7981">
        <v>24740</v>
      </c>
      <c r="B7981">
        <v>20560</v>
      </c>
      <c r="C7981">
        <v>54</v>
      </c>
      <c r="D7981">
        <v>542.1</v>
      </c>
      <c r="E7981">
        <v>10.3</v>
      </c>
    </row>
    <row r="7982" spans="1:5" x14ac:dyDescent="0.2">
      <c r="A7982">
        <v>24750</v>
      </c>
      <c r="B7982">
        <v>20564</v>
      </c>
      <c r="C7982">
        <v>52</v>
      </c>
      <c r="D7982">
        <v>543.20000000000005</v>
      </c>
      <c r="E7982">
        <v>10.1</v>
      </c>
    </row>
    <row r="7983" spans="1:5" x14ac:dyDescent="0.2">
      <c r="A7983">
        <v>24760</v>
      </c>
      <c r="B7983">
        <v>20567</v>
      </c>
      <c r="C7983">
        <v>51</v>
      </c>
      <c r="D7983">
        <v>544.5</v>
      </c>
      <c r="E7983">
        <v>9.8000000000000007</v>
      </c>
    </row>
    <row r="7984" spans="1:5" x14ac:dyDescent="0.2">
      <c r="A7984">
        <v>24770</v>
      </c>
      <c r="B7984">
        <v>20570</v>
      </c>
      <c r="C7984">
        <v>50</v>
      </c>
      <c r="D7984">
        <v>545.79999999999995</v>
      </c>
      <c r="E7984">
        <v>9.6</v>
      </c>
    </row>
    <row r="7985" spans="1:5" x14ac:dyDescent="0.2">
      <c r="A7985">
        <v>24780</v>
      </c>
      <c r="B7985">
        <v>20573</v>
      </c>
      <c r="C7985">
        <v>49</v>
      </c>
      <c r="D7985">
        <v>547.20000000000005</v>
      </c>
      <c r="E7985">
        <v>9.4</v>
      </c>
    </row>
    <row r="7986" spans="1:5" x14ac:dyDescent="0.2">
      <c r="A7986">
        <v>24790</v>
      </c>
      <c r="B7986">
        <v>20575</v>
      </c>
      <c r="C7986">
        <v>48</v>
      </c>
      <c r="D7986">
        <v>548.6</v>
      </c>
      <c r="E7986">
        <v>9.1999999999999993</v>
      </c>
    </row>
    <row r="7987" spans="1:5" x14ac:dyDescent="0.2">
      <c r="A7987">
        <v>24800</v>
      </c>
      <c r="B7987">
        <v>20577</v>
      </c>
      <c r="C7987">
        <v>47</v>
      </c>
      <c r="D7987">
        <v>550.1</v>
      </c>
      <c r="E7987">
        <v>9.1</v>
      </c>
    </row>
    <row r="7988" spans="1:5" x14ac:dyDescent="0.2">
      <c r="A7988">
        <v>24810</v>
      </c>
      <c r="B7988">
        <v>20580</v>
      </c>
      <c r="C7988">
        <v>47</v>
      </c>
      <c r="D7988">
        <v>551.5</v>
      </c>
      <c r="E7988">
        <v>9</v>
      </c>
    </row>
    <row r="7989" spans="1:5" x14ac:dyDescent="0.2">
      <c r="A7989">
        <v>24820</v>
      </c>
      <c r="B7989">
        <v>20582</v>
      </c>
      <c r="C7989">
        <v>46</v>
      </c>
      <c r="D7989">
        <v>553</v>
      </c>
      <c r="E7989">
        <v>8.9</v>
      </c>
    </row>
    <row r="7990" spans="1:5" x14ac:dyDescent="0.2">
      <c r="A7990">
        <v>24830</v>
      </c>
      <c r="B7990">
        <v>20584</v>
      </c>
      <c r="C7990">
        <v>45</v>
      </c>
      <c r="D7990">
        <v>554.4</v>
      </c>
      <c r="E7990">
        <v>8.8000000000000007</v>
      </c>
    </row>
    <row r="7991" spans="1:5" x14ac:dyDescent="0.2">
      <c r="A7991">
        <v>24840</v>
      </c>
      <c r="B7991">
        <v>20587</v>
      </c>
      <c r="C7991">
        <v>45</v>
      </c>
      <c r="D7991">
        <v>555.79999999999995</v>
      </c>
      <c r="E7991">
        <v>8.6</v>
      </c>
    </row>
    <row r="7992" spans="1:5" x14ac:dyDescent="0.2">
      <c r="A7992">
        <v>24850</v>
      </c>
      <c r="B7992">
        <v>20589</v>
      </c>
      <c r="C7992">
        <v>44</v>
      </c>
      <c r="D7992">
        <v>557.1</v>
      </c>
      <c r="E7992">
        <v>8.6</v>
      </c>
    </row>
    <row r="7993" spans="1:5" x14ac:dyDescent="0.2">
      <c r="A7993">
        <v>24860</v>
      </c>
      <c r="B7993">
        <v>20593</v>
      </c>
      <c r="C7993">
        <v>44</v>
      </c>
      <c r="D7993">
        <v>558.4</v>
      </c>
      <c r="E7993">
        <v>8.5</v>
      </c>
    </row>
    <row r="7994" spans="1:5" x14ac:dyDescent="0.2">
      <c r="A7994">
        <v>24870</v>
      </c>
      <c r="B7994">
        <v>20597</v>
      </c>
      <c r="C7994">
        <v>44</v>
      </c>
      <c r="D7994">
        <v>559.5</v>
      </c>
      <c r="E7994">
        <v>8.5</v>
      </c>
    </row>
    <row r="7995" spans="1:5" x14ac:dyDescent="0.2">
      <c r="A7995">
        <v>24880</v>
      </c>
      <c r="B7995">
        <v>20601</v>
      </c>
      <c r="C7995">
        <v>44</v>
      </c>
      <c r="D7995">
        <v>560.6</v>
      </c>
      <c r="E7995">
        <v>8.6</v>
      </c>
    </row>
    <row r="7996" spans="1:5" x14ac:dyDescent="0.2">
      <c r="A7996">
        <v>24890</v>
      </c>
      <c r="B7996">
        <v>20606</v>
      </c>
      <c r="C7996">
        <v>45</v>
      </c>
      <c r="D7996">
        <v>561.4</v>
      </c>
      <c r="E7996">
        <v>8.8000000000000007</v>
      </c>
    </row>
    <row r="7997" spans="1:5" x14ac:dyDescent="0.2">
      <c r="A7997">
        <v>24900</v>
      </c>
      <c r="B7997">
        <v>20612</v>
      </c>
      <c r="C7997">
        <v>46</v>
      </c>
      <c r="D7997">
        <v>562.1</v>
      </c>
      <c r="E7997">
        <v>8.9</v>
      </c>
    </row>
    <row r="7998" spans="1:5" x14ac:dyDescent="0.2">
      <c r="A7998">
        <v>24910</v>
      </c>
      <c r="B7998">
        <v>20619</v>
      </c>
      <c r="C7998">
        <v>46</v>
      </c>
      <c r="D7998">
        <v>562.6</v>
      </c>
      <c r="E7998">
        <v>9</v>
      </c>
    </row>
    <row r="7999" spans="1:5" x14ac:dyDescent="0.2">
      <c r="A7999">
        <v>24920</v>
      </c>
      <c r="B7999">
        <v>20627</v>
      </c>
      <c r="C7999">
        <v>46</v>
      </c>
      <c r="D7999">
        <v>563</v>
      </c>
      <c r="E7999">
        <v>9</v>
      </c>
    </row>
    <row r="8000" spans="1:5" x14ac:dyDescent="0.2">
      <c r="A8000">
        <v>24930</v>
      </c>
      <c r="B8000">
        <v>20636</v>
      </c>
      <c r="C8000">
        <v>46</v>
      </c>
      <c r="D8000">
        <v>563.1</v>
      </c>
      <c r="E8000">
        <v>8.9</v>
      </c>
    </row>
    <row r="8001" spans="1:5" x14ac:dyDescent="0.2">
      <c r="A8001">
        <v>24940</v>
      </c>
      <c r="B8001">
        <v>20646</v>
      </c>
      <c r="C8001">
        <v>45</v>
      </c>
      <c r="D8001">
        <v>563.20000000000005</v>
      </c>
      <c r="E8001">
        <v>8.8000000000000007</v>
      </c>
    </row>
    <row r="8002" spans="1:5" x14ac:dyDescent="0.2">
      <c r="A8002">
        <v>24950</v>
      </c>
      <c r="B8002">
        <v>20655</v>
      </c>
      <c r="C8002">
        <v>45</v>
      </c>
      <c r="D8002">
        <v>563.20000000000005</v>
      </c>
      <c r="E8002">
        <v>8.8000000000000007</v>
      </c>
    </row>
    <row r="8003" spans="1:5" x14ac:dyDescent="0.2">
      <c r="A8003">
        <v>24960</v>
      </c>
      <c r="B8003">
        <v>20666</v>
      </c>
      <c r="C8003">
        <v>45</v>
      </c>
      <c r="D8003">
        <v>563.1</v>
      </c>
      <c r="E8003">
        <v>8.8000000000000007</v>
      </c>
    </row>
    <row r="8004" spans="1:5" x14ac:dyDescent="0.2">
      <c r="A8004">
        <v>24970</v>
      </c>
      <c r="B8004">
        <v>20676</v>
      </c>
      <c r="C8004">
        <v>45</v>
      </c>
      <c r="D8004">
        <v>563</v>
      </c>
      <c r="E8004">
        <v>8.8000000000000007</v>
      </c>
    </row>
    <row r="8005" spans="1:5" x14ac:dyDescent="0.2">
      <c r="A8005">
        <v>24980</v>
      </c>
      <c r="B8005">
        <v>20686</v>
      </c>
      <c r="C8005">
        <v>45</v>
      </c>
      <c r="D8005">
        <v>562.79999999999995</v>
      </c>
      <c r="E8005">
        <v>8.8000000000000007</v>
      </c>
    </row>
    <row r="8006" spans="1:5" x14ac:dyDescent="0.2">
      <c r="A8006">
        <v>24990</v>
      </c>
      <c r="B8006">
        <v>20696</v>
      </c>
      <c r="C8006">
        <v>46</v>
      </c>
      <c r="D8006">
        <v>562.79999999999995</v>
      </c>
      <c r="E8006">
        <v>9</v>
      </c>
    </row>
    <row r="8007" spans="1:5" x14ac:dyDescent="0.2">
      <c r="A8007">
        <v>25000</v>
      </c>
      <c r="B8007">
        <v>20706</v>
      </c>
      <c r="C8007">
        <v>47</v>
      </c>
      <c r="D8007">
        <v>562.79999999999995</v>
      </c>
      <c r="E8007">
        <v>9.1</v>
      </c>
    </row>
    <row r="8008" spans="1:5" x14ac:dyDescent="0.2">
      <c r="A8008">
        <v>25020</v>
      </c>
      <c r="B8008">
        <v>20724</v>
      </c>
      <c r="C8008">
        <v>47</v>
      </c>
      <c r="D8008">
        <v>563</v>
      </c>
      <c r="E8008">
        <v>9.1</v>
      </c>
    </row>
    <row r="8009" spans="1:5" x14ac:dyDescent="0.2">
      <c r="A8009">
        <v>25040</v>
      </c>
      <c r="B8009">
        <v>20741</v>
      </c>
      <c r="C8009">
        <v>47</v>
      </c>
      <c r="D8009">
        <v>563.6</v>
      </c>
      <c r="E8009">
        <v>9.1</v>
      </c>
    </row>
    <row r="8010" spans="1:5" x14ac:dyDescent="0.2">
      <c r="A8010">
        <v>25060</v>
      </c>
      <c r="B8010">
        <v>20757</v>
      </c>
      <c r="C8010">
        <v>46</v>
      </c>
      <c r="D8010">
        <v>564.29999999999995</v>
      </c>
      <c r="E8010">
        <v>9</v>
      </c>
    </row>
    <row r="8011" spans="1:5" x14ac:dyDescent="0.2">
      <c r="A8011">
        <v>25080</v>
      </c>
      <c r="B8011">
        <v>20773</v>
      </c>
      <c r="C8011">
        <v>46</v>
      </c>
      <c r="D8011">
        <v>565</v>
      </c>
      <c r="E8011">
        <v>9.1</v>
      </c>
    </row>
    <row r="8012" spans="1:5" x14ac:dyDescent="0.2">
      <c r="A8012">
        <v>25100</v>
      </c>
      <c r="B8012">
        <v>20789</v>
      </c>
      <c r="C8012">
        <v>48</v>
      </c>
      <c r="D8012">
        <v>565.5</v>
      </c>
      <c r="E8012">
        <v>9.4</v>
      </c>
    </row>
    <row r="8013" spans="1:5" x14ac:dyDescent="0.2">
      <c r="A8013">
        <v>25120</v>
      </c>
      <c r="B8013">
        <v>20808</v>
      </c>
      <c r="C8013">
        <v>50</v>
      </c>
      <c r="D8013">
        <v>565.70000000000005</v>
      </c>
      <c r="E8013">
        <v>9.8000000000000007</v>
      </c>
    </row>
    <row r="8014" spans="1:5" x14ac:dyDescent="0.2">
      <c r="A8014">
        <v>25140</v>
      </c>
      <c r="B8014">
        <v>20829</v>
      </c>
      <c r="C8014">
        <v>52</v>
      </c>
      <c r="D8014">
        <v>565.4</v>
      </c>
      <c r="E8014">
        <v>10.1</v>
      </c>
    </row>
    <row r="8015" spans="1:5" x14ac:dyDescent="0.2">
      <c r="A8015">
        <v>25160</v>
      </c>
      <c r="B8015">
        <v>20852</v>
      </c>
      <c r="C8015">
        <v>54</v>
      </c>
      <c r="D8015">
        <v>564.6</v>
      </c>
      <c r="E8015">
        <v>10.5</v>
      </c>
    </row>
    <row r="8016" spans="1:5" x14ac:dyDescent="0.2">
      <c r="A8016">
        <v>25180</v>
      </c>
      <c r="B8016">
        <v>20878</v>
      </c>
      <c r="C8016">
        <v>56</v>
      </c>
      <c r="D8016">
        <v>563.4</v>
      </c>
      <c r="E8016">
        <v>10.9</v>
      </c>
    </row>
    <row r="8017" spans="1:5" x14ac:dyDescent="0.2">
      <c r="A8017">
        <v>25200</v>
      </c>
      <c r="B8017">
        <v>20906</v>
      </c>
      <c r="C8017">
        <v>60</v>
      </c>
      <c r="D8017">
        <v>561.79999999999995</v>
      </c>
      <c r="E8017">
        <v>11.6</v>
      </c>
    </row>
    <row r="8018" spans="1:5" x14ac:dyDescent="0.2">
      <c r="A8018">
        <v>25220</v>
      </c>
      <c r="B8018">
        <v>20934</v>
      </c>
      <c r="C8018">
        <v>65</v>
      </c>
      <c r="D8018">
        <v>560</v>
      </c>
      <c r="E8018">
        <v>12.6</v>
      </c>
    </row>
    <row r="8019" spans="1:5" x14ac:dyDescent="0.2">
      <c r="A8019">
        <v>25240</v>
      </c>
      <c r="B8019">
        <v>20963</v>
      </c>
      <c r="C8019">
        <v>69</v>
      </c>
      <c r="D8019">
        <v>558.20000000000005</v>
      </c>
      <c r="E8019">
        <v>13.4</v>
      </c>
    </row>
    <row r="8020" spans="1:5" x14ac:dyDescent="0.2">
      <c r="A8020">
        <v>25260</v>
      </c>
      <c r="B8020">
        <v>20992</v>
      </c>
      <c r="C8020">
        <v>72</v>
      </c>
      <c r="D8020">
        <v>556.29999999999995</v>
      </c>
      <c r="E8020">
        <v>14</v>
      </c>
    </row>
    <row r="8021" spans="1:5" x14ac:dyDescent="0.2">
      <c r="A8021">
        <v>25280</v>
      </c>
      <c r="B8021">
        <v>21021</v>
      </c>
      <c r="C8021">
        <v>73</v>
      </c>
      <c r="D8021">
        <v>554.6</v>
      </c>
      <c r="E8021">
        <v>14.1</v>
      </c>
    </row>
    <row r="8022" spans="1:5" x14ac:dyDescent="0.2">
      <c r="A8022">
        <v>25300</v>
      </c>
      <c r="B8022">
        <v>21048</v>
      </c>
      <c r="C8022">
        <v>69</v>
      </c>
      <c r="D8022">
        <v>553.1</v>
      </c>
      <c r="E8022">
        <v>13.4</v>
      </c>
    </row>
    <row r="8023" spans="1:5" x14ac:dyDescent="0.2">
      <c r="A8023">
        <v>25320</v>
      </c>
      <c r="B8023">
        <v>21072</v>
      </c>
      <c r="C8023">
        <v>64</v>
      </c>
      <c r="D8023">
        <v>552</v>
      </c>
      <c r="E8023">
        <v>12.4</v>
      </c>
    </row>
    <row r="8024" spans="1:5" x14ac:dyDescent="0.2">
      <c r="A8024">
        <v>25340</v>
      </c>
      <c r="B8024">
        <v>21093</v>
      </c>
      <c r="C8024">
        <v>59</v>
      </c>
      <c r="D8024">
        <v>551.70000000000005</v>
      </c>
      <c r="E8024">
        <v>11.5</v>
      </c>
    </row>
    <row r="8025" spans="1:5" x14ac:dyDescent="0.2">
      <c r="A8025">
        <v>25360</v>
      </c>
      <c r="B8025">
        <v>21109</v>
      </c>
      <c r="C8025">
        <v>57</v>
      </c>
      <c r="D8025">
        <v>552.4</v>
      </c>
      <c r="E8025">
        <v>11</v>
      </c>
    </row>
    <row r="8026" spans="1:5" x14ac:dyDescent="0.2">
      <c r="A8026">
        <v>25380</v>
      </c>
      <c r="B8026">
        <v>21119</v>
      </c>
      <c r="C8026">
        <v>56</v>
      </c>
      <c r="D8026">
        <v>554.4</v>
      </c>
      <c r="E8026">
        <v>10.8</v>
      </c>
    </row>
    <row r="8027" spans="1:5" x14ac:dyDescent="0.2">
      <c r="A8027">
        <v>25400</v>
      </c>
      <c r="B8027">
        <v>21121</v>
      </c>
      <c r="C8027">
        <v>54</v>
      </c>
      <c r="D8027">
        <v>557.6</v>
      </c>
      <c r="E8027">
        <v>10.6</v>
      </c>
    </row>
    <row r="8028" spans="1:5" x14ac:dyDescent="0.2">
      <c r="A8028">
        <v>25420</v>
      </c>
      <c r="B8028">
        <v>21119</v>
      </c>
      <c r="C8028">
        <v>53</v>
      </c>
      <c r="D8028">
        <v>561.79999999999995</v>
      </c>
      <c r="E8028">
        <v>10.3</v>
      </c>
    </row>
    <row r="8029" spans="1:5" x14ac:dyDescent="0.2">
      <c r="A8029">
        <v>25440</v>
      </c>
      <c r="B8029">
        <v>21114</v>
      </c>
      <c r="C8029">
        <v>53</v>
      </c>
      <c r="D8029">
        <v>566.6</v>
      </c>
      <c r="E8029">
        <v>10.199999999999999</v>
      </c>
    </row>
    <row r="8030" spans="1:5" x14ac:dyDescent="0.2">
      <c r="A8030">
        <v>25460</v>
      </c>
      <c r="B8030">
        <v>21108</v>
      </c>
      <c r="C8030">
        <v>53</v>
      </c>
      <c r="D8030">
        <v>571.6</v>
      </c>
      <c r="E8030">
        <v>10.3</v>
      </c>
    </row>
    <row r="8031" spans="1:5" x14ac:dyDescent="0.2">
      <c r="A8031">
        <v>25480</v>
      </c>
      <c r="B8031">
        <v>21102</v>
      </c>
      <c r="C8031">
        <v>54</v>
      </c>
      <c r="D8031">
        <v>576.5</v>
      </c>
      <c r="E8031">
        <v>10.5</v>
      </c>
    </row>
    <row r="8032" spans="1:5" x14ac:dyDescent="0.2">
      <c r="A8032">
        <v>25500</v>
      </c>
      <c r="B8032">
        <v>21100</v>
      </c>
      <c r="C8032">
        <v>53</v>
      </c>
      <c r="D8032">
        <v>580.79999999999995</v>
      </c>
      <c r="E8032">
        <v>10.5</v>
      </c>
    </row>
    <row r="8033" spans="1:5" x14ac:dyDescent="0.2">
      <c r="A8033">
        <v>25520</v>
      </c>
      <c r="B8033">
        <v>21102</v>
      </c>
      <c r="C8033">
        <v>52</v>
      </c>
      <c r="D8033">
        <v>584.29999999999995</v>
      </c>
      <c r="E8033">
        <v>10.199999999999999</v>
      </c>
    </row>
    <row r="8034" spans="1:5" x14ac:dyDescent="0.2">
      <c r="A8034">
        <v>25540</v>
      </c>
      <c r="B8034">
        <v>21108</v>
      </c>
      <c r="C8034">
        <v>50</v>
      </c>
      <c r="D8034">
        <v>586.79999999999995</v>
      </c>
      <c r="E8034">
        <v>9.9</v>
      </c>
    </row>
    <row r="8035" spans="1:5" x14ac:dyDescent="0.2">
      <c r="A8035">
        <v>25560</v>
      </c>
      <c r="B8035">
        <v>21119</v>
      </c>
      <c r="C8035">
        <v>49</v>
      </c>
      <c r="D8035">
        <v>588.5</v>
      </c>
      <c r="E8035">
        <v>9.6999999999999993</v>
      </c>
    </row>
    <row r="8036" spans="1:5" x14ac:dyDescent="0.2">
      <c r="A8036">
        <v>25580</v>
      </c>
      <c r="B8036">
        <v>21134</v>
      </c>
      <c r="C8036">
        <v>51</v>
      </c>
      <c r="D8036">
        <v>589.29999999999995</v>
      </c>
      <c r="E8036">
        <v>10</v>
      </c>
    </row>
    <row r="8037" spans="1:5" x14ac:dyDescent="0.2">
      <c r="A8037">
        <v>25600</v>
      </c>
      <c r="B8037">
        <v>21154</v>
      </c>
      <c r="C8037">
        <v>53</v>
      </c>
      <c r="D8037">
        <v>589.29999999999995</v>
      </c>
      <c r="E8037">
        <v>10.5</v>
      </c>
    </row>
    <row r="8038" spans="1:5" x14ac:dyDescent="0.2">
      <c r="A8038">
        <v>25620</v>
      </c>
      <c r="B8038">
        <v>21177</v>
      </c>
      <c r="C8038">
        <v>55</v>
      </c>
      <c r="D8038">
        <v>588.5</v>
      </c>
      <c r="E8038">
        <v>10.8</v>
      </c>
    </row>
    <row r="8039" spans="1:5" x14ac:dyDescent="0.2">
      <c r="A8039">
        <v>25640</v>
      </c>
      <c r="B8039">
        <v>21204</v>
      </c>
      <c r="C8039">
        <v>54</v>
      </c>
      <c r="D8039">
        <v>587</v>
      </c>
      <c r="E8039">
        <v>10.8</v>
      </c>
    </row>
    <row r="8040" spans="1:5" x14ac:dyDescent="0.2">
      <c r="A8040">
        <v>25660</v>
      </c>
      <c r="B8040">
        <v>21234</v>
      </c>
      <c r="C8040">
        <v>53</v>
      </c>
      <c r="D8040">
        <v>585</v>
      </c>
      <c r="E8040">
        <v>10.5</v>
      </c>
    </row>
    <row r="8041" spans="1:5" x14ac:dyDescent="0.2">
      <c r="A8041">
        <v>25680</v>
      </c>
      <c r="B8041">
        <v>21265</v>
      </c>
      <c r="C8041">
        <v>53</v>
      </c>
      <c r="D8041">
        <v>582.70000000000005</v>
      </c>
      <c r="E8041">
        <v>10.3</v>
      </c>
    </row>
    <row r="8042" spans="1:5" x14ac:dyDescent="0.2">
      <c r="A8042">
        <v>25700</v>
      </c>
      <c r="B8042">
        <v>21297</v>
      </c>
      <c r="C8042">
        <v>52</v>
      </c>
      <c r="D8042">
        <v>580.29999999999995</v>
      </c>
      <c r="E8042">
        <v>10.3</v>
      </c>
    </row>
    <row r="8043" spans="1:5" x14ac:dyDescent="0.2">
      <c r="A8043">
        <v>25720</v>
      </c>
      <c r="B8043">
        <v>21328</v>
      </c>
      <c r="C8043">
        <v>52</v>
      </c>
      <c r="D8043">
        <v>578</v>
      </c>
      <c r="E8043">
        <v>10.3</v>
      </c>
    </row>
    <row r="8044" spans="1:5" x14ac:dyDescent="0.2">
      <c r="A8044">
        <v>25740</v>
      </c>
      <c r="B8044">
        <v>21357</v>
      </c>
      <c r="C8044">
        <v>53</v>
      </c>
      <c r="D8044">
        <v>576.1</v>
      </c>
      <c r="E8044">
        <v>10.4</v>
      </c>
    </row>
    <row r="8045" spans="1:5" x14ac:dyDescent="0.2">
      <c r="A8045">
        <v>25760</v>
      </c>
      <c r="B8045">
        <v>21384</v>
      </c>
      <c r="C8045">
        <v>53</v>
      </c>
      <c r="D8045">
        <v>574.6</v>
      </c>
      <c r="E8045">
        <v>10.4</v>
      </c>
    </row>
    <row r="8046" spans="1:5" x14ac:dyDescent="0.2">
      <c r="A8046">
        <v>25780</v>
      </c>
      <c r="B8046">
        <v>21410</v>
      </c>
      <c r="C8046">
        <v>54</v>
      </c>
      <c r="D8046">
        <v>573.29999999999995</v>
      </c>
      <c r="E8046">
        <v>10.6</v>
      </c>
    </row>
    <row r="8047" spans="1:5" x14ac:dyDescent="0.2">
      <c r="A8047">
        <v>25800</v>
      </c>
      <c r="B8047">
        <v>21436</v>
      </c>
      <c r="C8047">
        <v>57</v>
      </c>
      <c r="D8047">
        <v>572.1</v>
      </c>
      <c r="E8047">
        <v>11.1</v>
      </c>
    </row>
    <row r="8048" spans="1:5" x14ac:dyDescent="0.2">
      <c r="A8048">
        <v>25820</v>
      </c>
      <c r="B8048">
        <v>21463</v>
      </c>
      <c r="C8048">
        <v>61</v>
      </c>
      <c r="D8048">
        <v>570.6</v>
      </c>
      <c r="E8048">
        <v>12</v>
      </c>
    </row>
    <row r="8049" spans="1:5" x14ac:dyDescent="0.2">
      <c r="A8049">
        <v>25840</v>
      </c>
      <c r="B8049">
        <v>21492</v>
      </c>
      <c r="C8049">
        <v>68</v>
      </c>
      <c r="D8049">
        <v>568.70000000000005</v>
      </c>
      <c r="E8049">
        <v>13.4</v>
      </c>
    </row>
    <row r="8050" spans="1:5" x14ac:dyDescent="0.2">
      <c r="A8050">
        <v>25860</v>
      </c>
      <c r="B8050">
        <v>21526</v>
      </c>
      <c r="C8050">
        <v>76</v>
      </c>
      <c r="D8050">
        <v>566</v>
      </c>
      <c r="E8050">
        <v>14.8</v>
      </c>
    </row>
    <row r="8051" spans="1:5" x14ac:dyDescent="0.2">
      <c r="A8051">
        <v>25880</v>
      </c>
      <c r="B8051">
        <v>21564</v>
      </c>
      <c r="C8051">
        <v>84</v>
      </c>
      <c r="D8051">
        <v>562.29999999999995</v>
      </c>
      <c r="E8051">
        <v>16.399999999999999</v>
      </c>
    </row>
    <row r="8052" spans="1:5" x14ac:dyDescent="0.2">
      <c r="A8052">
        <v>25900</v>
      </c>
      <c r="B8052">
        <v>21608</v>
      </c>
      <c r="C8052">
        <v>92</v>
      </c>
      <c r="D8052">
        <v>557.5</v>
      </c>
      <c r="E8052">
        <v>17.899999999999999</v>
      </c>
    </row>
    <row r="8053" spans="1:5" x14ac:dyDescent="0.2">
      <c r="A8053">
        <v>25920</v>
      </c>
      <c r="B8053">
        <v>21657</v>
      </c>
      <c r="C8053">
        <v>100</v>
      </c>
      <c r="D8053">
        <v>551.79999999999995</v>
      </c>
      <c r="E8053">
        <v>19.2</v>
      </c>
    </row>
    <row r="8054" spans="1:5" x14ac:dyDescent="0.2">
      <c r="A8054">
        <v>25940</v>
      </c>
      <c r="B8054">
        <v>21709</v>
      </c>
      <c r="C8054">
        <v>106</v>
      </c>
      <c r="D8054">
        <v>545.70000000000005</v>
      </c>
      <c r="E8054">
        <v>20.399999999999999</v>
      </c>
    </row>
    <row r="8055" spans="1:5" x14ac:dyDescent="0.2">
      <c r="A8055">
        <v>25960</v>
      </c>
      <c r="B8055">
        <v>21760</v>
      </c>
      <c r="C8055">
        <v>111</v>
      </c>
      <c r="D8055">
        <v>539.5</v>
      </c>
      <c r="E8055">
        <v>21.2</v>
      </c>
    </row>
    <row r="8056" spans="1:5" x14ac:dyDescent="0.2">
      <c r="A8056">
        <v>25980</v>
      </c>
      <c r="B8056">
        <v>21809</v>
      </c>
      <c r="C8056">
        <v>112</v>
      </c>
      <c r="D8056">
        <v>533.79999999999995</v>
      </c>
      <c r="E8056">
        <v>21.5</v>
      </c>
    </row>
    <row r="8057" spans="1:5" x14ac:dyDescent="0.2">
      <c r="A8057">
        <v>26000</v>
      </c>
      <c r="B8057">
        <v>21854</v>
      </c>
      <c r="C8057">
        <v>108</v>
      </c>
      <c r="D8057">
        <v>528.9</v>
      </c>
      <c r="E8057">
        <v>20.6</v>
      </c>
    </row>
    <row r="8058" spans="1:5" x14ac:dyDescent="0.2">
      <c r="A8058">
        <v>26020</v>
      </c>
      <c r="B8058">
        <v>21893</v>
      </c>
      <c r="C8058">
        <v>98</v>
      </c>
      <c r="D8058">
        <v>525.20000000000005</v>
      </c>
      <c r="E8058">
        <v>18.7</v>
      </c>
    </row>
    <row r="8059" spans="1:5" x14ac:dyDescent="0.2">
      <c r="A8059">
        <v>26040</v>
      </c>
      <c r="B8059">
        <v>21923</v>
      </c>
      <c r="C8059">
        <v>83</v>
      </c>
      <c r="D8059">
        <v>523.1</v>
      </c>
      <c r="E8059">
        <v>15.8</v>
      </c>
    </row>
    <row r="8060" spans="1:5" x14ac:dyDescent="0.2">
      <c r="A8060">
        <v>26060</v>
      </c>
      <c r="B8060">
        <v>21946</v>
      </c>
      <c r="C8060">
        <v>68</v>
      </c>
      <c r="D8060">
        <v>522.5</v>
      </c>
      <c r="E8060">
        <v>12.8</v>
      </c>
    </row>
    <row r="8061" spans="1:5" x14ac:dyDescent="0.2">
      <c r="A8061">
        <v>26080</v>
      </c>
      <c r="B8061">
        <v>21962</v>
      </c>
      <c r="C8061">
        <v>58</v>
      </c>
      <c r="D8061">
        <v>523.1</v>
      </c>
      <c r="E8061">
        <v>11</v>
      </c>
    </row>
    <row r="8062" spans="1:5" x14ac:dyDescent="0.2">
      <c r="A8062">
        <v>26100</v>
      </c>
      <c r="B8062">
        <v>21972</v>
      </c>
      <c r="C8062">
        <v>58</v>
      </c>
      <c r="D8062">
        <v>525</v>
      </c>
      <c r="E8062">
        <v>10.9</v>
      </c>
    </row>
    <row r="8063" spans="1:5" x14ac:dyDescent="0.2">
      <c r="A8063">
        <v>26120</v>
      </c>
      <c r="B8063">
        <v>21976</v>
      </c>
      <c r="C8063">
        <v>62</v>
      </c>
      <c r="D8063">
        <v>527.9</v>
      </c>
      <c r="E8063">
        <v>11.8</v>
      </c>
    </row>
    <row r="8064" spans="1:5" x14ac:dyDescent="0.2">
      <c r="A8064">
        <v>26140</v>
      </c>
      <c r="B8064">
        <v>21976</v>
      </c>
      <c r="C8064">
        <v>68</v>
      </c>
      <c r="D8064">
        <v>531.6</v>
      </c>
      <c r="E8064">
        <v>13</v>
      </c>
    </row>
    <row r="8065" spans="1:5" x14ac:dyDescent="0.2">
      <c r="A8065">
        <v>26160</v>
      </c>
      <c r="B8065">
        <v>21973</v>
      </c>
      <c r="C8065">
        <v>72</v>
      </c>
      <c r="D8065">
        <v>535.9</v>
      </c>
      <c r="E8065">
        <v>13.8</v>
      </c>
    </row>
    <row r="8066" spans="1:5" x14ac:dyDescent="0.2">
      <c r="A8066">
        <v>26180</v>
      </c>
      <c r="B8066">
        <v>21969</v>
      </c>
      <c r="C8066">
        <v>75</v>
      </c>
      <c r="D8066">
        <v>540.29999999999995</v>
      </c>
      <c r="E8066">
        <v>14.3</v>
      </c>
    </row>
    <row r="8067" spans="1:5" x14ac:dyDescent="0.2">
      <c r="A8067">
        <v>26200</v>
      </c>
      <c r="B8067">
        <v>21966</v>
      </c>
      <c r="C8067">
        <v>75</v>
      </c>
      <c r="D8067">
        <v>544.6</v>
      </c>
      <c r="E8067">
        <v>14.4</v>
      </c>
    </row>
    <row r="8068" spans="1:5" x14ac:dyDescent="0.2">
      <c r="A8068">
        <v>26220</v>
      </c>
      <c r="B8068">
        <v>21965</v>
      </c>
      <c r="C8068">
        <v>73</v>
      </c>
      <c r="D8068">
        <v>548.5</v>
      </c>
      <c r="E8068">
        <v>14</v>
      </c>
    </row>
    <row r="8069" spans="1:5" x14ac:dyDescent="0.2">
      <c r="A8069">
        <v>26240</v>
      </c>
      <c r="B8069">
        <v>21968</v>
      </c>
      <c r="C8069">
        <v>67</v>
      </c>
      <c r="D8069">
        <v>551.70000000000005</v>
      </c>
      <c r="E8069">
        <v>12.9</v>
      </c>
    </row>
    <row r="8070" spans="1:5" x14ac:dyDescent="0.2">
      <c r="A8070">
        <v>26260</v>
      </c>
      <c r="B8070">
        <v>21975</v>
      </c>
      <c r="C8070">
        <v>60</v>
      </c>
      <c r="D8070">
        <v>554.1</v>
      </c>
      <c r="E8070">
        <v>11.6</v>
      </c>
    </row>
    <row r="8071" spans="1:5" x14ac:dyDescent="0.2">
      <c r="A8071">
        <v>26280</v>
      </c>
      <c r="B8071">
        <v>21987</v>
      </c>
      <c r="C8071">
        <v>55</v>
      </c>
      <c r="D8071">
        <v>555.6</v>
      </c>
      <c r="E8071">
        <v>10.7</v>
      </c>
    </row>
    <row r="8072" spans="1:5" x14ac:dyDescent="0.2">
      <c r="A8072">
        <v>26300</v>
      </c>
      <c r="B8072">
        <v>22004</v>
      </c>
      <c r="C8072">
        <v>56</v>
      </c>
      <c r="D8072">
        <v>556.1</v>
      </c>
      <c r="E8072">
        <v>10.8</v>
      </c>
    </row>
    <row r="8073" spans="1:5" x14ac:dyDescent="0.2">
      <c r="A8073">
        <v>26320</v>
      </c>
      <c r="B8073">
        <v>22027</v>
      </c>
      <c r="C8073">
        <v>63</v>
      </c>
      <c r="D8073">
        <v>555.4</v>
      </c>
      <c r="E8073">
        <v>12.2</v>
      </c>
    </row>
    <row r="8074" spans="1:5" x14ac:dyDescent="0.2">
      <c r="A8074">
        <v>26340</v>
      </c>
      <c r="B8074">
        <v>22056</v>
      </c>
      <c r="C8074">
        <v>74</v>
      </c>
      <c r="D8074">
        <v>553.5</v>
      </c>
      <c r="E8074">
        <v>14.4</v>
      </c>
    </row>
    <row r="8075" spans="1:5" x14ac:dyDescent="0.2">
      <c r="A8075">
        <v>26360</v>
      </c>
      <c r="B8075">
        <v>22092</v>
      </c>
      <c r="C8075">
        <v>88</v>
      </c>
      <c r="D8075">
        <v>550.29999999999995</v>
      </c>
      <c r="E8075">
        <v>16.899999999999999</v>
      </c>
    </row>
    <row r="8076" spans="1:5" x14ac:dyDescent="0.2">
      <c r="A8076">
        <v>26380</v>
      </c>
      <c r="B8076">
        <v>22135</v>
      </c>
      <c r="C8076">
        <v>100</v>
      </c>
      <c r="D8076">
        <v>545.79999999999995</v>
      </c>
      <c r="E8076">
        <v>19.3</v>
      </c>
    </row>
    <row r="8077" spans="1:5" x14ac:dyDescent="0.2">
      <c r="A8077">
        <v>26400</v>
      </c>
      <c r="B8077">
        <v>22183</v>
      </c>
      <c r="C8077">
        <v>112</v>
      </c>
      <c r="D8077">
        <v>540.5</v>
      </c>
      <c r="E8077">
        <v>21.5</v>
      </c>
    </row>
    <row r="8078" spans="1:5" x14ac:dyDescent="0.2">
      <c r="A8078">
        <v>26420</v>
      </c>
      <c r="B8078">
        <v>22232</v>
      </c>
      <c r="C8078">
        <v>122</v>
      </c>
      <c r="D8078">
        <v>534.70000000000005</v>
      </c>
      <c r="E8078">
        <v>23.3</v>
      </c>
    </row>
    <row r="8079" spans="1:5" x14ac:dyDescent="0.2">
      <c r="A8079">
        <v>26440</v>
      </c>
      <c r="B8079">
        <v>22282</v>
      </c>
      <c r="C8079">
        <v>128</v>
      </c>
      <c r="D8079">
        <v>528.9</v>
      </c>
      <c r="E8079">
        <v>24.4</v>
      </c>
    </row>
    <row r="8080" spans="1:5" x14ac:dyDescent="0.2">
      <c r="A8080">
        <v>26460</v>
      </c>
      <c r="B8080">
        <v>22329</v>
      </c>
      <c r="C8080">
        <v>130</v>
      </c>
      <c r="D8080">
        <v>523.70000000000005</v>
      </c>
      <c r="E8080">
        <v>24.7</v>
      </c>
    </row>
    <row r="8081" spans="1:5" x14ac:dyDescent="0.2">
      <c r="A8081">
        <v>26480</v>
      </c>
      <c r="B8081">
        <v>22372</v>
      </c>
      <c r="C8081">
        <v>126</v>
      </c>
      <c r="D8081">
        <v>519.29999999999995</v>
      </c>
      <c r="E8081">
        <v>24</v>
      </c>
    </row>
    <row r="8082" spans="1:5" x14ac:dyDescent="0.2">
      <c r="A8082">
        <v>26500</v>
      </c>
      <c r="B8082">
        <v>22405</v>
      </c>
      <c r="C8082">
        <v>116</v>
      </c>
      <c r="D8082">
        <v>516.6</v>
      </c>
      <c r="E8082">
        <v>22</v>
      </c>
    </row>
    <row r="8083" spans="1:5" x14ac:dyDescent="0.2">
      <c r="A8083">
        <v>26520</v>
      </c>
      <c r="B8083">
        <v>22430</v>
      </c>
      <c r="C8083">
        <v>99</v>
      </c>
      <c r="D8083">
        <v>515.5</v>
      </c>
      <c r="E8083">
        <v>18.7</v>
      </c>
    </row>
    <row r="8084" spans="1:5" x14ac:dyDescent="0.2">
      <c r="A8084">
        <v>26540</v>
      </c>
      <c r="B8084">
        <v>22445</v>
      </c>
      <c r="C8084">
        <v>79</v>
      </c>
      <c r="D8084">
        <v>516.29999999999995</v>
      </c>
      <c r="E8084">
        <v>14.9</v>
      </c>
    </row>
    <row r="8085" spans="1:5" x14ac:dyDescent="0.2">
      <c r="A8085">
        <v>26560</v>
      </c>
      <c r="B8085">
        <v>22452</v>
      </c>
      <c r="C8085">
        <v>62</v>
      </c>
      <c r="D8085">
        <v>518.70000000000005</v>
      </c>
      <c r="E8085">
        <v>11.8</v>
      </c>
    </row>
    <row r="8086" spans="1:5" x14ac:dyDescent="0.2">
      <c r="A8086">
        <v>26580</v>
      </c>
      <c r="B8086">
        <v>22452</v>
      </c>
      <c r="C8086">
        <v>61</v>
      </c>
      <c r="D8086">
        <v>522.29999999999995</v>
      </c>
      <c r="E8086">
        <v>11.6</v>
      </c>
    </row>
    <row r="8087" spans="1:5" x14ac:dyDescent="0.2">
      <c r="A8087">
        <v>26600</v>
      </c>
      <c r="B8087">
        <v>22447</v>
      </c>
      <c r="C8087">
        <v>77</v>
      </c>
      <c r="D8087">
        <v>527</v>
      </c>
      <c r="E8087">
        <v>14.7</v>
      </c>
    </row>
    <row r="8088" spans="1:5" x14ac:dyDescent="0.2">
      <c r="A8088">
        <v>26620</v>
      </c>
      <c r="B8088">
        <v>22438</v>
      </c>
      <c r="C8088">
        <v>99</v>
      </c>
      <c r="D8088">
        <v>532.5</v>
      </c>
      <c r="E8088">
        <v>18.8</v>
      </c>
    </row>
    <row r="8089" spans="1:5" x14ac:dyDescent="0.2">
      <c r="A8089">
        <v>26640</v>
      </c>
      <c r="B8089">
        <v>22426</v>
      </c>
      <c r="C8089">
        <v>118</v>
      </c>
      <c r="D8089">
        <v>538.5</v>
      </c>
      <c r="E8089">
        <v>22.6</v>
      </c>
    </row>
    <row r="8090" spans="1:5" x14ac:dyDescent="0.2">
      <c r="A8090">
        <v>26660</v>
      </c>
      <c r="B8090">
        <v>22413</v>
      </c>
      <c r="C8090">
        <v>130</v>
      </c>
      <c r="D8090">
        <v>544.79999999999995</v>
      </c>
      <c r="E8090">
        <v>25</v>
      </c>
    </row>
    <row r="8091" spans="1:5" x14ac:dyDescent="0.2">
      <c r="A8091">
        <v>26680</v>
      </c>
      <c r="B8091">
        <v>22399</v>
      </c>
      <c r="C8091">
        <v>132</v>
      </c>
      <c r="D8091">
        <v>551.20000000000005</v>
      </c>
      <c r="E8091">
        <v>25.5</v>
      </c>
    </row>
    <row r="8092" spans="1:5" x14ac:dyDescent="0.2">
      <c r="A8092">
        <v>26700</v>
      </c>
      <c r="B8092">
        <v>22386</v>
      </c>
      <c r="C8092">
        <v>127</v>
      </c>
      <c r="D8092">
        <v>557.4</v>
      </c>
      <c r="E8092">
        <v>24.5</v>
      </c>
    </row>
    <row r="8093" spans="1:5" x14ac:dyDescent="0.2">
      <c r="A8093">
        <v>26720</v>
      </c>
      <c r="B8093">
        <v>22375</v>
      </c>
      <c r="C8093">
        <v>115</v>
      </c>
      <c r="D8093">
        <v>563.4</v>
      </c>
      <c r="E8093">
        <v>22.3</v>
      </c>
    </row>
    <row r="8094" spans="1:5" x14ac:dyDescent="0.2">
      <c r="A8094">
        <v>26740</v>
      </c>
      <c r="B8094">
        <v>22366</v>
      </c>
      <c r="C8094">
        <v>100</v>
      </c>
      <c r="D8094">
        <v>568.9</v>
      </c>
      <c r="E8094">
        <v>19.399999999999999</v>
      </c>
    </row>
    <row r="8095" spans="1:5" x14ac:dyDescent="0.2">
      <c r="A8095">
        <v>26760</v>
      </c>
      <c r="B8095">
        <v>22359</v>
      </c>
      <c r="C8095">
        <v>84</v>
      </c>
      <c r="D8095">
        <v>574</v>
      </c>
      <c r="E8095">
        <v>16.3</v>
      </c>
    </row>
    <row r="8096" spans="1:5" x14ac:dyDescent="0.2">
      <c r="A8096">
        <v>26780</v>
      </c>
      <c r="B8096">
        <v>22356</v>
      </c>
      <c r="C8096">
        <v>70</v>
      </c>
      <c r="D8096">
        <v>578.29999999999995</v>
      </c>
      <c r="E8096">
        <v>13.7</v>
      </c>
    </row>
    <row r="8097" spans="1:5" x14ac:dyDescent="0.2">
      <c r="A8097">
        <v>26800</v>
      </c>
      <c r="B8097">
        <v>22358</v>
      </c>
      <c r="C8097">
        <v>61</v>
      </c>
      <c r="D8097">
        <v>581.79999999999995</v>
      </c>
      <c r="E8097">
        <v>12.1</v>
      </c>
    </row>
    <row r="8098" spans="1:5" x14ac:dyDescent="0.2">
      <c r="A8098">
        <v>26820</v>
      </c>
      <c r="B8098">
        <v>22365</v>
      </c>
      <c r="C8098">
        <v>58</v>
      </c>
      <c r="D8098">
        <v>584.20000000000005</v>
      </c>
      <c r="E8098">
        <v>11.5</v>
      </c>
    </row>
    <row r="8099" spans="1:5" x14ac:dyDescent="0.2">
      <c r="A8099">
        <v>26840</v>
      </c>
      <c r="B8099">
        <v>22378</v>
      </c>
      <c r="C8099">
        <v>58</v>
      </c>
      <c r="D8099">
        <v>585.6</v>
      </c>
      <c r="E8099">
        <v>11.5</v>
      </c>
    </row>
    <row r="8100" spans="1:5" x14ac:dyDescent="0.2">
      <c r="A8100">
        <v>26860</v>
      </c>
      <c r="B8100">
        <v>22395</v>
      </c>
      <c r="C8100">
        <v>60</v>
      </c>
      <c r="D8100">
        <v>586</v>
      </c>
      <c r="E8100">
        <v>11.8</v>
      </c>
    </row>
    <row r="8101" spans="1:5" x14ac:dyDescent="0.2">
      <c r="A8101">
        <v>26880</v>
      </c>
      <c r="B8101">
        <v>22417</v>
      </c>
      <c r="C8101">
        <v>62</v>
      </c>
      <c r="D8101">
        <v>585.6</v>
      </c>
      <c r="E8101">
        <v>12.1</v>
      </c>
    </row>
    <row r="8102" spans="1:5" x14ac:dyDescent="0.2">
      <c r="A8102">
        <v>26900</v>
      </c>
      <c r="B8102">
        <v>22441</v>
      </c>
      <c r="C8102">
        <v>63</v>
      </c>
      <c r="D8102">
        <v>584.6</v>
      </c>
      <c r="E8102">
        <v>12.4</v>
      </c>
    </row>
    <row r="8103" spans="1:5" x14ac:dyDescent="0.2">
      <c r="A8103">
        <v>26920</v>
      </c>
      <c r="B8103">
        <v>22467</v>
      </c>
      <c r="C8103">
        <v>64</v>
      </c>
      <c r="D8103">
        <v>583.4</v>
      </c>
      <c r="E8103">
        <v>12.5</v>
      </c>
    </row>
    <row r="8104" spans="1:5" x14ac:dyDescent="0.2">
      <c r="A8104">
        <v>26940</v>
      </c>
      <c r="B8104">
        <v>22493</v>
      </c>
      <c r="C8104">
        <v>64</v>
      </c>
      <c r="D8104">
        <v>581.9</v>
      </c>
      <c r="E8104">
        <v>12.7</v>
      </c>
    </row>
    <row r="8105" spans="1:5" x14ac:dyDescent="0.2">
      <c r="A8105">
        <v>26960</v>
      </c>
      <c r="B8105">
        <v>22520</v>
      </c>
      <c r="C8105">
        <v>64</v>
      </c>
      <c r="D8105">
        <v>580.6</v>
      </c>
      <c r="E8105">
        <v>12.6</v>
      </c>
    </row>
    <row r="8106" spans="1:5" x14ac:dyDescent="0.2">
      <c r="A8106">
        <v>26980</v>
      </c>
      <c r="B8106">
        <v>22545</v>
      </c>
      <c r="C8106">
        <v>63</v>
      </c>
      <c r="D8106">
        <v>579.4</v>
      </c>
      <c r="E8106">
        <v>12.4</v>
      </c>
    </row>
    <row r="8107" spans="1:5" x14ac:dyDescent="0.2">
      <c r="A8107">
        <v>27000</v>
      </c>
      <c r="B8107">
        <v>22568</v>
      </c>
      <c r="C8107">
        <v>61</v>
      </c>
      <c r="D8107">
        <v>578.79999999999995</v>
      </c>
      <c r="E8107">
        <v>12</v>
      </c>
    </row>
    <row r="8108" spans="1:5" x14ac:dyDescent="0.2">
      <c r="A8108">
        <v>27020</v>
      </c>
      <c r="B8108">
        <v>22587</v>
      </c>
      <c r="C8108">
        <v>58</v>
      </c>
      <c r="D8108">
        <v>578.70000000000005</v>
      </c>
      <c r="E8108">
        <v>11.4</v>
      </c>
    </row>
    <row r="8109" spans="1:5" x14ac:dyDescent="0.2">
      <c r="A8109">
        <v>27040</v>
      </c>
      <c r="B8109">
        <v>22606</v>
      </c>
      <c r="C8109">
        <v>56</v>
      </c>
      <c r="D8109">
        <v>579</v>
      </c>
      <c r="E8109">
        <v>11</v>
      </c>
    </row>
    <row r="8110" spans="1:5" x14ac:dyDescent="0.2">
      <c r="A8110">
        <v>27060</v>
      </c>
      <c r="B8110">
        <v>22623</v>
      </c>
      <c r="C8110">
        <v>56</v>
      </c>
      <c r="D8110">
        <v>579.4</v>
      </c>
      <c r="E8110">
        <v>11</v>
      </c>
    </row>
    <row r="8111" spans="1:5" x14ac:dyDescent="0.2">
      <c r="A8111">
        <v>27080</v>
      </c>
      <c r="B8111">
        <v>22641</v>
      </c>
      <c r="C8111">
        <v>56</v>
      </c>
      <c r="D8111">
        <v>579.70000000000005</v>
      </c>
      <c r="E8111">
        <v>11.1</v>
      </c>
    </row>
    <row r="8112" spans="1:5" x14ac:dyDescent="0.2">
      <c r="A8112">
        <v>27100</v>
      </c>
      <c r="B8112">
        <v>22660</v>
      </c>
      <c r="C8112">
        <v>57</v>
      </c>
      <c r="D8112">
        <v>579.70000000000005</v>
      </c>
      <c r="E8112">
        <v>11.2</v>
      </c>
    </row>
    <row r="8113" spans="1:5" x14ac:dyDescent="0.2">
      <c r="A8113">
        <v>27120</v>
      </c>
      <c r="B8113">
        <v>22683</v>
      </c>
      <c r="C8113">
        <v>57</v>
      </c>
      <c r="D8113">
        <v>579.1</v>
      </c>
      <c r="E8113">
        <v>11.2</v>
      </c>
    </row>
    <row r="8114" spans="1:5" x14ac:dyDescent="0.2">
      <c r="A8114">
        <v>27140</v>
      </c>
      <c r="B8114">
        <v>22707</v>
      </c>
      <c r="C8114">
        <v>59</v>
      </c>
      <c r="D8114">
        <v>578.1</v>
      </c>
      <c r="E8114">
        <v>11.5</v>
      </c>
    </row>
    <row r="8115" spans="1:5" x14ac:dyDescent="0.2">
      <c r="A8115">
        <v>27160</v>
      </c>
      <c r="B8115">
        <v>22736</v>
      </c>
      <c r="C8115">
        <v>62</v>
      </c>
      <c r="D8115">
        <v>576.20000000000005</v>
      </c>
      <c r="E8115">
        <v>12.2</v>
      </c>
    </row>
    <row r="8116" spans="1:5" x14ac:dyDescent="0.2">
      <c r="A8116">
        <v>27180</v>
      </c>
      <c r="B8116">
        <v>22769</v>
      </c>
      <c r="C8116">
        <v>67</v>
      </c>
      <c r="D8116">
        <v>573.5</v>
      </c>
      <c r="E8116">
        <v>13.1</v>
      </c>
    </row>
    <row r="8117" spans="1:5" x14ac:dyDescent="0.2">
      <c r="A8117">
        <v>27200</v>
      </c>
      <c r="B8117">
        <v>22808</v>
      </c>
      <c r="C8117">
        <v>72</v>
      </c>
      <c r="D8117">
        <v>569.9</v>
      </c>
      <c r="E8117">
        <v>14.1</v>
      </c>
    </row>
    <row r="8118" spans="1:5" x14ac:dyDescent="0.2">
      <c r="A8118">
        <v>27220</v>
      </c>
      <c r="B8118">
        <v>22851</v>
      </c>
      <c r="C8118">
        <v>76</v>
      </c>
      <c r="D8118">
        <v>565.20000000000005</v>
      </c>
      <c r="E8118">
        <v>14.9</v>
      </c>
    </row>
    <row r="8119" spans="1:5" x14ac:dyDescent="0.2">
      <c r="A8119">
        <v>27240</v>
      </c>
      <c r="B8119">
        <v>22900</v>
      </c>
      <c r="C8119">
        <v>78</v>
      </c>
      <c r="D8119">
        <v>559.5</v>
      </c>
      <c r="E8119">
        <v>15.2</v>
      </c>
    </row>
    <row r="8120" spans="1:5" x14ac:dyDescent="0.2">
      <c r="A8120">
        <v>27260</v>
      </c>
      <c r="B8120">
        <v>22952</v>
      </c>
      <c r="C8120">
        <v>79</v>
      </c>
      <c r="D8120">
        <v>553.20000000000005</v>
      </c>
      <c r="E8120">
        <v>15.3</v>
      </c>
    </row>
    <row r="8121" spans="1:5" x14ac:dyDescent="0.2">
      <c r="A8121">
        <v>27280</v>
      </c>
      <c r="B8121">
        <v>23006</v>
      </c>
      <c r="C8121">
        <v>79</v>
      </c>
      <c r="D8121">
        <v>546.6</v>
      </c>
      <c r="E8121">
        <v>15.1</v>
      </c>
    </row>
    <row r="8122" spans="1:5" x14ac:dyDescent="0.2">
      <c r="A8122">
        <v>27300</v>
      </c>
      <c r="B8122">
        <v>23058</v>
      </c>
      <c r="C8122">
        <v>78</v>
      </c>
      <c r="D8122">
        <v>540.20000000000005</v>
      </c>
      <c r="E8122">
        <v>14.9</v>
      </c>
    </row>
    <row r="8123" spans="1:5" x14ac:dyDescent="0.2">
      <c r="A8123">
        <v>27320</v>
      </c>
      <c r="B8123">
        <v>23108</v>
      </c>
      <c r="C8123">
        <v>76</v>
      </c>
      <c r="D8123">
        <v>534.5</v>
      </c>
      <c r="E8123">
        <v>14.5</v>
      </c>
    </row>
    <row r="8124" spans="1:5" x14ac:dyDescent="0.2">
      <c r="A8124">
        <v>27340</v>
      </c>
      <c r="B8124">
        <v>23151</v>
      </c>
      <c r="C8124">
        <v>73</v>
      </c>
      <c r="D8124">
        <v>529.79999999999995</v>
      </c>
      <c r="E8124">
        <v>13.9</v>
      </c>
    </row>
    <row r="8125" spans="1:5" x14ac:dyDescent="0.2">
      <c r="A8125">
        <v>27360</v>
      </c>
      <c r="B8125">
        <v>23188</v>
      </c>
      <c r="C8125">
        <v>69</v>
      </c>
      <c r="D8125">
        <v>526.6</v>
      </c>
      <c r="E8125">
        <v>13.1</v>
      </c>
    </row>
    <row r="8126" spans="1:5" x14ac:dyDescent="0.2">
      <c r="A8126">
        <v>27380</v>
      </c>
      <c r="B8126">
        <v>23218</v>
      </c>
      <c r="C8126">
        <v>64</v>
      </c>
      <c r="D8126">
        <v>524.6</v>
      </c>
      <c r="E8126">
        <v>12.2</v>
      </c>
    </row>
    <row r="8127" spans="1:5" x14ac:dyDescent="0.2">
      <c r="A8127">
        <v>27400</v>
      </c>
      <c r="B8127">
        <v>23241</v>
      </c>
      <c r="C8127">
        <v>61</v>
      </c>
      <c r="D8127">
        <v>523.79999999999995</v>
      </c>
      <c r="E8127">
        <v>11.5</v>
      </c>
    </row>
    <row r="8128" spans="1:5" x14ac:dyDescent="0.2">
      <c r="A8128">
        <v>27420</v>
      </c>
      <c r="B8128">
        <v>23259</v>
      </c>
      <c r="C8128">
        <v>60</v>
      </c>
      <c r="D8128">
        <v>524.1</v>
      </c>
      <c r="E8128">
        <v>11.4</v>
      </c>
    </row>
    <row r="8129" spans="1:5" x14ac:dyDescent="0.2">
      <c r="A8129">
        <v>27440</v>
      </c>
      <c r="B8129">
        <v>23272</v>
      </c>
      <c r="C8129">
        <v>62</v>
      </c>
      <c r="D8129">
        <v>525.29999999999995</v>
      </c>
      <c r="E8129">
        <v>11.9</v>
      </c>
    </row>
    <row r="8130" spans="1:5" x14ac:dyDescent="0.2">
      <c r="A8130">
        <v>27460</v>
      </c>
      <c r="B8130">
        <v>23281</v>
      </c>
      <c r="C8130">
        <v>67</v>
      </c>
      <c r="D8130">
        <v>527.29999999999995</v>
      </c>
      <c r="E8130">
        <v>12.7</v>
      </c>
    </row>
    <row r="8131" spans="1:5" x14ac:dyDescent="0.2">
      <c r="A8131">
        <v>27480</v>
      </c>
      <c r="B8131">
        <v>23286</v>
      </c>
      <c r="C8131">
        <v>71</v>
      </c>
      <c r="D8131">
        <v>530</v>
      </c>
      <c r="E8131">
        <v>13.6</v>
      </c>
    </row>
    <row r="8132" spans="1:5" x14ac:dyDescent="0.2">
      <c r="A8132">
        <v>27500</v>
      </c>
      <c r="B8132">
        <v>23289</v>
      </c>
      <c r="C8132">
        <v>74</v>
      </c>
      <c r="D8132">
        <v>533.29999999999995</v>
      </c>
      <c r="E8132">
        <v>14.2</v>
      </c>
    </row>
    <row r="8133" spans="1:5" x14ac:dyDescent="0.2">
      <c r="A8133">
        <v>27520</v>
      </c>
      <c r="B8133">
        <v>23289</v>
      </c>
      <c r="C8133">
        <v>75</v>
      </c>
      <c r="D8133">
        <v>536.9</v>
      </c>
      <c r="E8133">
        <v>14.4</v>
      </c>
    </row>
    <row r="8134" spans="1:5" x14ac:dyDescent="0.2">
      <c r="A8134">
        <v>27540</v>
      </c>
      <c r="B8134">
        <v>23288</v>
      </c>
      <c r="C8134">
        <v>74</v>
      </c>
      <c r="D8134">
        <v>540.79999999999995</v>
      </c>
      <c r="E8134">
        <v>14.1</v>
      </c>
    </row>
    <row r="8135" spans="1:5" x14ac:dyDescent="0.2">
      <c r="A8135">
        <v>27560</v>
      </c>
      <c r="B8135">
        <v>23289</v>
      </c>
      <c r="C8135">
        <v>72</v>
      </c>
      <c r="D8135">
        <v>544.29999999999995</v>
      </c>
      <c r="E8135">
        <v>13.8</v>
      </c>
    </row>
    <row r="8136" spans="1:5" x14ac:dyDescent="0.2">
      <c r="A8136">
        <v>27580</v>
      </c>
      <c r="B8136">
        <v>23293</v>
      </c>
      <c r="C8136">
        <v>70</v>
      </c>
      <c r="D8136">
        <v>547.4</v>
      </c>
      <c r="E8136">
        <v>13.4</v>
      </c>
    </row>
    <row r="8137" spans="1:5" x14ac:dyDescent="0.2">
      <c r="A8137">
        <v>27600</v>
      </c>
      <c r="B8137">
        <v>23302</v>
      </c>
      <c r="C8137">
        <v>68</v>
      </c>
      <c r="D8137">
        <v>549.4</v>
      </c>
      <c r="E8137">
        <v>13.1</v>
      </c>
    </row>
    <row r="8138" spans="1:5" x14ac:dyDescent="0.2">
      <c r="A8138">
        <v>27620</v>
      </c>
      <c r="B8138">
        <v>23317</v>
      </c>
      <c r="C8138">
        <v>67</v>
      </c>
      <c r="D8138">
        <v>550.20000000000005</v>
      </c>
      <c r="E8138">
        <v>13</v>
      </c>
    </row>
    <row r="8139" spans="1:5" x14ac:dyDescent="0.2">
      <c r="A8139">
        <v>27640</v>
      </c>
      <c r="B8139">
        <v>23339</v>
      </c>
      <c r="C8139">
        <v>70</v>
      </c>
      <c r="D8139">
        <v>549.6</v>
      </c>
      <c r="E8139">
        <v>13.5</v>
      </c>
    </row>
    <row r="8140" spans="1:5" x14ac:dyDescent="0.2">
      <c r="A8140">
        <v>27660</v>
      </c>
      <c r="B8140">
        <v>23368</v>
      </c>
      <c r="C8140">
        <v>77</v>
      </c>
      <c r="D8140">
        <v>547.9</v>
      </c>
      <c r="E8140">
        <v>14.8</v>
      </c>
    </row>
    <row r="8141" spans="1:5" x14ac:dyDescent="0.2">
      <c r="A8141">
        <v>27680</v>
      </c>
      <c r="B8141">
        <v>23403</v>
      </c>
      <c r="C8141">
        <v>88</v>
      </c>
      <c r="D8141">
        <v>544.9</v>
      </c>
      <c r="E8141">
        <v>16.8</v>
      </c>
    </row>
    <row r="8142" spans="1:5" x14ac:dyDescent="0.2">
      <c r="A8142">
        <v>27700</v>
      </c>
      <c r="B8142">
        <v>23443</v>
      </c>
      <c r="C8142">
        <v>98</v>
      </c>
      <c r="D8142">
        <v>540.9</v>
      </c>
      <c r="E8142">
        <v>18.8</v>
      </c>
    </row>
    <row r="8143" spans="1:5" x14ac:dyDescent="0.2">
      <c r="A8143">
        <v>27720</v>
      </c>
      <c r="B8143">
        <v>23489</v>
      </c>
      <c r="C8143">
        <v>107</v>
      </c>
      <c r="D8143">
        <v>536</v>
      </c>
      <c r="E8143">
        <v>20.5</v>
      </c>
    </row>
    <row r="8144" spans="1:5" x14ac:dyDescent="0.2">
      <c r="A8144">
        <v>27740</v>
      </c>
      <c r="B8144">
        <v>23539</v>
      </c>
      <c r="C8144">
        <v>113</v>
      </c>
      <c r="D8144">
        <v>530</v>
      </c>
      <c r="E8144">
        <v>21.4</v>
      </c>
    </row>
    <row r="8145" spans="1:5" x14ac:dyDescent="0.2">
      <c r="A8145">
        <v>27760</v>
      </c>
      <c r="B8145">
        <v>23593</v>
      </c>
      <c r="C8145">
        <v>114</v>
      </c>
      <c r="D8145">
        <v>523.6</v>
      </c>
      <c r="E8145">
        <v>21.7</v>
      </c>
    </row>
    <row r="8146" spans="1:5" x14ac:dyDescent="0.2">
      <c r="A8146">
        <v>27780</v>
      </c>
      <c r="B8146">
        <v>23648</v>
      </c>
      <c r="C8146">
        <v>114</v>
      </c>
      <c r="D8146">
        <v>516.79999999999995</v>
      </c>
      <c r="E8146">
        <v>21.6</v>
      </c>
    </row>
    <row r="8147" spans="1:5" x14ac:dyDescent="0.2">
      <c r="A8147">
        <v>27800</v>
      </c>
      <c r="B8147">
        <v>23702</v>
      </c>
      <c r="C8147">
        <v>114</v>
      </c>
      <c r="D8147">
        <v>510.3</v>
      </c>
      <c r="E8147">
        <v>21.5</v>
      </c>
    </row>
    <row r="8148" spans="1:5" x14ac:dyDescent="0.2">
      <c r="A8148">
        <v>27820</v>
      </c>
      <c r="B8148">
        <v>23753</v>
      </c>
      <c r="C8148">
        <v>112</v>
      </c>
      <c r="D8148">
        <v>504.3</v>
      </c>
      <c r="E8148">
        <v>21</v>
      </c>
    </row>
    <row r="8149" spans="1:5" x14ac:dyDescent="0.2">
      <c r="A8149">
        <v>27840</v>
      </c>
      <c r="B8149">
        <v>23799</v>
      </c>
      <c r="C8149">
        <v>109</v>
      </c>
      <c r="D8149">
        <v>499.4</v>
      </c>
      <c r="E8149">
        <v>20.399999999999999</v>
      </c>
    </row>
    <row r="8150" spans="1:5" x14ac:dyDescent="0.2">
      <c r="A8150">
        <v>27860</v>
      </c>
      <c r="B8150">
        <v>23838</v>
      </c>
      <c r="C8150">
        <v>102</v>
      </c>
      <c r="D8150">
        <v>495.7</v>
      </c>
      <c r="E8150">
        <v>19</v>
      </c>
    </row>
    <row r="8151" spans="1:5" x14ac:dyDescent="0.2">
      <c r="A8151">
        <v>27880</v>
      </c>
      <c r="B8151">
        <v>23870</v>
      </c>
      <c r="C8151">
        <v>93</v>
      </c>
      <c r="D8151">
        <v>493.3</v>
      </c>
      <c r="E8151">
        <v>17.3</v>
      </c>
    </row>
    <row r="8152" spans="1:5" x14ac:dyDescent="0.2">
      <c r="A8152">
        <v>27900</v>
      </c>
      <c r="B8152">
        <v>23897</v>
      </c>
      <c r="C8152">
        <v>84</v>
      </c>
      <c r="D8152">
        <v>491.9</v>
      </c>
      <c r="E8152">
        <v>15.7</v>
      </c>
    </row>
    <row r="8153" spans="1:5" x14ac:dyDescent="0.2">
      <c r="A8153">
        <v>27920</v>
      </c>
      <c r="B8153">
        <v>23919</v>
      </c>
      <c r="C8153">
        <v>78</v>
      </c>
      <c r="D8153">
        <v>491.4</v>
      </c>
      <c r="E8153">
        <v>14.4</v>
      </c>
    </row>
    <row r="8154" spans="1:5" x14ac:dyDescent="0.2">
      <c r="A8154">
        <v>27940</v>
      </c>
      <c r="B8154">
        <v>23938</v>
      </c>
      <c r="C8154">
        <v>74</v>
      </c>
      <c r="D8154">
        <v>491.6</v>
      </c>
      <c r="E8154">
        <v>13.8</v>
      </c>
    </row>
    <row r="8155" spans="1:5" x14ac:dyDescent="0.2">
      <c r="A8155">
        <v>27960</v>
      </c>
      <c r="B8155">
        <v>23954</v>
      </c>
      <c r="C8155">
        <v>73</v>
      </c>
      <c r="D8155">
        <v>492.1</v>
      </c>
      <c r="E8155">
        <v>13.5</v>
      </c>
    </row>
    <row r="8156" spans="1:5" x14ac:dyDescent="0.2">
      <c r="A8156">
        <v>27980</v>
      </c>
      <c r="B8156">
        <v>23968</v>
      </c>
      <c r="C8156">
        <v>71</v>
      </c>
      <c r="D8156">
        <v>493.1</v>
      </c>
      <c r="E8156">
        <v>13.3</v>
      </c>
    </row>
    <row r="8157" spans="1:5" x14ac:dyDescent="0.2">
      <c r="A8157">
        <v>28000</v>
      </c>
      <c r="B8157">
        <v>23981</v>
      </c>
      <c r="C8157">
        <v>70</v>
      </c>
      <c r="D8157">
        <v>494.3</v>
      </c>
      <c r="E8157">
        <v>13</v>
      </c>
    </row>
    <row r="8158" spans="1:5" x14ac:dyDescent="0.2">
      <c r="A8158">
        <v>28020</v>
      </c>
      <c r="B8158">
        <v>23993</v>
      </c>
      <c r="C8158">
        <v>69</v>
      </c>
      <c r="D8158">
        <v>495.7</v>
      </c>
      <c r="E8158">
        <v>12.8</v>
      </c>
    </row>
    <row r="8159" spans="1:5" x14ac:dyDescent="0.2">
      <c r="A8159">
        <v>28040</v>
      </c>
      <c r="B8159">
        <v>24004</v>
      </c>
      <c r="C8159">
        <v>69</v>
      </c>
      <c r="D8159">
        <v>497.3</v>
      </c>
      <c r="E8159">
        <v>12.9</v>
      </c>
    </row>
    <row r="8160" spans="1:5" x14ac:dyDescent="0.2">
      <c r="A8160">
        <v>28060</v>
      </c>
      <c r="B8160">
        <v>24013</v>
      </c>
      <c r="C8160">
        <v>70</v>
      </c>
      <c r="D8160">
        <v>499.2</v>
      </c>
      <c r="E8160">
        <v>13.1</v>
      </c>
    </row>
    <row r="8161" spans="1:5" x14ac:dyDescent="0.2">
      <c r="A8161">
        <v>28080</v>
      </c>
      <c r="B8161">
        <v>24021</v>
      </c>
      <c r="C8161">
        <v>70</v>
      </c>
      <c r="D8161">
        <v>501.3</v>
      </c>
      <c r="E8161">
        <v>13.1</v>
      </c>
    </row>
    <row r="8162" spans="1:5" x14ac:dyDescent="0.2">
      <c r="A8162">
        <v>28100</v>
      </c>
      <c r="B8162">
        <v>24029</v>
      </c>
      <c r="C8162">
        <v>69</v>
      </c>
      <c r="D8162">
        <v>503.5</v>
      </c>
      <c r="E8162">
        <v>12.8</v>
      </c>
    </row>
    <row r="8163" spans="1:5" x14ac:dyDescent="0.2">
      <c r="A8163">
        <v>28120</v>
      </c>
      <c r="B8163">
        <v>24035</v>
      </c>
      <c r="C8163">
        <v>66</v>
      </c>
      <c r="D8163">
        <v>505.9</v>
      </c>
      <c r="E8163">
        <v>12.4</v>
      </c>
    </row>
    <row r="8164" spans="1:5" x14ac:dyDescent="0.2">
      <c r="A8164">
        <v>28140</v>
      </c>
      <c r="B8164">
        <v>24041</v>
      </c>
      <c r="C8164">
        <v>65</v>
      </c>
      <c r="D8164">
        <v>508.5</v>
      </c>
      <c r="E8164">
        <v>12.3</v>
      </c>
    </row>
    <row r="8165" spans="1:5" x14ac:dyDescent="0.2">
      <c r="A8165">
        <v>28160</v>
      </c>
      <c r="B8165">
        <v>24046</v>
      </c>
      <c r="C8165">
        <v>64</v>
      </c>
      <c r="D8165">
        <v>511.2</v>
      </c>
      <c r="E8165">
        <v>12</v>
      </c>
    </row>
    <row r="8166" spans="1:5" x14ac:dyDescent="0.2">
      <c r="A8166">
        <v>28180</v>
      </c>
      <c r="B8166">
        <v>24051</v>
      </c>
      <c r="C8166">
        <v>61</v>
      </c>
      <c r="D8166">
        <v>513.9</v>
      </c>
      <c r="E8166">
        <v>11.5</v>
      </c>
    </row>
    <row r="8167" spans="1:5" x14ac:dyDescent="0.2">
      <c r="A8167">
        <v>28200</v>
      </c>
      <c r="B8167">
        <v>24057</v>
      </c>
      <c r="C8167">
        <v>59</v>
      </c>
      <c r="D8167">
        <v>516.6</v>
      </c>
      <c r="E8167">
        <v>11.1</v>
      </c>
    </row>
    <row r="8168" spans="1:5" x14ac:dyDescent="0.2">
      <c r="A8168">
        <v>28220</v>
      </c>
      <c r="B8168">
        <v>24064</v>
      </c>
      <c r="C8168">
        <v>58</v>
      </c>
      <c r="D8168">
        <v>518.9</v>
      </c>
      <c r="E8168">
        <v>11</v>
      </c>
    </row>
    <row r="8169" spans="1:5" x14ac:dyDescent="0.2">
      <c r="A8169">
        <v>28240</v>
      </c>
      <c r="B8169">
        <v>24073</v>
      </c>
      <c r="C8169">
        <v>59</v>
      </c>
      <c r="D8169">
        <v>520.79999999999995</v>
      </c>
      <c r="E8169">
        <v>11.1</v>
      </c>
    </row>
    <row r="8170" spans="1:5" x14ac:dyDescent="0.2">
      <c r="A8170">
        <v>28260</v>
      </c>
      <c r="B8170">
        <v>24085</v>
      </c>
      <c r="C8170">
        <v>59</v>
      </c>
      <c r="D8170">
        <v>522.29999999999995</v>
      </c>
      <c r="E8170">
        <v>11.2</v>
      </c>
    </row>
    <row r="8171" spans="1:5" x14ac:dyDescent="0.2">
      <c r="A8171">
        <v>28280</v>
      </c>
      <c r="B8171">
        <v>24099</v>
      </c>
      <c r="C8171">
        <v>59</v>
      </c>
      <c r="D8171">
        <v>523.4</v>
      </c>
      <c r="E8171">
        <v>11.1</v>
      </c>
    </row>
    <row r="8172" spans="1:5" x14ac:dyDescent="0.2">
      <c r="A8172">
        <v>28300</v>
      </c>
      <c r="B8172">
        <v>24113</v>
      </c>
      <c r="C8172">
        <v>59</v>
      </c>
      <c r="D8172">
        <v>524.29999999999995</v>
      </c>
      <c r="E8172">
        <v>11.2</v>
      </c>
    </row>
    <row r="8173" spans="1:5" x14ac:dyDescent="0.2">
      <c r="A8173">
        <v>28320</v>
      </c>
      <c r="B8173">
        <v>24128</v>
      </c>
      <c r="C8173">
        <v>60</v>
      </c>
      <c r="D8173">
        <v>525.1</v>
      </c>
      <c r="E8173">
        <v>11.4</v>
      </c>
    </row>
    <row r="8174" spans="1:5" x14ac:dyDescent="0.2">
      <c r="A8174">
        <v>28340</v>
      </c>
      <c r="B8174">
        <v>24142</v>
      </c>
      <c r="C8174">
        <v>62</v>
      </c>
      <c r="D8174">
        <v>526.20000000000005</v>
      </c>
      <c r="E8174">
        <v>11.7</v>
      </c>
    </row>
    <row r="8175" spans="1:5" x14ac:dyDescent="0.2">
      <c r="A8175">
        <v>28360</v>
      </c>
      <c r="B8175">
        <v>24155</v>
      </c>
      <c r="C8175">
        <v>64</v>
      </c>
      <c r="D8175">
        <v>527.4</v>
      </c>
      <c r="E8175">
        <v>12.1</v>
      </c>
    </row>
    <row r="8176" spans="1:5" x14ac:dyDescent="0.2">
      <c r="A8176">
        <v>28380</v>
      </c>
      <c r="B8176">
        <v>24166</v>
      </c>
      <c r="C8176">
        <v>65</v>
      </c>
      <c r="D8176">
        <v>529.1</v>
      </c>
      <c r="E8176">
        <v>12.3</v>
      </c>
    </row>
    <row r="8177" spans="1:5" x14ac:dyDescent="0.2">
      <c r="A8177">
        <v>28400</v>
      </c>
      <c r="B8177">
        <v>24173</v>
      </c>
      <c r="C8177">
        <v>65</v>
      </c>
      <c r="D8177">
        <v>531.29999999999995</v>
      </c>
      <c r="E8177">
        <v>12.3</v>
      </c>
    </row>
    <row r="8178" spans="1:5" x14ac:dyDescent="0.2">
      <c r="A8178">
        <v>28420</v>
      </c>
      <c r="B8178">
        <v>24179</v>
      </c>
      <c r="C8178">
        <v>64</v>
      </c>
      <c r="D8178">
        <v>534</v>
      </c>
      <c r="E8178">
        <v>12.2</v>
      </c>
    </row>
    <row r="8179" spans="1:5" x14ac:dyDescent="0.2">
      <c r="A8179">
        <v>28440</v>
      </c>
      <c r="B8179">
        <v>24183</v>
      </c>
      <c r="C8179">
        <v>64</v>
      </c>
      <c r="D8179">
        <v>537</v>
      </c>
      <c r="E8179">
        <v>12.3</v>
      </c>
    </row>
    <row r="8180" spans="1:5" x14ac:dyDescent="0.2">
      <c r="A8180">
        <v>28460</v>
      </c>
      <c r="B8180">
        <v>24188</v>
      </c>
      <c r="C8180">
        <v>66</v>
      </c>
      <c r="D8180">
        <v>539.70000000000005</v>
      </c>
      <c r="E8180">
        <v>12.7</v>
      </c>
    </row>
    <row r="8181" spans="1:5" x14ac:dyDescent="0.2">
      <c r="A8181">
        <v>28480</v>
      </c>
      <c r="B8181">
        <v>24194</v>
      </c>
      <c r="C8181">
        <v>67</v>
      </c>
      <c r="D8181">
        <v>542.29999999999995</v>
      </c>
      <c r="E8181">
        <v>12.9</v>
      </c>
    </row>
    <row r="8182" spans="1:5" x14ac:dyDescent="0.2">
      <c r="A8182">
        <v>28500</v>
      </c>
      <c r="B8182">
        <v>24203</v>
      </c>
      <c r="C8182">
        <v>67</v>
      </c>
      <c r="D8182">
        <v>544.20000000000005</v>
      </c>
      <c r="E8182">
        <v>12.9</v>
      </c>
    </row>
    <row r="8183" spans="1:5" x14ac:dyDescent="0.2">
      <c r="A8183">
        <v>28520</v>
      </c>
      <c r="B8183">
        <v>24215</v>
      </c>
      <c r="C8183">
        <v>66</v>
      </c>
      <c r="D8183">
        <v>545.70000000000005</v>
      </c>
      <c r="E8183">
        <v>12.8</v>
      </c>
    </row>
    <row r="8184" spans="1:5" x14ac:dyDescent="0.2">
      <c r="A8184">
        <v>28540</v>
      </c>
      <c r="B8184">
        <v>24229</v>
      </c>
      <c r="C8184">
        <v>65</v>
      </c>
      <c r="D8184">
        <v>546.70000000000005</v>
      </c>
      <c r="E8184">
        <v>12.5</v>
      </c>
    </row>
    <row r="8185" spans="1:5" x14ac:dyDescent="0.2">
      <c r="A8185">
        <v>28560</v>
      </c>
      <c r="B8185">
        <v>24246</v>
      </c>
      <c r="C8185">
        <v>65</v>
      </c>
      <c r="D8185">
        <v>547.20000000000005</v>
      </c>
      <c r="E8185">
        <v>12.4</v>
      </c>
    </row>
    <row r="8186" spans="1:5" x14ac:dyDescent="0.2">
      <c r="A8186">
        <v>28580</v>
      </c>
      <c r="B8186">
        <v>24265</v>
      </c>
      <c r="C8186">
        <v>65</v>
      </c>
      <c r="D8186">
        <v>547.20000000000005</v>
      </c>
      <c r="E8186">
        <v>12.5</v>
      </c>
    </row>
    <row r="8187" spans="1:5" x14ac:dyDescent="0.2">
      <c r="A8187">
        <v>28600</v>
      </c>
      <c r="B8187">
        <v>24287</v>
      </c>
      <c r="C8187">
        <v>68</v>
      </c>
      <c r="D8187">
        <v>546.79999999999995</v>
      </c>
      <c r="E8187">
        <v>13</v>
      </c>
    </row>
    <row r="8188" spans="1:5" x14ac:dyDescent="0.2">
      <c r="A8188">
        <v>28620</v>
      </c>
      <c r="B8188">
        <v>24310</v>
      </c>
      <c r="C8188">
        <v>71</v>
      </c>
      <c r="D8188">
        <v>546</v>
      </c>
      <c r="E8188">
        <v>13.6</v>
      </c>
    </row>
    <row r="8189" spans="1:5" x14ac:dyDescent="0.2">
      <c r="A8189">
        <v>28640</v>
      </c>
      <c r="B8189">
        <v>24336</v>
      </c>
      <c r="C8189">
        <v>74</v>
      </c>
      <c r="D8189">
        <v>544.79999999999995</v>
      </c>
      <c r="E8189">
        <v>14.2</v>
      </c>
    </row>
    <row r="8190" spans="1:5" x14ac:dyDescent="0.2">
      <c r="A8190">
        <v>28660</v>
      </c>
      <c r="B8190">
        <v>24364</v>
      </c>
      <c r="C8190">
        <v>76</v>
      </c>
      <c r="D8190">
        <v>543.20000000000005</v>
      </c>
      <c r="E8190">
        <v>14.6</v>
      </c>
    </row>
    <row r="8191" spans="1:5" x14ac:dyDescent="0.2">
      <c r="A8191">
        <v>28680</v>
      </c>
      <c r="B8191">
        <v>24394</v>
      </c>
      <c r="C8191">
        <v>77</v>
      </c>
      <c r="D8191">
        <v>541.20000000000005</v>
      </c>
      <c r="E8191">
        <v>14.7</v>
      </c>
    </row>
    <row r="8192" spans="1:5" x14ac:dyDescent="0.2">
      <c r="A8192">
        <v>28700</v>
      </c>
      <c r="B8192">
        <v>24426</v>
      </c>
      <c r="C8192">
        <v>75</v>
      </c>
      <c r="D8192">
        <v>538.79999999999995</v>
      </c>
      <c r="E8192">
        <v>14.4</v>
      </c>
    </row>
    <row r="8193" spans="1:5" x14ac:dyDescent="0.2">
      <c r="A8193">
        <v>28720</v>
      </c>
      <c r="B8193">
        <v>24458</v>
      </c>
      <c r="C8193">
        <v>72</v>
      </c>
      <c r="D8193">
        <v>536.29999999999995</v>
      </c>
      <c r="E8193">
        <v>13.9</v>
      </c>
    </row>
    <row r="8194" spans="1:5" x14ac:dyDescent="0.2">
      <c r="A8194">
        <v>28740</v>
      </c>
      <c r="B8194">
        <v>24491</v>
      </c>
      <c r="C8194">
        <v>70</v>
      </c>
      <c r="D8194">
        <v>533.70000000000005</v>
      </c>
      <c r="E8194">
        <v>13.3</v>
      </c>
    </row>
    <row r="8195" spans="1:5" x14ac:dyDescent="0.2">
      <c r="A8195">
        <v>28760</v>
      </c>
      <c r="B8195">
        <v>24524</v>
      </c>
      <c r="C8195">
        <v>68</v>
      </c>
      <c r="D8195">
        <v>531.20000000000005</v>
      </c>
      <c r="E8195">
        <v>13</v>
      </c>
    </row>
    <row r="8196" spans="1:5" x14ac:dyDescent="0.2">
      <c r="A8196">
        <v>28780</v>
      </c>
      <c r="B8196">
        <v>24555</v>
      </c>
      <c r="C8196">
        <v>67</v>
      </c>
      <c r="D8196">
        <v>528.9</v>
      </c>
      <c r="E8196">
        <v>12.8</v>
      </c>
    </row>
    <row r="8197" spans="1:5" x14ac:dyDescent="0.2">
      <c r="A8197">
        <v>28800</v>
      </c>
      <c r="B8197">
        <v>24584</v>
      </c>
      <c r="C8197">
        <v>68</v>
      </c>
      <c r="D8197">
        <v>527.1</v>
      </c>
      <c r="E8197">
        <v>12.9</v>
      </c>
    </row>
    <row r="8198" spans="1:5" x14ac:dyDescent="0.2">
      <c r="A8198">
        <v>28820</v>
      </c>
      <c r="B8198">
        <v>24610</v>
      </c>
      <c r="C8198">
        <v>68</v>
      </c>
      <c r="D8198">
        <v>525.9</v>
      </c>
      <c r="E8198">
        <v>12.9</v>
      </c>
    </row>
    <row r="8199" spans="1:5" x14ac:dyDescent="0.2">
      <c r="A8199">
        <v>28840</v>
      </c>
      <c r="B8199">
        <v>24631</v>
      </c>
      <c r="C8199">
        <v>67</v>
      </c>
      <c r="D8199">
        <v>525.5</v>
      </c>
      <c r="E8199">
        <v>12.7</v>
      </c>
    </row>
    <row r="8200" spans="1:5" x14ac:dyDescent="0.2">
      <c r="A8200">
        <v>28860</v>
      </c>
      <c r="B8200">
        <v>24648</v>
      </c>
      <c r="C8200">
        <v>65</v>
      </c>
      <c r="D8200">
        <v>526</v>
      </c>
      <c r="E8200">
        <v>12.3</v>
      </c>
    </row>
    <row r="8201" spans="1:5" x14ac:dyDescent="0.2">
      <c r="A8201">
        <v>28880</v>
      </c>
      <c r="B8201">
        <v>24661</v>
      </c>
      <c r="C8201">
        <v>63</v>
      </c>
      <c r="D8201">
        <v>527.20000000000005</v>
      </c>
      <c r="E8201">
        <v>11.9</v>
      </c>
    </row>
    <row r="8202" spans="1:5" x14ac:dyDescent="0.2">
      <c r="A8202">
        <v>28900</v>
      </c>
      <c r="B8202">
        <v>24671</v>
      </c>
      <c r="C8202">
        <v>62</v>
      </c>
      <c r="D8202">
        <v>529</v>
      </c>
      <c r="E8202">
        <v>11.7</v>
      </c>
    </row>
    <row r="8203" spans="1:5" x14ac:dyDescent="0.2">
      <c r="A8203">
        <v>28920</v>
      </c>
      <c r="B8203">
        <v>24681</v>
      </c>
      <c r="C8203">
        <v>60</v>
      </c>
      <c r="D8203">
        <v>530.9</v>
      </c>
      <c r="E8203">
        <v>11.5</v>
      </c>
    </row>
    <row r="8204" spans="1:5" x14ac:dyDescent="0.2">
      <c r="A8204">
        <v>28940</v>
      </c>
      <c r="B8204">
        <v>24690</v>
      </c>
      <c r="C8204">
        <v>60</v>
      </c>
      <c r="D8204">
        <v>532.9</v>
      </c>
      <c r="E8204">
        <v>11.5</v>
      </c>
    </row>
    <row r="8205" spans="1:5" x14ac:dyDescent="0.2">
      <c r="A8205">
        <v>28960</v>
      </c>
      <c r="B8205">
        <v>24700</v>
      </c>
      <c r="C8205">
        <v>61</v>
      </c>
      <c r="D8205">
        <v>534.70000000000005</v>
      </c>
      <c r="E8205">
        <v>11.7</v>
      </c>
    </row>
    <row r="8206" spans="1:5" x14ac:dyDescent="0.2">
      <c r="A8206">
        <v>28980</v>
      </c>
      <c r="B8206">
        <v>24711</v>
      </c>
      <c r="C8206">
        <v>62</v>
      </c>
      <c r="D8206">
        <v>536.29999999999995</v>
      </c>
      <c r="E8206">
        <v>11.8</v>
      </c>
    </row>
    <row r="8207" spans="1:5" x14ac:dyDescent="0.2">
      <c r="A8207">
        <v>29000</v>
      </c>
      <c r="B8207">
        <v>24723</v>
      </c>
      <c r="C8207">
        <v>62</v>
      </c>
      <c r="D8207">
        <v>537.6</v>
      </c>
      <c r="E8207">
        <v>11.9</v>
      </c>
    </row>
    <row r="8208" spans="1:5" x14ac:dyDescent="0.2">
      <c r="A8208">
        <v>29020</v>
      </c>
      <c r="B8208">
        <v>24736</v>
      </c>
      <c r="C8208">
        <v>63</v>
      </c>
      <c r="D8208">
        <v>538.9</v>
      </c>
      <c r="E8208">
        <v>12.1</v>
      </c>
    </row>
    <row r="8209" spans="1:5" x14ac:dyDescent="0.2">
      <c r="A8209">
        <v>29040</v>
      </c>
      <c r="B8209">
        <v>24749</v>
      </c>
      <c r="C8209">
        <v>64</v>
      </c>
      <c r="D8209">
        <v>540.1</v>
      </c>
      <c r="E8209">
        <v>12.2</v>
      </c>
    </row>
    <row r="8210" spans="1:5" x14ac:dyDescent="0.2">
      <c r="A8210">
        <v>29060</v>
      </c>
      <c r="B8210">
        <v>24763</v>
      </c>
      <c r="C8210">
        <v>64</v>
      </c>
      <c r="D8210">
        <v>541.20000000000005</v>
      </c>
      <c r="E8210">
        <v>12.3</v>
      </c>
    </row>
    <row r="8211" spans="1:5" x14ac:dyDescent="0.2">
      <c r="A8211">
        <v>29080</v>
      </c>
      <c r="B8211">
        <v>24780</v>
      </c>
      <c r="C8211">
        <v>67</v>
      </c>
      <c r="D8211">
        <v>541.6</v>
      </c>
      <c r="E8211">
        <v>12.8</v>
      </c>
    </row>
    <row r="8212" spans="1:5" x14ac:dyDescent="0.2">
      <c r="A8212">
        <v>29100</v>
      </c>
      <c r="B8212">
        <v>24805</v>
      </c>
      <c r="C8212">
        <v>71</v>
      </c>
      <c r="D8212">
        <v>540.70000000000005</v>
      </c>
      <c r="E8212">
        <v>13.6</v>
      </c>
    </row>
    <row r="8213" spans="1:5" x14ac:dyDescent="0.2">
      <c r="A8213">
        <v>29120</v>
      </c>
      <c r="B8213">
        <v>24839</v>
      </c>
      <c r="C8213">
        <v>76</v>
      </c>
      <c r="D8213">
        <v>537.9</v>
      </c>
      <c r="E8213">
        <v>14.5</v>
      </c>
    </row>
    <row r="8214" spans="1:5" x14ac:dyDescent="0.2">
      <c r="A8214">
        <v>29140</v>
      </c>
      <c r="B8214">
        <v>24880</v>
      </c>
      <c r="C8214">
        <v>80</v>
      </c>
      <c r="D8214">
        <v>533.79999999999995</v>
      </c>
      <c r="E8214">
        <v>15.3</v>
      </c>
    </row>
    <row r="8215" spans="1:5" x14ac:dyDescent="0.2">
      <c r="A8215">
        <v>29160</v>
      </c>
      <c r="B8215">
        <v>24926</v>
      </c>
      <c r="C8215">
        <v>85</v>
      </c>
      <c r="D8215">
        <v>528.6</v>
      </c>
      <c r="E8215">
        <v>16.100000000000001</v>
      </c>
    </row>
    <row r="8216" spans="1:5" x14ac:dyDescent="0.2">
      <c r="A8216">
        <v>29180</v>
      </c>
      <c r="B8216">
        <v>24977</v>
      </c>
      <c r="C8216">
        <v>88</v>
      </c>
      <c r="D8216">
        <v>522.70000000000005</v>
      </c>
      <c r="E8216">
        <v>16.600000000000001</v>
      </c>
    </row>
    <row r="8217" spans="1:5" x14ac:dyDescent="0.2">
      <c r="A8217">
        <v>29200</v>
      </c>
      <c r="B8217">
        <v>25029</v>
      </c>
      <c r="C8217">
        <v>88</v>
      </c>
      <c r="D8217">
        <v>516.5</v>
      </c>
      <c r="E8217">
        <v>16.7</v>
      </c>
    </row>
    <row r="8218" spans="1:5" x14ac:dyDescent="0.2">
      <c r="A8218">
        <v>29220</v>
      </c>
      <c r="B8218">
        <v>25082</v>
      </c>
      <c r="C8218">
        <v>85</v>
      </c>
      <c r="D8218">
        <v>510.2</v>
      </c>
      <c r="E8218">
        <v>16</v>
      </c>
    </row>
    <row r="8219" spans="1:5" x14ac:dyDescent="0.2">
      <c r="A8219">
        <v>29240</v>
      </c>
      <c r="B8219">
        <v>25132</v>
      </c>
      <c r="C8219">
        <v>78</v>
      </c>
      <c r="D8219">
        <v>504.5</v>
      </c>
      <c r="E8219">
        <v>14.7</v>
      </c>
    </row>
    <row r="8220" spans="1:5" x14ac:dyDescent="0.2">
      <c r="A8220">
        <v>29260</v>
      </c>
      <c r="B8220">
        <v>25176</v>
      </c>
      <c r="C8220">
        <v>72</v>
      </c>
      <c r="D8220">
        <v>499.9</v>
      </c>
      <c r="E8220">
        <v>13.5</v>
      </c>
    </row>
    <row r="8221" spans="1:5" x14ac:dyDescent="0.2">
      <c r="A8221">
        <v>29280</v>
      </c>
      <c r="B8221">
        <v>25211</v>
      </c>
      <c r="C8221">
        <v>67</v>
      </c>
      <c r="D8221">
        <v>496.9</v>
      </c>
      <c r="E8221">
        <v>12.5</v>
      </c>
    </row>
    <row r="8222" spans="1:5" x14ac:dyDescent="0.2">
      <c r="A8222">
        <v>29300</v>
      </c>
      <c r="B8222">
        <v>25235</v>
      </c>
      <c r="C8222">
        <v>64</v>
      </c>
      <c r="D8222">
        <v>496</v>
      </c>
      <c r="E8222">
        <v>11.9</v>
      </c>
    </row>
    <row r="8223" spans="1:5" x14ac:dyDescent="0.2">
      <c r="A8223">
        <v>29320</v>
      </c>
      <c r="B8223">
        <v>25251</v>
      </c>
      <c r="C8223">
        <v>60</v>
      </c>
      <c r="D8223">
        <v>496.8</v>
      </c>
      <c r="E8223">
        <v>11.2</v>
      </c>
    </row>
    <row r="8224" spans="1:5" x14ac:dyDescent="0.2">
      <c r="A8224">
        <v>29340</v>
      </c>
      <c r="B8224">
        <v>25258</v>
      </c>
      <c r="C8224">
        <v>59</v>
      </c>
      <c r="D8224">
        <v>499</v>
      </c>
      <c r="E8224">
        <v>10.9</v>
      </c>
    </row>
    <row r="8225" spans="1:5" x14ac:dyDescent="0.2">
      <c r="A8225">
        <v>29360</v>
      </c>
      <c r="B8225">
        <v>25261</v>
      </c>
      <c r="C8225">
        <v>58</v>
      </c>
      <c r="D8225">
        <v>502.1</v>
      </c>
      <c r="E8225">
        <v>10.9</v>
      </c>
    </row>
    <row r="8226" spans="1:5" x14ac:dyDescent="0.2">
      <c r="A8226">
        <v>29380</v>
      </c>
      <c r="B8226">
        <v>25259</v>
      </c>
      <c r="C8226">
        <v>60</v>
      </c>
      <c r="D8226">
        <v>506.1</v>
      </c>
      <c r="E8226">
        <v>11.2</v>
      </c>
    </row>
    <row r="8227" spans="1:5" x14ac:dyDescent="0.2">
      <c r="A8227">
        <v>29400</v>
      </c>
      <c r="B8227">
        <v>25255</v>
      </c>
      <c r="C8227">
        <v>61</v>
      </c>
      <c r="D8227">
        <v>510.4</v>
      </c>
      <c r="E8227">
        <v>11.5</v>
      </c>
    </row>
    <row r="8228" spans="1:5" x14ac:dyDescent="0.2">
      <c r="A8228">
        <v>29420</v>
      </c>
      <c r="B8228">
        <v>25252</v>
      </c>
      <c r="C8228">
        <v>62</v>
      </c>
      <c r="D8228">
        <v>514.6</v>
      </c>
      <c r="E8228">
        <v>11.7</v>
      </c>
    </row>
    <row r="8229" spans="1:5" x14ac:dyDescent="0.2">
      <c r="A8229">
        <v>29440</v>
      </c>
      <c r="B8229">
        <v>25251</v>
      </c>
      <c r="C8229">
        <v>61</v>
      </c>
      <c r="D8229">
        <v>518.6</v>
      </c>
      <c r="E8229">
        <v>11.6</v>
      </c>
    </row>
    <row r="8230" spans="1:5" x14ac:dyDescent="0.2">
      <c r="A8230">
        <v>29460</v>
      </c>
      <c r="B8230">
        <v>25252</v>
      </c>
      <c r="C8230">
        <v>60</v>
      </c>
      <c r="D8230">
        <v>522.1</v>
      </c>
      <c r="E8230">
        <v>11.3</v>
      </c>
    </row>
    <row r="8231" spans="1:5" x14ac:dyDescent="0.2">
      <c r="A8231">
        <v>29480</v>
      </c>
      <c r="B8231">
        <v>25255</v>
      </c>
      <c r="C8231">
        <v>58</v>
      </c>
      <c r="D8231">
        <v>525.20000000000005</v>
      </c>
      <c r="E8231">
        <v>11</v>
      </c>
    </row>
    <row r="8232" spans="1:5" x14ac:dyDescent="0.2">
      <c r="A8232">
        <v>29500</v>
      </c>
      <c r="B8232">
        <v>25259</v>
      </c>
      <c r="C8232">
        <v>57</v>
      </c>
      <c r="D8232">
        <v>528.20000000000005</v>
      </c>
      <c r="E8232">
        <v>10.9</v>
      </c>
    </row>
    <row r="8233" spans="1:5" x14ac:dyDescent="0.2">
      <c r="A8233">
        <v>29520</v>
      </c>
      <c r="B8233">
        <v>25264</v>
      </c>
      <c r="C8233">
        <v>58</v>
      </c>
      <c r="D8233">
        <v>530.9</v>
      </c>
      <c r="E8233">
        <v>11</v>
      </c>
    </row>
    <row r="8234" spans="1:5" x14ac:dyDescent="0.2">
      <c r="A8234">
        <v>29540</v>
      </c>
      <c r="B8234">
        <v>25269</v>
      </c>
      <c r="C8234">
        <v>58</v>
      </c>
      <c r="D8234">
        <v>533.6</v>
      </c>
      <c r="E8234">
        <v>11</v>
      </c>
    </row>
    <row r="8235" spans="1:5" x14ac:dyDescent="0.2">
      <c r="A8235">
        <v>29560</v>
      </c>
      <c r="B8235">
        <v>25274</v>
      </c>
      <c r="C8235">
        <v>58</v>
      </c>
      <c r="D8235">
        <v>536.29999999999995</v>
      </c>
      <c r="E8235">
        <v>11</v>
      </c>
    </row>
    <row r="8236" spans="1:5" x14ac:dyDescent="0.2">
      <c r="A8236">
        <v>29580</v>
      </c>
      <c r="B8236">
        <v>25280</v>
      </c>
      <c r="C8236">
        <v>58</v>
      </c>
      <c r="D8236">
        <v>539</v>
      </c>
      <c r="E8236">
        <v>11.1</v>
      </c>
    </row>
    <row r="8237" spans="1:5" x14ac:dyDescent="0.2">
      <c r="A8237">
        <v>29600</v>
      </c>
      <c r="B8237">
        <v>25285</v>
      </c>
      <c r="C8237">
        <v>59</v>
      </c>
      <c r="D8237">
        <v>541.70000000000005</v>
      </c>
      <c r="E8237">
        <v>11.3</v>
      </c>
    </row>
    <row r="8238" spans="1:5" x14ac:dyDescent="0.2">
      <c r="A8238">
        <v>29620</v>
      </c>
      <c r="B8238">
        <v>25290</v>
      </c>
      <c r="C8238">
        <v>59</v>
      </c>
      <c r="D8238">
        <v>544.5</v>
      </c>
      <c r="E8238">
        <v>11.4</v>
      </c>
    </row>
    <row r="8239" spans="1:5" x14ac:dyDescent="0.2">
      <c r="A8239">
        <v>29640</v>
      </c>
      <c r="B8239">
        <v>25296</v>
      </c>
      <c r="C8239">
        <v>60</v>
      </c>
      <c r="D8239">
        <v>547.1</v>
      </c>
      <c r="E8239">
        <v>11.6</v>
      </c>
    </row>
    <row r="8240" spans="1:5" x14ac:dyDescent="0.2">
      <c r="A8240">
        <v>29660</v>
      </c>
      <c r="B8240">
        <v>25302</v>
      </c>
      <c r="C8240">
        <v>60</v>
      </c>
      <c r="D8240">
        <v>549.6</v>
      </c>
      <c r="E8240">
        <v>11.6</v>
      </c>
    </row>
    <row r="8241" spans="1:5" x14ac:dyDescent="0.2">
      <c r="A8241">
        <v>29680</v>
      </c>
      <c r="B8241">
        <v>25310</v>
      </c>
      <c r="C8241">
        <v>61</v>
      </c>
      <c r="D8241">
        <v>551.9</v>
      </c>
      <c r="E8241">
        <v>11.8</v>
      </c>
    </row>
    <row r="8242" spans="1:5" x14ac:dyDescent="0.2">
      <c r="A8242">
        <v>29700</v>
      </c>
      <c r="B8242">
        <v>25317</v>
      </c>
      <c r="C8242">
        <v>61</v>
      </c>
      <c r="D8242">
        <v>554.29999999999995</v>
      </c>
      <c r="E8242">
        <v>11.8</v>
      </c>
    </row>
    <row r="8243" spans="1:5" x14ac:dyDescent="0.2">
      <c r="A8243">
        <v>29720</v>
      </c>
      <c r="B8243">
        <v>25324</v>
      </c>
      <c r="C8243">
        <v>61</v>
      </c>
      <c r="D8243">
        <v>556.70000000000005</v>
      </c>
      <c r="E8243">
        <v>11.8</v>
      </c>
    </row>
    <row r="8244" spans="1:5" x14ac:dyDescent="0.2">
      <c r="A8244">
        <v>29740</v>
      </c>
      <c r="B8244">
        <v>25331</v>
      </c>
      <c r="C8244">
        <v>60</v>
      </c>
      <c r="D8244">
        <v>559.1</v>
      </c>
      <c r="E8244">
        <v>11.7</v>
      </c>
    </row>
    <row r="8245" spans="1:5" x14ac:dyDescent="0.2">
      <c r="A8245">
        <v>29760</v>
      </c>
      <c r="B8245">
        <v>25338</v>
      </c>
      <c r="C8245">
        <v>60</v>
      </c>
      <c r="D8245">
        <v>561.4</v>
      </c>
      <c r="E8245">
        <v>11.7</v>
      </c>
    </row>
    <row r="8246" spans="1:5" x14ac:dyDescent="0.2">
      <c r="A8246">
        <v>29780</v>
      </c>
      <c r="B8246">
        <v>25347</v>
      </c>
      <c r="C8246">
        <v>60</v>
      </c>
      <c r="D8246">
        <v>563.6</v>
      </c>
      <c r="E8246">
        <v>11.7</v>
      </c>
    </row>
    <row r="8247" spans="1:5" x14ac:dyDescent="0.2">
      <c r="A8247">
        <v>29800</v>
      </c>
      <c r="B8247">
        <v>25357</v>
      </c>
      <c r="C8247">
        <v>61</v>
      </c>
      <c r="D8247">
        <v>565.4</v>
      </c>
      <c r="E8247">
        <v>11.9</v>
      </c>
    </row>
    <row r="8248" spans="1:5" x14ac:dyDescent="0.2">
      <c r="A8248">
        <v>29820</v>
      </c>
      <c r="B8248">
        <v>25371</v>
      </c>
      <c r="C8248">
        <v>63</v>
      </c>
      <c r="D8248">
        <v>566.5</v>
      </c>
      <c r="E8248">
        <v>12.3</v>
      </c>
    </row>
    <row r="8249" spans="1:5" x14ac:dyDescent="0.2">
      <c r="A8249">
        <v>29840</v>
      </c>
      <c r="B8249">
        <v>25388</v>
      </c>
      <c r="C8249">
        <v>65</v>
      </c>
      <c r="D8249">
        <v>567</v>
      </c>
      <c r="E8249">
        <v>12.7</v>
      </c>
    </row>
    <row r="8250" spans="1:5" x14ac:dyDescent="0.2">
      <c r="A8250">
        <v>29860</v>
      </c>
      <c r="B8250">
        <v>25409</v>
      </c>
      <c r="C8250">
        <v>69</v>
      </c>
      <c r="D8250">
        <v>566.70000000000005</v>
      </c>
      <c r="E8250">
        <v>13.4</v>
      </c>
    </row>
    <row r="8251" spans="1:5" x14ac:dyDescent="0.2">
      <c r="A8251">
        <v>29880</v>
      </c>
      <c r="B8251">
        <v>25434</v>
      </c>
      <c r="C8251">
        <v>73</v>
      </c>
      <c r="D8251">
        <v>565.5</v>
      </c>
      <c r="E8251">
        <v>14.2</v>
      </c>
    </row>
    <row r="8252" spans="1:5" x14ac:dyDescent="0.2">
      <c r="A8252">
        <v>29900</v>
      </c>
      <c r="B8252">
        <v>25464</v>
      </c>
      <c r="C8252">
        <v>77</v>
      </c>
      <c r="D8252">
        <v>563.5</v>
      </c>
      <c r="E8252">
        <v>14.9</v>
      </c>
    </row>
    <row r="8253" spans="1:5" x14ac:dyDescent="0.2">
      <c r="A8253">
        <v>29920</v>
      </c>
      <c r="B8253">
        <v>25497</v>
      </c>
      <c r="C8253">
        <v>80</v>
      </c>
      <c r="D8253">
        <v>560.79999999999995</v>
      </c>
      <c r="E8253">
        <v>15.6</v>
      </c>
    </row>
    <row r="8254" spans="1:5" x14ac:dyDescent="0.2">
      <c r="A8254">
        <v>29940</v>
      </c>
      <c r="B8254">
        <v>25535</v>
      </c>
      <c r="C8254">
        <v>84</v>
      </c>
      <c r="D8254">
        <v>557.29999999999995</v>
      </c>
      <c r="E8254">
        <v>16.3</v>
      </c>
    </row>
    <row r="8255" spans="1:5" x14ac:dyDescent="0.2">
      <c r="A8255">
        <v>29960</v>
      </c>
      <c r="B8255">
        <v>25575</v>
      </c>
      <c r="C8255">
        <v>87</v>
      </c>
      <c r="D8255">
        <v>553.20000000000005</v>
      </c>
      <c r="E8255">
        <v>16.8</v>
      </c>
    </row>
    <row r="8256" spans="1:5" x14ac:dyDescent="0.2">
      <c r="A8256">
        <v>29980</v>
      </c>
      <c r="B8256">
        <v>25619</v>
      </c>
      <c r="C8256">
        <v>90</v>
      </c>
      <c r="D8256">
        <v>548.6</v>
      </c>
      <c r="E8256">
        <v>17.3</v>
      </c>
    </row>
    <row r="8257" spans="1:5" x14ac:dyDescent="0.2">
      <c r="A8257">
        <v>30000</v>
      </c>
      <c r="B8257">
        <v>25664</v>
      </c>
      <c r="C8257">
        <v>92</v>
      </c>
      <c r="D8257">
        <v>543.6</v>
      </c>
      <c r="E8257">
        <v>17.7</v>
      </c>
    </row>
    <row r="8258" spans="1:5" x14ac:dyDescent="0.2">
      <c r="A8258">
        <v>30020</v>
      </c>
      <c r="B8258">
        <v>25711</v>
      </c>
      <c r="C8258">
        <v>94</v>
      </c>
      <c r="D8258">
        <v>538.29999999999995</v>
      </c>
      <c r="E8258">
        <v>17.899999999999999</v>
      </c>
    </row>
    <row r="8259" spans="1:5" x14ac:dyDescent="0.2">
      <c r="A8259">
        <v>30040</v>
      </c>
      <c r="B8259">
        <v>25760</v>
      </c>
      <c r="C8259">
        <v>93</v>
      </c>
      <c r="D8259">
        <v>532.70000000000005</v>
      </c>
      <c r="E8259">
        <v>17.8</v>
      </c>
    </row>
    <row r="8260" spans="1:5" x14ac:dyDescent="0.2">
      <c r="A8260">
        <v>30060</v>
      </c>
      <c r="B8260">
        <v>25809</v>
      </c>
      <c r="C8260">
        <v>92</v>
      </c>
      <c r="D8260">
        <v>527.1</v>
      </c>
      <c r="E8260">
        <v>17.5</v>
      </c>
    </row>
    <row r="8261" spans="1:5" x14ac:dyDescent="0.2">
      <c r="A8261">
        <v>30080</v>
      </c>
      <c r="B8261">
        <v>25855</v>
      </c>
      <c r="C8261">
        <v>89</v>
      </c>
      <c r="D8261">
        <v>522</v>
      </c>
      <c r="E8261">
        <v>17</v>
      </c>
    </row>
    <row r="8262" spans="1:5" x14ac:dyDescent="0.2">
      <c r="A8262">
        <v>30100</v>
      </c>
      <c r="B8262">
        <v>25899</v>
      </c>
      <c r="C8262">
        <v>85</v>
      </c>
      <c r="D8262">
        <v>517.4</v>
      </c>
      <c r="E8262">
        <v>16.100000000000001</v>
      </c>
    </row>
    <row r="8263" spans="1:5" x14ac:dyDescent="0.2">
      <c r="A8263">
        <v>30120</v>
      </c>
      <c r="B8263">
        <v>25936</v>
      </c>
      <c r="C8263">
        <v>80</v>
      </c>
      <c r="D8263">
        <v>514</v>
      </c>
      <c r="E8263">
        <v>15.1</v>
      </c>
    </row>
    <row r="8264" spans="1:5" x14ac:dyDescent="0.2">
      <c r="A8264">
        <v>30140</v>
      </c>
      <c r="B8264">
        <v>25967</v>
      </c>
      <c r="C8264">
        <v>75</v>
      </c>
      <c r="D8264">
        <v>511.8</v>
      </c>
      <c r="E8264">
        <v>14.1</v>
      </c>
    </row>
    <row r="8265" spans="1:5" x14ac:dyDescent="0.2">
      <c r="A8265">
        <v>30160</v>
      </c>
      <c r="B8265">
        <v>25993</v>
      </c>
      <c r="C8265">
        <v>72</v>
      </c>
      <c r="D8265">
        <v>510.7</v>
      </c>
      <c r="E8265">
        <v>13.5</v>
      </c>
    </row>
    <row r="8266" spans="1:5" x14ac:dyDescent="0.2">
      <c r="A8266">
        <v>30180</v>
      </c>
      <c r="B8266">
        <v>26013</v>
      </c>
      <c r="C8266">
        <v>70</v>
      </c>
      <c r="D8266">
        <v>510.4</v>
      </c>
      <c r="E8266">
        <v>13.1</v>
      </c>
    </row>
    <row r="8267" spans="1:5" x14ac:dyDescent="0.2">
      <c r="A8267">
        <v>30200</v>
      </c>
      <c r="B8267">
        <v>26030</v>
      </c>
      <c r="C8267">
        <v>69</v>
      </c>
      <c r="D8267">
        <v>511</v>
      </c>
      <c r="E8267">
        <v>12.9</v>
      </c>
    </row>
    <row r="8268" spans="1:5" x14ac:dyDescent="0.2">
      <c r="A8268">
        <v>30220</v>
      </c>
      <c r="B8268">
        <v>26046</v>
      </c>
      <c r="C8268">
        <v>69</v>
      </c>
      <c r="D8268">
        <v>511.7</v>
      </c>
      <c r="E8268">
        <v>13.1</v>
      </c>
    </row>
    <row r="8269" spans="1:5" x14ac:dyDescent="0.2">
      <c r="A8269">
        <v>30240</v>
      </c>
      <c r="B8269">
        <v>26062</v>
      </c>
      <c r="C8269">
        <v>70</v>
      </c>
      <c r="D8269">
        <v>512.29999999999995</v>
      </c>
      <c r="E8269">
        <v>13.2</v>
      </c>
    </row>
    <row r="8270" spans="1:5" x14ac:dyDescent="0.2">
      <c r="A8270">
        <v>30260</v>
      </c>
      <c r="B8270">
        <v>26079</v>
      </c>
      <c r="C8270">
        <v>71</v>
      </c>
      <c r="D8270">
        <v>512.70000000000005</v>
      </c>
      <c r="E8270">
        <v>13.3</v>
      </c>
    </row>
    <row r="8271" spans="1:5" x14ac:dyDescent="0.2">
      <c r="A8271">
        <v>30280</v>
      </c>
      <c r="B8271">
        <v>26099</v>
      </c>
      <c r="C8271">
        <v>73</v>
      </c>
      <c r="D8271">
        <v>512.6</v>
      </c>
      <c r="E8271">
        <v>13.7</v>
      </c>
    </row>
    <row r="8272" spans="1:5" x14ac:dyDescent="0.2">
      <c r="A8272">
        <v>30300</v>
      </c>
      <c r="B8272">
        <v>26121</v>
      </c>
      <c r="C8272">
        <v>74</v>
      </c>
      <c r="D8272">
        <v>512</v>
      </c>
      <c r="E8272">
        <v>14</v>
      </c>
    </row>
    <row r="8273" spans="1:5" x14ac:dyDescent="0.2">
      <c r="A8273">
        <v>30320</v>
      </c>
      <c r="B8273">
        <v>26147</v>
      </c>
      <c r="C8273">
        <v>76</v>
      </c>
      <c r="D8273">
        <v>510.8</v>
      </c>
      <c r="E8273">
        <v>14.2</v>
      </c>
    </row>
    <row r="8274" spans="1:5" x14ac:dyDescent="0.2">
      <c r="A8274">
        <v>30340</v>
      </c>
      <c r="B8274">
        <v>26176</v>
      </c>
      <c r="C8274">
        <v>76</v>
      </c>
      <c r="D8274">
        <v>509.1</v>
      </c>
      <c r="E8274">
        <v>14.3</v>
      </c>
    </row>
    <row r="8275" spans="1:5" x14ac:dyDescent="0.2">
      <c r="A8275">
        <v>30360</v>
      </c>
      <c r="B8275">
        <v>26206</v>
      </c>
      <c r="C8275">
        <v>75</v>
      </c>
      <c r="D8275">
        <v>507.2</v>
      </c>
      <c r="E8275">
        <v>14.2</v>
      </c>
    </row>
    <row r="8276" spans="1:5" x14ac:dyDescent="0.2">
      <c r="A8276">
        <v>30380</v>
      </c>
      <c r="B8276">
        <v>26235</v>
      </c>
      <c r="C8276">
        <v>74</v>
      </c>
      <c r="D8276">
        <v>505.3</v>
      </c>
      <c r="E8276">
        <v>13.9</v>
      </c>
    </row>
    <row r="8277" spans="1:5" x14ac:dyDescent="0.2">
      <c r="A8277">
        <v>30400</v>
      </c>
      <c r="B8277">
        <v>26263</v>
      </c>
      <c r="C8277">
        <v>72</v>
      </c>
      <c r="D8277">
        <v>503.8</v>
      </c>
      <c r="E8277">
        <v>13.5</v>
      </c>
    </row>
    <row r="8278" spans="1:5" x14ac:dyDescent="0.2">
      <c r="A8278">
        <v>30420</v>
      </c>
      <c r="B8278">
        <v>26287</v>
      </c>
      <c r="C8278">
        <v>70</v>
      </c>
      <c r="D8278">
        <v>502.8</v>
      </c>
      <c r="E8278">
        <v>13.1</v>
      </c>
    </row>
    <row r="8279" spans="1:5" x14ac:dyDescent="0.2">
      <c r="A8279">
        <v>30440</v>
      </c>
      <c r="B8279">
        <v>26306</v>
      </c>
      <c r="C8279">
        <v>68</v>
      </c>
      <c r="D8279">
        <v>502.8</v>
      </c>
      <c r="E8279">
        <v>12.7</v>
      </c>
    </row>
    <row r="8280" spans="1:5" x14ac:dyDescent="0.2">
      <c r="A8280">
        <v>30460</v>
      </c>
      <c r="B8280">
        <v>26321</v>
      </c>
      <c r="C8280">
        <v>67</v>
      </c>
      <c r="D8280">
        <v>503.8</v>
      </c>
      <c r="E8280">
        <v>12.5</v>
      </c>
    </row>
    <row r="8281" spans="1:5" x14ac:dyDescent="0.2">
      <c r="A8281">
        <v>30480</v>
      </c>
      <c r="B8281">
        <v>26329</v>
      </c>
      <c r="C8281">
        <v>67</v>
      </c>
      <c r="D8281">
        <v>505.9</v>
      </c>
      <c r="E8281">
        <v>12.5</v>
      </c>
    </row>
    <row r="8282" spans="1:5" x14ac:dyDescent="0.2">
      <c r="A8282">
        <v>30500</v>
      </c>
      <c r="B8282">
        <v>26332</v>
      </c>
      <c r="C8282">
        <v>66</v>
      </c>
      <c r="D8282">
        <v>508.9</v>
      </c>
      <c r="E8282">
        <v>12.4</v>
      </c>
    </row>
    <row r="8283" spans="1:5" x14ac:dyDescent="0.2">
      <c r="A8283">
        <v>30520</v>
      </c>
      <c r="B8283">
        <v>26332</v>
      </c>
      <c r="C8283">
        <v>67</v>
      </c>
      <c r="D8283">
        <v>512.70000000000005</v>
      </c>
      <c r="E8283">
        <v>12.6</v>
      </c>
    </row>
    <row r="8284" spans="1:5" x14ac:dyDescent="0.2">
      <c r="A8284">
        <v>30540</v>
      </c>
      <c r="B8284">
        <v>26328</v>
      </c>
      <c r="C8284">
        <v>67</v>
      </c>
      <c r="D8284">
        <v>517</v>
      </c>
      <c r="E8284">
        <v>12.6</v>
      </c>
    </row>
    <row r="8285" spans="1:5" x14ac:dyDescent="0.2">
      <c r="A8285">
        <v>30560</v>
      </c>
      <c r="B8285">
        <v>26323</v>
      </c>
      <c r="C8285">
        <v>67</v>
      </c>
      <c r="D8285">
        <v>521.70000000000005</v>
      </c>
      <c r="E8285">
        <v>12.8</v>
      </c>
    </row>
    <row r="8286" spans="1:5" x14ac:dyDescent="0.2">
      <c r="A8286">
        <v>30580</v>
      </c>
      <c r="B8286">
        <v>26316</v>
      </c>
      <c r="C8286">
        <v>67</v>
      </c>
      <c r="D8286">
        <v>526.70000000000005</v>
      </c>
      <c r="E8286">
        <v>12.8</v>
      </c>
    </row>
    <row r="8287" spans="1:5" x14ac:dyDescent="0.2">
      <c r="A8287">
        <v>30600</v>
      </c>
      <c r="B8287">
        <v>26309</v>
      </c>
      <c r="C8287">
        <v>67</v>
      </c>
      <c r="D8287">
        <v>531.79999999999995</v>
      </c>
      <c r="E8287">
        <v>12.8</v>
      </c>
    </row>
    <row r="8288" spans="1:5" x14ac:dyDescent="0.2">
      <c r="A8288">
        <v>30620</v>
      </c>
      <c r="B8288">
        <v>26303</v>
      </c>
      <c r="C8288">
        <v>66</v>
      </c>
      <c r="D8288">
        <v>536.70000000000005</v>
      </c>
      <c r="E8288">
        <v>12.6</v>
      </c>
    </row>
    <row r="8289" spans="1:5" x14ac:dyDescent="0.2">
      <c r="A8289">
        <v>30640</v>
      </c>
      <c r="B8289">
        <v>26298</v>
      </c>
      <c r="C8289">
        <v>65</v>
      </c>
      <c r="D8289">
        <v>541.20000000000005</v>
      </c>
      <c r="E8289">
        <v>12.5</v>
      </c>
    </row>
    <row r="8290" spans="1:5" x14ac:dyDescent="0.2">
      <c r="A8290">
        <v>30660</v>
      </c>
      <c r="B8290">
        <v>26297</v>
      </c>
      <c r="C8290">
        <v>65</v>
      </c>
      <c r="D8290">
        <v>545.20000000000005</v>
      </c>
      <c r="E8290">
        <v>12.5</v>
      </c>
    </row>
    <row r="8291" spans="1:5" x14ac:dyDescent="0.2">
      <c r="A8291">
        <v>30680</v>
      </c>
      <c r="B8291">
        <v>26299</v>
      </c>
      <c r="C8291">
        <v>64</v>
      </c>
      <c r="D8291">
        <v>548.5</v>
      </c>
      <c r="E8291">
        <v>12.4</v>
      </c>
    </row>
    <row r="8292" spans="1:5" x14ac:dyDescent="0.2">
      <c r="A8292">
        <v>30700</v>
      </c>
      <c r="B8292">
        <v>26306</v>
      </c>
      <c r="C8292">
        <v>65</v>
      </c>
      <c r="D8292">
        <v>550.9</v>
      </c>
      <c r="E8292">
        <v>12.5</v>
      </c>
    </row>
    <row r="8293" spans="1:5" x14ac:dyDescent="0.2">
      <c r="A8293">
        <v>30720</v>
      </c>
      <c r="B8293">
        <v>26318</v>
      </c>
      <c r="C8293">
        <v>66</v>
      </c>
      <c r="D8293">
        <v>552.29999999999995</v>
      </c>
      <c r="E8293">
        <v>12.8</v>
      </c>
    </row>
    <row r="8294" spans="1:5" x14ac:dyDescent="0.2">
      <c r="A8294">
        <v>30740</v>
      </c>
      <c r="B8294">
        <v>26335</v>
      </c>
      <c r="C8294">
        <v>69</v>
      </c>
      <c r="D8294">
        <v>552.79999999999995</v>
      </c>
      <c r="E8294">
        <v>13.3</v>
      </c>
    </row>
    <row r="8295" spans="1:5" x14ac:dyDescent="0.2">
      <c r="A8295">
        <v>30760</v>
      </c>
      <c r="B8295">
        <v>26357</v>
      </c>
      <c r="C8295">
        <v>71</v>
      </c>
      <c r="D8295">
        <v>552.29999999999995</v>
      </c>
      <c r="E8295">
        <v>13.8</v>
      </c>
    </row>
    <row r="8296" spans="1:5" x14ac:dyDescent="0.2">
      <c r="A8296">
        <v>30780</v>
      </c>
      <c r="B8296">
        <v>26383</v>
      </c>
      <c r="C8296">
        <v>74</v>
      </c>
      <c r="D8296">
        <v>551.1</v>
      </c>
      <c r="E8296">
        <v>14.2</v>
      </c>
    </row>
    <row r="8297" spans="1:5" x14ac:dyDescent="0.2">
      <c r="A8297">
        <v>30800</v>
      </c>
      <c r="B8297">
        <v>26411</v>
      </c>
      <c r="C8297">
        <v>75</v>
      </c>
      <c r="D8297">
        <v>549.5</v>
      </c>
      <c r="E8297">
        <v>14.5</v>
      </c>
    </row>
    <row r="8298" spans="1:5" x14ac:dyDescent="0.2">
      <c r="A8298">
        <v>30820</v>
      </c>
      <c r="B8298">
        <v>26440</v>
      </c>
      <c r="C8298">
        <v>76</v>
      </c>
      <c r="D8298">
        <v>547.6</v>
      </c>
      <c r="E8298">
        <v>14.6</v>
      </c>
    </row>
    <row r="8299" spans="1:5" x14ac:dyDescent="0.2">
      <c r="A8299">
        <v>30840</v>
      </c>
      <c r="B8299">
        <v>26468</v>
      </c>
      <c r="C8299">
        <v>75</v>
      </c>
      <c r="D8299">
        <v>545.9</v>
      </c>
      <c r="E8299">
        <v>14.4</v>
      </c>
    </row>
    <row r="8300" spans="1:5" x14ac:dyDescent="0.2">
      <c r="A8300">
        <v>30860</v>
      </c>
      <c r="B8300">
        <v>26496</v>
      </c>
      <c r="C8300">
        <v>74</v>
      </c>
      <c r="D8300">
        <v>544.4</v>
      </c>
      <c r="E8300">
        <v>14.3</v>
      </c>
    </row>
    <row r="8301" spans="1:5" x14ac:dyDescent="0.2">
      <c r="A8301">
        <v>30880</v>
      </c>
      <c r="B8301">
        <v>26521</v>
      </c>
      <c r="C8301">
        <v>73</v>
      </c>
      <c r="D8301">
        <v>543.20000000000005</v>
      </c>
      <c r="E8301">
        <v>14</v>
      </c>
    </row>
    <row r="8302" spans="1:5" x14ac:dyDescent="0.2">
      <c r="A8302">
        <v>30900</v>
      </c>
      <c r="B8302">
        <v>26545</v>
      </c>
      <c r="C8302">
        <v>72</v>
      </c>
      <c r="D8302">
        <v>542.4</v>
      </c>
      <c r="E8302">
        <v>13.8</v>
      </c>
    </row>
    <row r="8303" spans="1:5" x14ac:dyDescent="0.2">
      <c r="A8303">
        <v>30920</v>
      </c>
      <c r="B8303">
        <v>26567</v>
      </c>
      <c r="C8303">
        <v>71</v>
      </c>
      <c r="D8303">
        <v>541.79999999999995</v>
      </c>
      <c r="E8303">
        <v>13.7</v>
      </c>
    </row>
    <row r="8304" spans="1:5" x14ac:dyDescent="0.2">
      <c r="A8304">
        <v>30940</v>
      </c>
      <c r="B8304">
        <v>26588</v>
      </c>
      <c r="C8304">
        <v>71</v>
      </c>
      <c r="D8304">
        <v>541.5</v>
      </c>
      <c r="E8304">
        <v>13.6</v>
      </c>
    </row>
    <row r="8305" spans="1:5" x14ac:dyDescent="0.2">
      <c r="A8305">
        <v>30960</v>
      </c>
      <c r="B8305">
        <v>26611</v>
      </c>
      <c r="C8305">
        <v>72</v>
      </c>
      <c r="D8305">
        <v>540.9</v>
      </c>
      <c r="E8305">
        <v>13.8</v>
      </c>
    </row>
    <row r="8306" spans="1:5" x14ac:dyDescent="0.2">
      <c r="A8306">
        <v>30980</v>
      </c>
      <c r="B8306">
        <v>26635</v>
      </c>
      <c r="C8306">
        <v>75</v>
      </c>
      <c r="D8306">
        <v>539.9</v>
      </c>
      <c r="E8306">
        <v>14.4</v>
      </c>
    </row>
    <row r="8307" spans="1:5" x14ac:dyDescent="0.2">
      <c r="A8307">
        <v>31000</v>
      </c>
      <c r="B8307">
        <v>26665</v>
      </c>
      <c r="C8307">
        <v>81</v>
      </c>
      <c r="D8307">
        <v>538</v>
      </c>
      <c r="E8307">
        <v>15.4</v>
      </c>
    </row>
    <row r="8308" spans="1:5" x14ac:dyDescent="0.2">
      <c r="A8308">
        <v>31020</v>
      </c>
      <c r="B8308">
        <v>26700</v>
      </c>
      <c r="C8308">
        <v>89</v>
      </c>
      <c r="D8308">
        <v>534.9</v>
      </c>
      <c r="E8308">
        <v>16.899999999999999</v>
      </c>
    </row>
    <row r="8309" spans="1:5" x14ac:dyDescent="0.2">
      <c r="A8309">
        <v>31040</v>
      </c>
      <c r="B8309">
        <v>26744</v>
      </c>
      <c r="C8309">
        <v>99</v>
      </c>
      <c r="D8309">
        <v>530.4</v>
      </c>
      <c r="E8309">
        <v>18.899999999999999</v>
      </c>
    </row>
    <row r="8310" spans="1:5" x14ac:dyDescent="0.2">
      <c r="A8310">
        <v>31060</v>
      </c>
      <c r="B8310">
        <v>26796</v>
      </c>
      <c r="C8310">
        <v>109</v>
      </c>
      <c r="D8310">
        <v>524.20000000000005</v>
      </c>
      <c r="E8310">
        <v>20.6</v>
      </c>
    </row>
    <row r="8311" spans="1:5" x14ac:dyDescent="0.2">
      <c r="A8311">
        <v>31080</v>
      </c>
      <c r="B8311">
        <v>26855</v>
      </c>
      <c r="C8311">
        <v>119</v>
      </c>
      <c r="D8311">
        <v>516.70000000000005</v>
      </c>
      <c r="E8311">
        <v>22.4</v>
      </c>
    </row>
    <row r="8312" spans="1:5" x14ac:dyDescent="0.2">
      <c r="A8312">
        <v>31100</v>
      </c>
      <c r="B8312">
        <v>26920</v>
      </c>
      <c r="C8312">
        <v>127</v>
      </c>
      <c r="D8312">
        <v>508.1</v>
      </c>
      <c r="E8312">
        <v>23.7</v>
      </c>
    </row>
    <row r="8313" spans="1:5" x14ac:dyDescent="0.2">
      <c r="A8313">
        <v>31120</v>
      </c>
      <c r="B8313">
        <v>26990</v>
      </c>
      <c r="C8313">
        <v>130</v>
      </c>
      <c r="D8313">
        <v>498.8</v>
      </c>
      <c r="E8313">
        <v>24.2</v>
      </c>
    </row>
    <row r="8314" spans="1:5" x14ac:dyDescent="0.2">
      <c r="A8314">
        <v>31140</v>
      </c>
      <c r="B8314">
        <v>27060</v>
      </c>
      <c r="C8314">
        <v>129</v>
      </c>
      <c r="D8314">
        <v>489.2</v>
      </c>
      <c r="E8314">
        <v>23.9</v>
      </c>
    </row>
    <row r="8315" spans="1:5" x14ac:dyDescent="0.2">
      <c r="A8315">
        <v>31160</v>
      </c>
      <c r="B8315">
        <v>27129</v>
      </c>
      <c r="C8315">
        <v>125</v>
      </c>
      <c r="D8315">
        <v>480.1</v>
      </c>
      <c r="E8315">
        <v>23.1</v>
      </c>
    </row>
    <row r="8316" spans="1:5" x14ac:dyDescent="0.2">
      <c r="A8316">
        <v>31180</v>
      </c>
      <c r="B8316">
        <v>27194</v>
      </c>
      <c r="C8316">
        <v>118</v>
      </c>
      <c r="D8316">
        <v>471.8</v>
      </c>
      <c r="E8316">
        <v>21.7</v>
      </c>
    </row>
    <row r="8317" spans="1:5" x14ac:dyDescent="0.2">
      <c r="A8317">
        <v>31200</v>
      </c>
      <c r="B8317">
        <v>27251</v>
      </c>
      <c r="C8317">
        <v>108</v>
      </c>
      <c r="D8317">
        <v>464.9</v>
      </c>
      <c r="E8317">
        <v>19.8</v>
      </c>
    </row>
    <row r="8318" spans="1:5" x14ac:dyDescent="0.2">
      <c r="A8318">
        <v>31220</v>
      </c>
      <c r="B8318">
        <v>27301</v>
      </c>
      <c r="C8318">
        <v>99</v>
      </c>
      <c r="D8318">
        <v>459.2</v>
      </c>
      <c r="E8318">
        <v>18.100000000000001</v>
      </c>
    </row>
    <row r="8319" spans="1:5" x14ac:dyDescent="0.2">
      <c r="A8319">
        <v>31240</v>
      </c>
      <c r="B8319">
        <v>27344</v>
      </c>
      <c r="C8319">
        <v>91</v>
      </c>
      <c r="D8319">
        <v>454.9</v>
      </c>
      <c r="E8319">
        <v>16.600000000000001</v>
      </c>
    </row>
    <row r="8320" spans="1:5" x14ac:dyDescent="0.2">
      <c r="A8320">
        <v>31260</v>
      </c>
      <c r="B8320">
        <v>27381</v>
      </c>
      <c r="C8320">
        <v>86</v>
      </c>
      <c r="D8320">
        <v>451.8</v>
      </c>
      <c r="E8320">
        <v>15.5</v>
      </c>
    </row>
    <row r="8321" spans="1:5" x14ac:dyDescent="0.2">
      <c r="A8321">
        <v>31280</v>
      </c>
      <c r="B8321">
        <v>27411</v>
      </c>
      <c r="C8321">
        <v>82</v>
      </c>
      <c r="D8321">
        <v>449.9</v>
      </c>
      <c r="E8321">
        <v>14.8</v>
      </c>
    </row>
    <row r="8322" spans="1:5" x14ac:dyDescent="0.2">
      <c r="A8322">
        <v>31300</v>
      </c>
      <c r="B8322">
        <v>27436</v>
      </c>
      <c r="C8322">
        <v>80</v>
      </c>
      <c r="D8322">
        <v>448.9</v>
      </c>
      <c r="E8322">
        <v>14.5</v>
      </c>
    </row>
    <row r="8323" spans="1:5" x14ac:dyDescent="0.2">
      <c r="A8323">
        <v>31320</v>
      </c>
      <c r="B8323">
        <v>27457</v>
      </c>
      <c r="C8323">
        <v>80</v>
      </c>
      <c r="D8323">
        <v>448.6</v>
      </c>
      <c r="E8323">
        <v>14.5</v>
      </c>
    </row>
    <row r="8324" spans="1:5" x14ac:dyDescent="0.2">
      <c r="A8324">
        <v>31340</v>
      </c>
      <c r="B8324">
        <v>27473</v>
      </c>
      <c r="C8324">
        <v>80</v>
      </c>
      <c r="D8324">
        <v>449.1</v>
      </c>
      <c r="E8324">
        <v>14.4</v>
      </c>
    </row>
    <row r="8325" spans="1:5" x14ac:dyDescent="0.2">
      <c r="A8325">
        <v>31360</v>
      </c>
      <c r="B8325">
        <v>27487</v>
      </c>
      <c r="C8325">
        <v>80</v>
      </c>
      <c r="D8325">
        <v>450.2</v>
      </c>
      <c r="E8325">
        <v>14.5</v>
      </c>
    </row>
    <row r="8326" spans="1:5" x14ac:dyDescent="0.2">
      <c r="A8326">
        <v>31380</v>
      </c>
      <c r="B8326">
        <v>27498</v>
      </c>
      <c r="C8326">
        <v>81</v>
      </c>
      <c r="D8326">
        <v>451.7</v>
      </c>
      <c r="E8326">
        <v>14.6</v>
      </c>
    </row>
    <row r="8327" spans="1:5" x14ac:dyDescent="0.2">
      <c r="A8327">
        <v>31400</v>
      </c>
      <c r="B8327">
        <v>27506</v>
      </c>
      <c r="C8327">
        <v>81</v>
      </c>
      <c r="D8327">
        <v>453.7</v>
      </c>
      <c r="E8327">
        <v>14.6</v>
      </c>
    </row>
    <row r="8328" spans="1:5" x14ac:dyDescent="0.2">
      <c r="A8328">
        <v>31420</v>
      </c>
      <c r="B8328">
        <v>27512</v>
      </c>
      <c r="C8328">
        <v>81</v>
      </c>
      <c r="D8328">
        <v>456.2</v>
      </c>
      <c r="E8328">
        <v>14.8</v>
      </c>
    </row>
    <row r="8329" spans="1:5" x14ac:dyDescent="0.2">
      <c r="A8329">
        <v>31440</v>
      </c>
      <c r="B8329">
        <v>27517</v>
      </c>
      <c r="C8329">
        <v>83</v>
      </c>
      <c r="D8329">
        <v>458.8</v>
      </c>
      <c r="E8329">
        <v>15.1</v>
      </c>
    </row>
    <row r="8330" spans="1:5" x14ac:dyDescent="0.2">
      <c r="A8330">
        <v>31460</v>
      </c>
      <c r="B8330">
        <v>27523</v>
      </c>
      <c r="C8330">
        <v>86</v>
      </c>
      <c r="D8330">
        <v>461.2</v>
      </c>
      <c r="E8330">
        <v>15.7</v>
      </c>
    </row>
    <row r="8331" spans="1:5" x14ac:dyDescent="0.2">
      <c r="A8331">
        <v>31480</v>
      </c>
      <c r="B8331">
        <v>27530</v>
      </c>
      <c r="C8331">
        <v>90</v>
      </c>
      <c r="D8331">
        <v>463.6</v>
      </c>
      <c r="E8331">
        <v>16.399999999999999</v>
      </c>
    </row>
    <row r="8332" spans="1:5" x14ac:dyDescent="0.2">
      <c r="A8332">
        <v>31500</v>
      </c>
      <c r="B8332">
        <v>27538</v>
      </c>
      <c r="C8332">
        <v>95</v>
      </c>
      <c r="D8332">
        <v>465.7</v>
      </c>
      <c r="E8332">
        <v>17.399999999999999</v>
      </c>
    </row>
    <row r="8333" spans="1:5" x14ac:dyDescent="0.2">
      <c r="A8333">
        <v>31520</v>
      </c>
      <c r="B8333">
        <v>27550</v>
      </c>
      <c r="C8333">
        <v>102</v>
      </c>
      <c r="D8333">
        <v>467.1</v>
      </c>
      <c r="E8333">
        <v>18.7</v>
      </c>
    </row>
    <row r="8334" spans="1:5" x14ac:dyDescent="0.2">
      <c r="A8334">
        <v>31540</v>
      </c>
      <c r="B8334">
        <v>27565</v>
      </c>
      <c r="C8334">
        <v>109</v>
      </c>
      <c r="D8334">
        <v>467.9</v>
      </c>
      <c r="E8334">
        <v>19.8</v>
      </c>
    </row>
    <row r="8335" spans="1:5" x14ac:dyDescent="0.2">
      <c r="A8335">
        <v>31560</v>
      </c>
      <c r="B8335">
        <v>27583</v>
      </c>
      <c r="C8335">
        <v>113</v>
      </c>
      <c r="D8335">
        <v>468.1</v>
      </c>
      <c r="E8335">
        <v>20.7</v>
      </c>
    </row>
    <row r="8336" spans="1:5" x14ac:dyDescent="0.2">
      <c r="A8336">
        <v>31580</v>
      </c>
      <c r="B8336">
        <v>27605</v>
      </c>
      <c r="C8336">
        <v>116</v>
      </c>
      <c r="D8336">
        <v>467.6</v>
      </c>
      <c r="E8336">
        <v>21.2</v>
      </c>
    </row>
    <row r="8337" spans="1:5" x14ac:dyDescent="0.2">
      <c r="A8337">
        <v>31600</v>
      </c>
      <c r="B8337">
        <v>27629</v>
      </c>
      <c r="C8337">
        <v>117</v>
      </c>
      <c r="D8337">
        <v>466.8</v>
      </c>
      <c r="E8337">
        <v>21.4</v>
      </c>
    </row>
    <row r="8338" spans="1:5" x14ac:dyDescent="0.2">
      <c r="A8338">
        <v>31620</v>
      </c>
      <c r="B8338">
        <v>27656</v>
      </c>
      <c r="C8338">
        <v>118</v>
      </c>
      <c r="D8338">
        <v>465.5</v>
      </c>
      <c r="E8338">
        <v>21.5</v>
      </c>
    </row>
    <row r="8339" spans="1:5" x14ac:dyDescent="0.2">
      <c r="A8339">
        <v>31640</v>
      </c>
      <c r="B8339">
        <v>27684</v>
      </c>
      <c r="C8339">
        <v>117</v>
      </c>
      <c r="D8339">
        <v>463.9</v>
      </c>
      <c r="E8339">
        <v>21.3</v>
      </c>
    </row>
    <row r="8340" spans="1:5" x14ac:dyDescent="0.2">
      <c r="A8340">
        <v>31660</v>
      </c>
      <c r="B8340">
        <v>27713</v>
      </c>
      <c r="C8340">
        <v>116</v>
      </c>
      <c r="D8340">
        <v>462.1</v>
      </c>
      <c r="E8340">
        <v>21.1</v>
      </c>
    </row>
    <row r="8341" spans="1:5" x14ac:dyDescent="0.2">
      <c r="A8341">
        <v>31680</v>
      </c>
      <c r="B8341">
        <v>27744</v>
      </c>
      <c r="C8341">
        <v>115</v>
      </c>
      <c r="D8341">
        <v>460.1</v>
      </c>
      <c r="E8341">
        <v>20.9</v>
      </c>
    </row>
    <row r="8342" spans="1:5" x14ac:dyDescent="0.2">
      <c r="A8342">
        <v>31700</v>
      </c>
      <c r="B8342">
        <v>27775</v>
      </c>
      <c r="C8342">
        <v>114</v>
      </c>
      <c r="D8342">
        <v>457.9</v>
      </c>
      <c r="E8342">
        <v>20.6</v>
      </c>
    </row>
    <row r="8343" spans="1:5" x14ac:dyDescent="0.2">
      <c r="A8343">
        <v>31720</v>
      </c>
      <c r="B8343">
        <v>27806</v>
      </c>
      <c r="C8343">
        <v>112</v>
      </c>
      <c r="D8343">
        <v>455.8</v>
      </c>
      <c r="E8343">
        <v>20.3</v>
      </c>
    </row>
    <row r="8344" spans="1:5" x14ac:dyDescent="0.2">
      <c r="A8344">
        <v>31740</v>
      </c>
      <c r="B8344">
        <v>27837</v>
      </c>
      <c r="C8344">
        <v>110</v>
      </c>
      <c r="D8344">
        <v>453.8</v>
      </c>
      <c r="E8344">
        <v>20</v>
      </c>
    </row>
    <row r="8345" spans="1:5" x14ac:dyDescent="0.2">
      <c r="A8345">
        <v>31760</v>
      </c>
      <c r="B8345">
        <v>27866</v>
      </c>
      <c r="C8345">
        <v>108</v>
      </c>
      <c r="D8345">
        <v>451.9</v>
      </c>
      <c r="E8345">
        <v>19.5</v>
      </c>
    </row>
    <row r="8346" spans="1:5" x14ac:dyDescent="0.2">
      <c r="A8346">
        <v>31780</v>
      </c>
      <c r="B8346">
        <v>27895</v>
      </c>
      <c r="C8346">
        <v>104</v>
      </c>
      <c r="D8346">
        <v>450.2</v>
      </c>
      <c r="E8346">
        <v>18.899999999999999</v>
      </c>
    </row>
    <row r="8347" spans="1:5" x14ac:dyDescent="0.2">
      <c r="A8347">
        <v>31800</v>
      </c>
      <c r="B8347">
        <v>27922</v>
      </c>
      <c r="C8347">
        <v>101</v>
      </c>
      <c r="D8347">
        <v>448.8</v>
      </c>
      <c r="E8347">
        <v>18.2</v>
      </c>
    </row>
    <row r="8348" spans="1:5" x14ac:dyDescent="0.2">
      <c r="A8348">
        <v>31820</v>
      </c>
      <c r="B8348">
        <v>27949</v>
      </c>
      <c r="C8348">
        <v>97</v>
      </c>
      <c r="D8348">
        <v>447.6</v>
      </c>
      <c r="E8348">
        <v>17.5</v>
      </c>
    </row>
    <row r="8349" spans="1:5" x14ac:dyDescent="0.2">
      <c r="A8349">
        <v>31840</v>
      </c>
      <c r="B8349">
        <v>27973</v>
      </c>
      <c r="C8349">
        <v>95</v>
      </c>
      <c r="D8349">
        <v>446.6</v>
      </c>
      <c r="E8349">
        <v>17</v>
      </c>
    </row>
    <row r="8350" spans="1:5" x14ac:dyDescent="0.2">
      <c r="A8350">
        <v>31860</v>
      </c>
      <c r="B8350">
        <v>27996</v>
      </c>
      <c r="C8350">
        <v>94</v>
      </c>
      <c r="D8350">
        <v>446</v>
      </c>
      <c r="E8350">
        <v>16.899999999999999</v>
      </c>
    </row>
    <row r="8351" spans="1:5" x14ac:dyDescent="0.2">
      <c r="A8351">
        <v>31880</v>
      </c>
      <c r="B8351">
        <v>28019</v>
      </c>
      <c r="C8351">
        <v>94</v>
      </c>
      <c r="D8351">
        <v>445.4</v>
      </c>
      <c r="E8351">
        <v>17</v>
      </c>
    </row>
    <row r="8352" spans="1:5" x14ac:dyDescent="0.2">
      <c r="A8352">
        <v>31900</v>
      </c>
      <c r="B8352">
        <v>28041</v>
      </c>
      <c r="C8352">
        <v>95</v>
      </c>
      <c r="D8352">
        <v>445</v>
      </c>
      <c r="E8352">
        <v>17.100000000000001</v>
      </c>
    </row>
    <row r="8353" spans="1:5" x14ac:dyDescent="0.2">
      <c r="A8353">
        <v>31920</v>
      </c>
      <c r="B8353">
        <v>28061</v>
      </c>
      <c r="C8353">
        <v>95</v>
      </c>
      <c r="D8353">
        <v>444.8</v>
      </c>
      <c r="E8353">
        <v>17.2</v>
      </c>
    </row>
    <row r="8354" spans="1:5" x14ac:dyDescent="0.2">
      <c r="A8354">
        <v>31940</v>
      </c>
      <c r="B8354">
        <v>28081</v>
      </c>
      <c r="C8354">
        <v>95</v>
      </c>
      <c r="D8354">
        <v>444.6</v>
      </c>
      <c r="E8354">
        <v>17</v>
      </c>
    </row>
    <row r="8355" spans="1:5" x14ac:dyDescent="0.2">
      <c r="A8355">
        <v>31960</v>
      </c>
      <c r="B8355">
        <v>28101</v>
      </c>
      <c r="C8355">
        <v>94</v>
      </c>
      <c r="D8355">
        <v>444.6</v>
      </c>
      <c r="E8355">
        <v>16.899999999999999</v>
      </c>
    </row>
    <row r="8356" spans="1:5" x14ac:dyDescent="0.2">
      <c r="A8356">
        <v>31980</v>
      </c>
      <c r="B8356">
        <v>28120</v>
      </c>
      <c r="C8356">
        <v>94</v>
      </c>
      <c r="D8356">
        <v>444.7</v>
      </c>
      <c r="E8356">
        <v>16.8</v>
      </c>
    </row>
    <row r="8357" spans="1:5" x14ac:dyDescent="0.2">
      <c r="A8357">
        <v>32000</v>
      </c>
      <c r="B8357">
        <v>28138</v>
      </c>
      <c r="C8357">
        <v>94</v>
      </c>
      <c r="D8357">
        <v>444.9</v>
      </c>
      <c r="E8357">
        <v>16.8</v>
      </c>
    </row>
    <row r="8358" spans="1:5" x14ac:dyDescent="0.2">
      <c r="A8358">
        <v>32020</v>
      </c>
      <c r="B8358">
        <v>28157</v>
      </c>
      <c r="C8358">
        <v>94</v>
      </c>
      <c r="D8358">
        <v>445</v>
      </c>
      <c r="E8358">
        <v>16.899999999999999</v>
      </c>
    </row>
    <row r="8359" spans="1:5" x14ac:dyDescent="0.2">
      <c r="A8359">
        <v>32040</v>
      </c>
      <c r="B8359">
        <v>28176</v>
      </c>
      <c r="C8359">
        <v>95</v>
      </c>
      <c r="D8359">
        <v>445.1</v>
      </c>
      <c r="E8359">
        <v>17.2</v>
      </c>
    </row>
    <row r="8360" spans="1:5" x14ac:dyDescent="0.2">
      <c r="A8360">
        <v>32060</v>
      </c>
      <c r="B8360">
        <v>28194</v>
      </c>
      <c r="C8360">
        <v>97</v>
      </c>
      <c r="D8360">
        <v>445.4</v>
      </c>
      <c r="E8360">
        <v>17.5</v>
      </c>
    </row>
    <row r="8361" spans="1:5" x14ac:dyDescent="0.2">
      <c r="A8361">
        <v>32080</v>
      </c>
      <c r="B8361">
        <v>28213</v>
      </c>
      <c r="C8361">
        <v>100</v>
      </c>
      <c r="D8361">
        <v>445.5</v>
      </c>
      <c r="E8361">
        <v>18</v>
      </c>
    </row>
    <row r="8362" spans="1:5" x14ac:dyDescent="0.2">
      <c r="A8362">
        <v>32100</v>
      </c>
      <c r="B8362">
        <v>28232</v>
      </c>
      <c r="C8362">
        <v>102</v>
      </c>
      <c r="D8362">
        <v>445.6</v>
      </c>
      <c r="E8362">
        <v>18.3</v>
      </c>
    </row>
    <row r="8363" spans="1:5" x14ac:dyDescent="0.2">
      <c r="A8363">
        <v>32120</v>
      </c>
      <c r="B8363">
        <v>28252</v>
      </c>
      <c r="C8363">
        <v>103</v>
      </c>
      <c r="D8363">
        <v>445.5</v>
      </c>
      <c r="E8363">
        <v>18.5</v>
      </c>
    </row>
    <row r="8364" spans="1:5" x14ac:dyDescent="0.2">
      <c r="A8364">
        <v>32140</v>
      </c>
      <c r="B8364">
        <v>28271</v>
      </c>
      <c r="C8364">
        <v>103</v>
      </c>
      <c r="D8364">
        <v>445.5</v>
      </c>
      <c r="E8364">
        <v>18.5</v>
      </c>
    </row>
    <row r="8365" spans="1:5" x14ac:dyDescent="0.2">
      <c r="A8365">
        <v>32160</v>
      </c>
      <c r="B8365">
        <v>28292</v>
      </c>
      <c r="C8365">
        <v>102</v>
      </c>
      <c r="D8365">
        <v>445.2</v>
      </c>
      <c r="E8365">
        <v>18.3</v>
      </c>
    </row>
    <row r="8366" spans="1:5" x14ac:dyDescent="0.2">
      <c r="A8366">
        <v>32180</v>
      </c>
      <c r="B8366">
        <v>28313</v>
      </c>
      <c r="C8366">
        <v>98</v>
      </c>
      <c r="D8366">
        <v>444.9</v>
      </c>
      <c r="E8366">
        <v>17.7</v>
      </c>
    </row>
    <row r="8367" spans="1:5" x14ac:dyDescent="0.2">
      <c r="A8367">
        <v>32200</v>
      </c>
      <c r="B8367">
        <v>28335</v>
      </c>
      <c r="C8367">
        <v>95</v>
      </c>
      <c r="D8367">
        <v>444.6</v>
      </c>
      <c r="E8367">
        <v>17.100000000000001</v>
      </c>
    </row>
    <row r="8368" spans="1:5" x14ac:dyDescent="0.2">
      <c r="A8368">
        <v>32220</v>
      </c>
      <c r="B8368">
        <v>28356</v>
      </c>
      <c r="C8368">
        <v>93</v>
      </c>
      <c r="D8368">
        <v>444.2</v>
      </c>
      <c r="E8368">
        <v>16.7</v>
      </c>
    </row>
    <row r="8369" spans="1:5" x14ac:dyDescent="0.2">
      <c r="A8369">
        <v>32240</v>
      </c>
      <c r="B8369">
        <v>28375</v>
      </c>
      <c r="C8369">
        <v>92</v>
      </c>
      <c r="D8369">
        <v>444.2</v>
      </c>
      <c r="E8369">
        <v>16.600000000000001</v>
      </c>
    </row>
    <row r="8370" spans="1:5" x14ac:dyDescent="0.2">
      <c r="A8370">
        <v>32260</v>
      </c>
      <c r="B8370">
        <v>28394</v>
      </c>
      <c r="C8370">
        <v>92</v>
      </c>
      <c r="D8370">
        <v>444.4</v>
      </c>
      <c r="E8370">
        <v>16.600000000000001</v>
      </c>
    </row>
    <row r="8371" spans="1:5" x14ac:dyDescent="0.2">
      <c r="A8371">
        <v>32280</v>
      </c>
      <c r="B8371">
        <v>28410</v>
      </c>
      <c r="C8371">
        <v>93</v>
      </c>
      <c r="D8371">
        <v>445</v>
      </c>
      <c r="E8371">
        <v>16.7</v>
      </c>
    </row>
    <row r="8372" spans="1:5" x14ac:dyDescent="0.2">
      <c r="A8372">
        <v>32300</v>
      </c>
      <c r="B8372">
        <v>28423</v>
      </c>
      <c r="C8372">
        <v>94</v>
      </c>
      <c r="D8372">
        <v>446.1</v>
      </c>
      <c r="E8372">
        <v>16.899999999999999</v>
      </c>
    </row>
    <row r="8373" spans="1:5" x14ac:dyDescent="0.2">
      <c r="A8373">
        <v>32320</v>
      </c>
      <c r="B8373">
        <v>28433</v>
      </c>
      <c r="C8373">
        <v>94</v>
      </c>
      <c r="D8373">
        <v>447.8</v>
      </c>
      <c r="E8373">
        <v>16.899999999999999</v>
      </c>
    </row>
    <row r="8374" spans="1:5" x14ac:dyDescent="0.2">
      <c r="A8374">
        <v>32340</v>
      </c>
      <c r="B8374">
        <v>28440</v>
      </c>
      <c r="C8374">
        <v>95</v>
      </c>
      <c r="D8374">
        <v>450</v>
      </c>
      <c r="E8374">
        <v>17.2</v>
      </c>
    </row>
    <row r="8375" spans="1:5" x14ac:dyDescent="0.2">
      <c r="A8375">
        <v>32360</v>
      </c>
      <c r="B8375">
        <v>28446</v>
      </c>
      <c r="C8375">
        <v>97</v>
      </c>
      <c r="D8375">
        <v>452.6</v>
      </c>
      <c r="E8375">
        <v>17.600000000000001</v>
      </c>
    </row>
    <row r="8376" spans="1:5" x14ac:dyDescent="0.2">
      <c r="A8376">
        <v>32380</v>
      </c>
      <c r="B8376">
        <v>28449</v>
      </c>
      <c r="C8376">
        <v>101</v>
      </c>
      <c r="D8376">
        <v>455.5</v>
      </c>
      <c r="E8376">
        <v>18.3</v>
      </c>
    </row>
    <row r="8377" spans="1:5" x14ac:dyDescent="0.2">
      <c r="A8377">
        <v>32400</v>
      </c>
      <c r="B8377">
        <v>28450</v>
      </c>
      <c r="C8377">
        <v>105</v>
      </c>
      <c r="D8377">
        <v>458.8</v>
      </c>
      <c r="E8377">
        <v>19.100000000000001</v>
      </c>
    </row>
    <row r="8378" spans="1:5" x14ac:dyDescent="0.2">
      <c r="A8378">
        <v>32420</v>
      </c>
      <c r="B8378">
        <v>28450</v>
      </c>
      <c r="C8378">
        <v>108</v>
      </c>
      <c r="D8378">
        <v>462.3</v>
      </c>
      <c r="E8378">
        <v>19.7</v>
      </c>
    </row>
    <row r="8379" spans="1:5" x14ac:dyDescent="0.2">
      <c r="A8379">
        <v>32440</v>
      </c>
      <c r="B8379">
        <v>28449</v>
      </c>
      <c r="C8379">
        <v>111</v>
      </c>
      <c r="D8379">
        <v>466.1</v>
      </c>
      <c r="E8379">
        <v>20.2</v>
      </c>
    </row>
    <row r="8380" spans="1:5" x14ac:dyDescent="0.2">
      <c r="A8380">
        <v>32460</v>
      </c>
      <c r="B8380">
        <v>28447</v>
      </c>
      <c r="C8380">
        <v>112</v>
      </c>
      <c r="D8380">
        <v>470.1</v>
      </c>
      <c r="E8380">
        <v>20.5</v>
      </c>
    </row>
    <row r="8381" spans="1:5" x14ac:dyDescent="0.2">
      <c r="A8381">
        <v>32480</v>
      </c>
      <c r="B8381">
        <v>28443</v>
      </c>
      <c r="C8381">
        <v>114</v>
      </c>
      <c r="D8381">
        <v>474.3</v>
      </c>
      <c r="E8381">
        <v>20.9</v>
      </c>
    </row>
    <row r="8382" spans="1:5" x14ac:dyDescent="0.2">
      <c r="A8382">
        <v>32500</v>
      </c>
      <c r="B8382">
        <v>28439</v>
      </c>
      <c r="C8382">
        <v>116</v>
      </c>
      <c r="D8382">
        <v>478.7</v>
      </c>
      <c r="E8382">
        <v>21.4</v>
      </c>
    </row>
    <row r="8383" spans="1:5" x14ac:dyDescent="0.2">
      <c r="A8383">
        <v>32520</v>
      </c>
      <c r="B8383">
        <v>28432</v>
      </c>
      <c r="C8383">
        <v>118</v>
      </c>
      <c r="D8383">
        <v>483.5</v>
      </c>
      <c r="E8383">
        <v>21.9</v>
      </c>
    </row>
    <row r="8384" spans="1:5" x14ac:dyDescent="0.2">
      <c r="A8384">
        <v>32540</v>
      </c>
      <c r="B8384">
        <v>28423</v>
      </c>
      <c r="C8384">
        <v>120</v>
      </c>
      <c r="D8384">
        <v>488.7</v>
      </c>
      <c r="E8384">
        <v>22.3</v>
      </c>
    </row>
    <row r="8385" spans="1:5" x14ac:dyDescent="0.2">
      <c r="A8385">
        <v>32560</v>
      </c>
      <c r="B8385">
        <v>28414</v>
      </c>
      <c r="C8385">
        <v>121</v>
      </c>
      <c r="D8385">
        <v>494.1</v>
      </c>
      <c r="E8385">
        <v>22.6</v>
      </c>
    </row>
    <row r="8386" spans="1:5" x14ac:dyDescent="0.2">
      <c r="A8386">
        <v>32580</v>
      </c>
      <c r="B8386">
        <v>28404</v>
      </c>
      <c r="C8386">
        <v>122</v>
      </c>
      <c r="D8386">
        <v>499.6</v>
      </c>
      <c r="E8386">
        <v>22.8</v>
      </c>
    </row>
    <row r="8387" spans="1:5" x14ac:dyDescent="0.2">
      <c r="A8387">
        <v>32600</v>
      </c>
      <c r="B8387">
        <v>28394</v>
      </c>
      <c r="C8387">
        <v>124</v>
      </c>
      <c r="D8387">
        <v>505.1</v>
      </c>
      <c r="E8387">
        <v>23.3</v>
      </c>
    </row>
    <row r="8388" spans="1:5" x14ac:dyDescent="0.2">
      <c r="A8388">
        <v>32620</v>
      </c>
      <c r="B8388">
        <v>28386</v>
      </c>
      <c r="C8388">
        <v>126</v>
      </c>
      <c r="D8388">
        <v>510.3</v>
      </c>
      <c r="E8388">
        <v>23.7</v>
      </c>
    </row>
    <row r="8389" spans="1:5" x14ac:dyDescent="0.2">
      <c r="A8389">
        <v>32640</v>
      </c>
      <c r="B8389">
        <v>28379</v>
      </c>
      <c r="C8389">
        <v>127</v>
      </c>
      <c r="D8389">
        <v>515.20000000000005</v>
      </c>
      <c r="E8389">
        <v>23.9</v>
      </c>
    </row>
    <row r="8390" spans="1:5" x14ac:dyDescent="0.2">
      <c r="A8390">
        <v>32660</v>
      </c>
      <c r="B8390">
        <v>28375</v>
      </c>
      <c r="C8390">
        <v>126</v>
      </c>
      <c r="D8390">
        <v>519.6</v>
      </c>
      <c r="E8390">
        <v>23.9</v>
      </c>
    </row>
    <row r="8391" spans="1:5" x14ac:dyDescent="0.2">
      <c r="A8391">
        <v>32680</v>
      </c>
      <c r="B8391">
        <v>28374</v>
      </c>
      <c r="C8391">
        <v>126</v>
      </c>
      <c r="D8391">
        <v>523.6</v>
      </c>
      <c r="E8391">
        <v>23.9</v>
      </c>
    </row>
    <row r="8392" spans="1:5" x14ac:dyDescent="0.2">
      <c r="A8392">
        <v>32700</v>
      </c>
      <c r="B8392">
        <v>28374</v>
      </c>
      <c r="C8392">
        <v>126</v>
      </c>
      <c r="D8392">
        <v>527.20000000000005</v>
      </c>
      <c r="E8392">
        <v>23.9</v>
      </c>
    </row>
    <row r="8393" spans="1:5" x14ac:dyDescent="0.2">
      <c r="A8393">
        <v>32720</v>
      </c>
      <c r="B8393">
        <v>28377</v>
      </c>
      <c r="C8393">
        <v>126</v>
      </c>
      <c r="D8393">
        <v>530.4</v>
      </c>
      <c r="E8393">
        <v>24.1</v>
      </c>
    </row>
    <row r="8394" spans="1:5" x14ac:dyDescent="0.2">
      <c r="A8394">
        <v>32740</v>
      </c>
      <c r="B8394">
        <v>28382</v>
      </c>
      <c r="C8394">
        <v>126</v>
      </c>
      <c r="D8394">
        <v>533.1</v>
      </c>
      <c r="E8394">
        <v>24</v>
      </c>
    </row>
    <row r="8395" spans="1:5" x14ac:dyDescent="0.2">
      <c r="A8395">
        <v>32760</v>
      </c>
      <c r="B8395">
        <v>28389</v>
      </c>
      <c r="C8395">
        <v>125</v>
      </c>
      <c r="D8395">
        <v>535.5</v>
      </c>
      <c r="E8395">
        <v>23.9</v>
      </c>
    </row>
    <row r="8396" spans="1:5" x14ac:dyDescent="0.2">
      <c r="A8396">
        <v>32780</v>
      </c>
      <c r="B8396">
        <v>28398</v>
      </c>
      <c r="C8396">
        <v>122</v>
      </c>
      <c r="D8396">
        <v>537.4</v>
      </c>
      <c r="E8396">
        <v>23.3</v>
      </c>
    </row>
    <row r="8397" spans="1:5" x14ac:dyDescent="0.2">
      <c r="A8397">
        <v>32800</v>
      </c>
      <c r="B8397">
        <v>28409</v>
      </c>
      <c r="C8397">
        <v>118</v>
      </c>
      <c r="D8397">
        <v>538.9</v>
      </c>
      <c r="E8397">
        <v>22.6</v>
      </c>
    </row>
    <row r="8398" spans="1:5" x14ac:dyDescent="0.2">
      <c r="A8398">
        <v>32820</v>
      </c>
      <c r="B8398">
        <v>28423</v>
      </c>
      <c r="C8398">
        <v>114</v>
      </c>
      <c r="D8398">
        <v>540.1</v>
      </c>
      <c r="E8398">
        <v>21.9</v>
      </c>
    </row>
    <row r="8399" spans="1:5" x14ac:dyDescent="0.2">
      <c r="A8399">
        <v>32840</v>
      </c>
      <c r="B8399">
        <v>28437</v>
      </c>
      <c r="C8399">
        <v>110</v>
      </c>
      <c r="D8399">
        <v>541</v>
      </c>
      <c r="E8399">
        <v>21.2</v>
      </c>
    </row>
    <row r="8400" spans="1:5" x14ac:dyDescent="0.2">
      <c r="A8400">
        <v>32860</v>
      </c>
      <c r="B8400">
        <v>28453</v>
      </c>
      <c r="C8400">
        <v>108</v>
      </c>
      <c r="D8400">
        <v>541.79999999999995</v>
      </c>
      <c r="E8400">
        <v>20.8</v>
      </c>
    </row>
    <row r="8401" spans="1:5" x14ac:dyDescent="0.2">
      <c r="A8401">
        <v>32880</v>
      </c>
      <c r="B8401">
        <v>28469</v>
      </c>
      <c r="C8401">
        <v>107</v>
      </c>
      <c r="D8401">
        <v>542.4</v>
      </c>
      <c r="E8401">
        <v>20.5</v>
      </c>
    </row>
    <row r="8402" spans="1:5" x14ac:dyDescent="0.2">
      <c r="A8402">
        <v>32900</v>
      </c>
      <c r="B8402">
        <v>28486</v>
      </c>
      <c r="C8402">
        <v>106</v>
      </c>
      <c r="D8402">
        <v>542.79999999999995</v>
      </c>
      <c r="E8402">
        <v>20.399999999999999</v>
      </c>
    </row>
    <row r="8403" spans="1:5" x14ac:dyDescent="0.2">
      <c r="A8403">
        <v>32920</v>
      </c>
      <c r="B8403">
        <v>28504</v>
      </c>
      <c r="C8403">
        <v>105</v>
      </c>
      <c r="D8403">
        <v>543.20000000000005</v>
      </c>
      <c r="E8403">
        <v>20.100000000000001</v>
      </c>
    </row>
    <row r="8404" spans="1:5" x14ac:dyDescent="0.2">
      <c r="A8404">
        <v>32940</v>
      </c>
      <c r="B8404">
        <v>28521</v>
      </c>
      <c r="C8404">
        <v>102</v>
      </c>
      <c r="D8404">
        <v>543.5</v>
      </c>
      <c r="E8404">
        <v>19.7</v>
      </c>
    </row>
    <row r="8405" spans="1:5" x14ac:dyDescent="0.2">
      <c r="A8405">
        <v>32960</v>
      </c>
      <c r="B8405">
        <v>28539</v>
      </c>
      <c r="C8405">
        <v>100</v>
      </c>
      <c r="D8405">
        <v>543.9</v>
      </c>
      <c r="E8405">
        <v>19.2</v>
      </c>
    </row>
    <row r="8406" spans="1:5" x14ac:dyDescent="0.2">
      <c r="A8406">
        <v>32980</v>
      </c>
      <c r="B8406">
        <v>28557</v>
      </c>
      <c r="C8406">
        <v>97</v>
      </c>
      <c r="D8406">
        <v>544.1</v>
      </c>
      <c r="E8406">
        <v>18.7</v>
      </c>
    </row>
    <row r="8407" spans="1:5" x14ac:dyDescent="0.2">
      <c r="A8407">
        <v>33000</v>
      </c>
      <c r="B8407">
        <v>28575</v>
      </c>
      <c r="C8407">
        <v>96</v>
      </c>
      <c r="D8407">
        <v>544.29999999999995</v>
      </c>
      <c r="E8407">
        <v>18.399999999999999</v>
      </c>
    </row>
    <row r="8408" spans="1:5" x14ac:dyDescent="0.2">
      <c r="A8408">
        <v>33020</v>
      </c>
      <c r="B8408">
        <v>28595</v>
      </c>
      <c r="C8408">
        <v>95</v>
      </c>
      <c r="D8408">
        <v>544.4</v>
      </c>
      <c r="E8408">
        <v>18.3</v>
      </c>
    </row>
    <row r="8409" spans="1:5" x14ac:dyDescent="0.2">
      <c r="A8409">
        <v>33040</v>
      </c>
      <c r="B8409">
        <v>28614</v>
      </c>
      <c r="C8409">
        <v>95</v>
      </c>
      <c r="D8409">
        <v>544.29999999999995</v>
      </c>
      <c r="E8409">
        <v>18.3</v>
      </c>
    </row>
    <row r="8410" spans="1:5" x14ac:dyDescent="0.2">
      <c r="A8410">
        <v>33060</v>
      </c>
      <c r="B8410">
        <v>28634</v>
      </c>
      <c r="C8410">
        <v>95</v>
      </c>
      <c r="D8410">
        <v>544.29999999999995</v>
      </c>
      <c r="E8410">
        <v>18.3</v>
      </c>
    </row>
    <row r="8411" spans="1:5" x14ac:dyDescent="0.2">
      <c r="A8411">
        <v>33080</v>
      </c>
      <c r="B8411">
        <v>28654</v>
      </c>
      <c r="C8411">
        <v>95</v>
      </c>
      <c r="D8411">
        <v>544.1</v>
      </c>
      <c r="E8411">
        <v>18.2</v>
      </c>
    </row>
    <row r="8412" spans="1:5" x14ac:dyDescent="0.2">
      <c r="A8412">
        <v>33100</v>
      </c>
      <c r="B8412">
        <v>28676</v>
      </c>
      <c r="C8412">
        <v>93</v>
      </c>
      <c r="D8412">
        <v>543.70000000000005</v>
      </c>
      <c r="E8412">
        <v>17.899999999999999</v>
      </c>
    </row>
    <row r="8413" spans="1:5" x14ac:dyDescent="0.2">
      <c r="A8413">
        <v>33120</v>
      </c>
      <c r="B8413">
        <v>28697</v>
      </c>
      <c r="C8413">
        <v>92</v>
      </c>
      <c r="D8413">
        <v>543.29999999999995</v>
      </c>
      <c r="E8413">
        <v>17.8</v>
      </c>
    </row>
    <row r="8414" spans="1:5" x14ac:dyDescent="0.2">
      <c r="A8414">
        <v>33140</v>
      </c>
      <c r="B8414">
        <v>28719</v>
      </c>
      <c r="C8414">
        <v>92</v>
      </c>
      <c r="D8414">
        <v>542.79999999999995</v>
      </c>
      <c r="E8414">
        <v>17.7</v>
      </c>
    </row>
    <row r="8415" spans="1:5" x14ac:dyDescent="0.2">
      <c r="A8415">
        <v>33160</v>
      </c>
      <c r="B8415">
        <v>28741</v>
      </c>
      <c r="C8415">
        <v>92</v>
      </c>
      <c r="D8415">
        <v>542.29999999999995</v>
      </c>
      <c r="E8415">
        <v>17.7</v>
      </c>
    </row>
    <row r="8416" spans="1:5" x14ac:dyDescent="0.2">
      <c r="A8416">
        <v>33180</v>
      </c>
      <c r="B8416">
        <v>28763</v>
      </c>
      <c r="C8416">
        <v>93</v>
      </c>
      <c r="D8416">
        <v>541.79999999999995</v>
      </c>
      <c r="E8416">
        <v>17.8</v>
      </c>
    </row>
    <row r="8417" spans="1:5" x14ac:dyDescent="0.2">
      <c r="A8417">
        <v>33200</v>
      </c>
      <c r="B8417">
        <v>28785</v>
      </c>
      <c r="C8417">
        <v>94</v>
      </c>
      <c r="D8417">
        <v>541.4</v>
      </c>
      <c r="E8417">
        <v>18</v>
      </c>
    </row>
    <row r="8418" spans="1:5" x14ac:dyDescent="0.2">
      <c r="A8418">
        <v>33220</v>
      </c>
      <c r="B8418">
        <v>28807</v>
      </c>
      <c r="C8418">
        <v>93</v>
      </c>
      <c r="D8418">
        <v>540.9</v>
      </c>
      <c r="E8418">
        <v>17.899999999999999</v>
      </c>
    </row>
    <row r="8419" spans="1:5" x14ac:dyDescent="0.2">
      <c r="A8419">
        <v>33240</v>
      </c>
      <c r="B8419">
        <v>28828</v>
      </c>
      <c r="C8419">
        <v>93</v>
      </c>
      <c r="D8419">
        <v>540.6</v>
      </c>
      <c r="E8419">
        <v>17.7</v>
      </c>
    </row>
    <row r="8420" spans="1:5" x14ac:dyDescent="0.2">
      <c r="A8420">
        <v>33260</v>
      </c>
      <c r="B8420">
        <v>28848</v>
      </c>
      <c r="C8420">
        <v>92</v>
      </c>
      <c r="D8420">
        <v>540.4</v>
      </c>
      <c r="E8420">
        <v>17.5</v>
      </c>
    </row>
    <row r="8421" spans="1:5" x14ac:dyDescent="0.2">
      <c r="A8421">
        <v>33280</v>
      </c>
      <c r="B8421">
        <v>28868</v>
      </c>
      <c r="C8421">
        <v>91</v>
      </c>
      <c r="D8421">
        <v>540.4</v>
      </c>
      <c r="E8421">
        <v>17.5</v>
      </c>
    </row>
    <row r="8422" spans="1:5" x14ac:dyDescent="0.2">
      <c r="A8422">
        <v>33300</v>
      </c>
      <c r="B8422">
        <v>28886</v>
      </c>
      <c r="C8422">
        <v>91</v>
      </c>
      <c r="D8422">
        <v>540.70000000000005</v>
      </c>
      <c r="E8422">
        <v>17.5</v>
      </c>
    </row>
    <row r="8423" spans="1:5" x14ac:dyDescent="0.2">
      <c r="A8423">
        <v>33320</v>
      </c>
      <c r="B8423">
        <v>28902</v>
      </c>
      <c r="C8423">
        <v>91</v>
      </c>
      <c r="D8423">
        <v>541.20000000000005</v>
      </c>
      <c r="E8423">
        <v>17.5</v>
      </c>
    </row>
    <row r="8424" spans="1:5" x14ac:dyDescent="0.2">
      <c r="A8424">
        <v>33340</v>
      </c>
      <c r="B8424">
        <v>28917</v>
      </c>
      <c r="C8424">
        <v>91</v>
      </c>
      <c r="D8424">
        <v>542.1</v>
      </c>
      <c r="E8424">
        <v>17.5</v>
      </c>
    </row>
    <row r="8425" spans="1:5" x14ac:dyDescent="0.2">
      <c r="A8425">
        <v>33360</v>
      </c>
      <c r="B8425">
        <v>28931</v>
      </c>
      <c r="C8425">
        <v>92</v>
      </c>
      <c r="D8425">
        <v>543.20000000000005</v>
      </c>
      <c r="E8425">
        <v>17.600000000000001</v>
      </c>
    </row>
    <row r="8426" spans="1:5" x14ac:dyDescent="0.2">
      <c r="A8426">
        <v>33380</v>
      </c>
      <c r="B8426">
        <v>28943</v>
      </c>
      <c r="C8426">
        <v>93</v>
      </c>
      <c r="D8426">
        <v>544.70000000000005</v>
      </c>
      <c r="E8426">
        <v>18</v>
      </c>
    </row>
    <row r="8427" spans="1:5" x14ac:dyDescent="0.2">
      <c r="A8427">
        <v>33400</v>
      </c>
      <c r="B8427">
        <v>28953</v>
      </c>
      <c r="C8427">
        <v>96</v>
      </c>
      <c r="D8427">
        <v>546.5</v>
      </c>
      <c r="E8427">
        <v>18.600000000000001</v>
      </c>
    </row>
    <row r="8428" spans="1:5" x14ac:dyDescent="0.2">
      <c r="A8428">
        <v>33420</v>
      </c>
      <c r="B8428">
        <v>28961</v>
      </c>
      <c r="C8428">
        <v>100</v>
      </c>
      <c r="D8428">
        <v>548.70000000000005</v>
      </c>
      <c r="E8428">
        <v>19.2</v>
      </c>
    </row>
    <row r="8429" spans="1:5" x14ac:dyDescent="0.2">
      <c r="A8429">
        <v>33440</v>
      </c>
      <c r="B8429">
        <v>28968</v>
      </c>
      <c r="C8429">
        <v>102</v>
      </c>
      <c r="D8429">
        <v>551.1</v>
      </c>
      <c r="E8429">
        <v>19.8</v>
      </c>
    </row>
    <row r="8430" spans="1:5" x14ac:dyDescent="0.2">
      <c r="A8430">
        <v>33460</v>
      </c>
      <c r="B8430">
        <v>28973</v>
      </c>
      <c r="C8430">
        <v>103</v>
      </c>
      <c r="D8430">
        <v>554</v>
      </c>
      <c r="E8430">
        <v>20</v>
      </c>
    </row>
    <row r="8431" spans="1:5" x14ac:dyDescent="0.2">
      <c r="A8431">
        <v>33480</v>
      </c>
      <c r="B8431">
        <v>28977</v>
      </c>
      <c r="C8431">
        <v>103</v>
      </c>
      <c r="D8431">
        <v>556.9</v>
      </c>
      <c r="E8431">
        <v>19.899999999999999</v>
      </c>
    </row>
    <row r="8432" spans="1:5" x14ac:dyDescent="0.2">
      <c r="A8432">
        <v>33500</v>
      </c>
      <c r="B8432">
        <v>28980</v>
      </c>
      <c r="C8432">
        <v>102</v>
      </c>
      <c r="D8432">
        <v>560</v>
      </c>
      <c r="E8432">
        <v>19.8</v>
      </c>
    </row>
    <row r="8433" spans="1:5" x14ac:dyDescent="0.2">
      <c r="A8433">
        <v>33520</v>
      </c>
      <c r="B8433">
        <v>28983</v>
      </c>
      <c r="C8433">
        <v>101</v>
      </c>
      <c r="D8433">
        <v>563.1</v>
      </c>
      <c r="E8433">
        <v>19.600000000000001</v>
      </c>
    </row>
    <row r="8434" spans="1:5" x14ac:dyDescent="0.2">
      <c r="A8434">
        <v>33540</v>
      </c>
      <c r="B8434">
        <v>28988</v>
      </c>
      <c r="C8434">
        <v>101</v>
      </c>
      <c r="D8434">
        <v>566.1</v>
      </c>
      <c r="E8434">
        <v>19.7</v>
      </c>
    </row>
    <row r="8435" spans="1:5" x14ac:dyDescent="0.2">
      <c r="A8435">
        <v>33560</v>
      </c>
      <c r="B8435">
        <v>28994</v>
      </c>
      <c r="C8435">
        <v>101</v>
      </c>
      <c r="D8435">
        <v>568.79999999999995</v>
      </c>
      <c r="E8435">
        <v>19.8</v>
      </c>
    </row>
    <row r="8436" spans="1:5" x14ac:dyDescent="0.2">
      <c r="A8436">
        <v>33580</v>
      </c>
      <c r="B8436">
        <v>29001</v>
      </c>
      <c r="C8436">
        <v>102</v>
      </c>
      <c r="D8436">
        <v>571.1</v>
      </c>
      <c r="E8436">
        <v>20</v>
      </c>
    </row>
    <row r="8437" spans="1:5" x14ac:dyDescent="0.2">
      <c r="A8437">
        <v>33600</v>
      </c>
      <c r="B8437">
        <v>29011</v>
      </c>
      <c r="C8437">
        <v>102</v>
      </c>
      <c r="D8437">
        <v>573</v>
      </c>
      <c r="E8437">
        <v>20</v>
      </c>
    </row>
    <row r="8438" spans="1:5" x14ac:dyDescent="0.2">
      <c r="A8438">
        <v>33620</v>
      </c>
      <c r="B8438">
        <v>29024</v>
      </c>
      <c r="C8438">
        <v>102</v>
      </c>
      <c r="D8438">
        <v>574.1</v>
      </c>
      <c r="E8438">
        <v>20</v>
      </c>
    </row>
    <row r="8439" spans="1:5" x14ac:dyDescent="0.2">
      <c r="A8439">
        <v>33640</v>
      </c>
      <c r="B8439">
        <v>29040</v>
      </c>
      <c r="C8439">
        <v>102</v>
      </c>
      <c r="D8439">
        <v>575</v>
      </c>
      <c r="E8439">
        <v>19.899999999999999</v>
      </c>
    </row>
    <row r="8440" spans="1:5" x14ac:dyDescent="0.2">
      <c r="A8440">
        <v>33660</v>
      </c>
      <c r="B8440">
        <v>29058</v>
      </c>
      <c r="C8440">
        <v>102</v>
      </c>
      <c r="D8440">
        <v>575.20000000000005</v>
      </c>
      <c r="E8440">
        <v>20</v>
      </c>
    </row>
    <row r="8441" spans="1:5" x14ac:dyDescent="0.2">
      <c r="A8441">
        <v>33680</v>
      </c>
      <c r="B8441">
        <v>29078</v>
      </c>
      <c r="C8441">
        <v>103</v>
      </c>
      <c r="D8441">
        <v>575.1</v>
      </c>
      <c r="E8441">
        <v>20.3</v>
      </c>
    </row>
    <row r="8442" spans="1:5" x14ac:dyDescent="0.2">
      <c r="A8442">
        <v>33700</v>
      </c>
      <c r="B8442">
        <v>29098</v>
      </c>
      <c r="C8442">
        <v>105</v>
      </c>
      <c r="D8442">
        <v>574.9</v>
      </c>
      <c r="E8442">
        <v>20.6</v>
      </c>
    </row>
    <row r="8443" spans="1:5" x14ac:dyDescent="0.2">
      <c r="A8443">
        <v>33720</v>
      </c>
      <c r="B8443">
        <v>29120</v>
      </c>
      <c r="C8443">
        <v>107</v>
      </c>
      <c r="D8443">
        <v>574.5</v>
      </c>
      <c r="E8443">
        <v>20.9</v>
      </c>
    </row>
    <row r="8444" spans="1:5" x14ac:dyDescent="0.2">
      <c r="A8444">
        <v>33740</v>
      </c>
      <c r="B8444">
        <v>29141</v>
      </c>
      <c r="C8444">
        <v>107</v>
      </c>
      <c r="D8444">
        <v>574.1</v>
      </c>
      <c r="E8444">
        <v>20.9</v>
      </c>
    </row>
    <row r="8445" spans="1:5" x14ac:dyDescent="0.2">
      <c r="A8445">
        <v>33760</v>
      </c>
      <c r="B8445">
        <v>29161</v>
      </c>
      <c r="C8445">
        <v>105</v>
      </c>
      <c r="D8445">
        <v>574</v>
      </c>
      <c r="E8445">
        <v>20.6</v>
      </c>
    </row>
    <row r="8446" spans="1:5" x14ac:dyDescent="0.2">
      <c r="A8446">
        <v>33780</v>
      </c>
      <c r="B8446">
        <v>29181</v>
      </c>
      <c r="C8446">
        <v>103</v>
      </c>
      <c r="D8446">
        <v>574</v>
      </c>
      <c r="E8446">
        <v>20.2</v>
      </c>
    </row>
    <row r="8447" spans="1:5" x14ac:dyDescent="0.2">
      <c r="A8447">
        <v>33800</v>
      </c>
      <c r="B8447">
        <v>29200</v>
      </c>
      <c r="C8447">
        <v>103</v>
      </c>
      <c r="D8447">
        <v>574.1</v>
      </c>
      <c r="E8447">
        <v>20.100000000000001</v>
      </c>
    </row>
    <row r="8448" spans="1:5" x14ac:dyDescent="0.2">
      <c r="A8448">
        <v>33820</v>
      </c>
      <c r="B8448">
        <v>29217</v>
      </c>
      <c r="C8448">
        <v>102</v>
      </c>
      <c r="D8448">
        <v>574.5</v>
      </c>
      <c r="E8448">
        <v>20</v>
      </c>
    </row>
    <row r="8449" spans="1:5" x14ac:dyDescent="0.2">
      <c r="A8449">
        <v>33840</v>
      </c>
      <c r="B8449">
        <v>29233</v>
      </c>
      <c r="C8449">
        <v>102</v>
      </c>
      <c r="D8449">
        <v>575.1</v>
      </c>
      <c r="E8449">
        <v>19.899999999999999</v>
      </c>
    </row>
    <row r="8450" spans="1:5" x14ac:dyDescent="0.2">
      <c r="A8450">
        <v>33860</v>
      </c>
      <c r="B8450">
        <v>29249</v>
      </c>
      <c r="C8450">
        <v>102</v>
      </c>
      <c r="D8450">
        <v>575.9</v>
      </c>
      <c r="E8450">
        <v>20</v>
      </c>
    </row>
    <row r="8451" spans="1:5" x14ac:dyDescent="0.2">
      <c r="A8451">
        <v>33880</v>
      </c>
      <c r="B8451">
        <v>29264</v>
      </c>
      <c r="C8451">
        <v>104</v>
      </c>
      <c r="D8451">
        <v>576.79999999999995</v>
      </c>
      <c r="E8451">
        <v>20.399999999999999</v>
      </c>
    </row>
    <row r="8452" spans="1:5" x14ac:dyDescent="0.2">
      <c r="A8452">
        <v>33900</v>
      </c>
      <c r="B8452">
        <v>29278</v>
      </c>
      <c r="C8452">
        <v>107</v>
      </c>
      <c r="D8452">
        <v>577.70000000000005</v>
      </c>
      <c r="E8452">
        <v>21</v>
      </c>
    </row>
    <row r="8453" spans="1:5" x14ac:dyDescent="0.2">
      <c r="A8453">
        <v>33920</v>
      </c>
      <c r="B8453">
        <v>29293</v>
      </c>
      <c r="C8453">
        <v>111</v>
      </c>
      <c r="D8453">
        <v>578.70000000000005</v>
      </c>
      <c r="E8453">
        <v>21.8</v>
      </c>
    </row>
    <row r="8454" spans="1:5" x14ac:dyDescent="0.2">
      <c r="A8454">
        <v>33940</v>
      </c>
      <c r="B8454">
        <v>29308</v>
      </c>
      <c r="C8454">
        <v>115</v>
      </c>
      <c r="D8454">
        <v>579.6</v>
      </c>
      <c r="E8454">
        <v>22.5</v>
      </c>
    </row>
    <row r="8455" spans="1:5" x14ac:dyDescent="0.2">
      <c r="A8455">
        <v>33960</v>
      </c>
      <c r="B8455">
        <v>29323</v>
      </c>
      <c r="C8455">
        <v>116</v>
      </c>
      <c r="D8455">
        <v>580.5</v>
      </c>
      <c r="E8455">
        <v>22.9</v>
      </c>
    </row>
    <row r="8456" spans="1:5" x14ac:dyDescent="0.2">
      <c r="A8456">
        <v>33980</v>
      </c>
      <c r="B8456">
        <v>29338</v>
      </c>
      <c r="C8456">
        <v>116</v>
      </c>
      <c r="D8456">
        <v>581.20000000000005</v>
      </c>
      <c r="E8456">
        <v>22.9</v>
      </c>
    </row>
    <row r="8457" spans="1:5" x14ac:dyDescent="0.2">
      <c r="A8457">
        <v>34000</v>
      </c>
      <c r="B8457">
        <v>29355</v>
      </c>
      <c r="C8457">
        <v>116</v>
      </c>
      <c r="D8457">
        <v>581.79999999999995</v>
      </c>
      <c r="E8457">
        <v>22.8</v>
      </c>
    </row>
    <row r="8458" spans="1:5" x14ac:dyDescent="0.2">
      <c r="A8458">
        <v>34020</v>
      </c>
      <c r="B8458">
        <v>29372</v>
      </c>
      <c r="C8458">
        <v>115</v>
      </c>
      <c r="D8458">
        <v>582.20000000000005</v>
      </c>
      <c r="E8458">
        <v>22.6</v>
      </c>
    </row>
    <row r="8459" spans="1:5" x14ac:dyDescent="0.2">
      <c r="A8459">
        <v>34040</v>
      </c>
      <c r="B8459">
        <v>29390</v>
      </c>
      <c r="C8459">
        <v>115</v>
      </c>
      <c r="D8459">
        <v>582.5</v>
      </c>
      <c r="E8459">
        <v>22.6</v>
      </c>
    </row>
    <row r="8460" spans="1:5" x14ac:dyDescent="0.2">
      <c r="A8460">
        <v>34060</v>
      </c>
      <c r="B8460">
        <v>29409</v>
      </c>
      <c r="C8460">
        <v>117</v>
      </c>
      <c r="D8460">
        <v>582.6</v>
      </c>
      <c r="E8460">
        <v>22.9</v>
      </c>
    </row>
    <row r="8461" spans="1:5" x14ac:dyDescent="0.2">
      <c r="A8461">
        <v>34080</v>
      </c>
      <c r="B8461">
        <v>29429</v>
      </c>
      <c r="C8461">
        <v>120</v>
      </c>
      <c r="D8461">
        <v>582.5</v>
      </c>
      <c r="E8461">
        <v>23.5</v>
      </c>
    </row>
    <row r="8462" spans="1:5" x14ac:dyDescent="0.2">
      <c r="A8462">
        <v>34100</v>
      </c>
      <c r="B8462">
        <v>29451</v>
      </c>
      <c r="C8462">
        <v>125</v>
      </c>
      <c r="D8462">
        <v>582</v>
      </c>
      <c r="E8462">
        <v>24.5</v>
      </c>
    </row>
    <row r="8463" spans="1:5" x14ac:dyDescent="0.2">
      <c r="A8463">
        <v>34120</v>
      </c>
      <c r="B8463">
        <v>29473</v>
      </c>
      <c r="C8463">
        <v>130</v>
      </c>
      <c r="D8463">
        <v>581.4</v>
      </c>
      <c r="E8463">
        <v>25.6</v>
      </c>
    </row>
    <row r="8464" spans="1:5" x14ac:dyDescent="0.2">
      <c r="A8464">
        <v>34140</v>
      </c>
      <c r="B8464">
        <v>29498</v>
      </c>
      <c r="C8464">
        <v>136</v>
      </c>
      <c r="D8464">
        <v>580.5</v>
      </c>
      <c r="E8464">
        <v>26.8</v>
      </c>
    </row>
    <row r="8465" spans="1:5" x14ac:dyDescent="0.2">
      <c r="A8465">
        <v>34160</v>
      </c>
      <c r="B8465">
        <v>29523</v>
      </c>
      <c r="C8465">
        <v>142</v>
      </c>
      <c r="D8465">
        <v>579.29999999999995</v>
      </c>
      <c r="E8465">
        <v>27.9</v>
      </c>
    </row>
    <row r="8466" spans="1:5" x14ac:dyDescent="0.2">
      <c r="A8466">
        <v>34180</v>
      </c>
      <c r="B8466">
        <v>29550</v>
      </c>
      <c r="C8466">
        <v>146</v>
      </c>
      <c r="D8466">
        <v>577.9</v>
      </c>
      <c r="E8466">
        <v>28.7</v>
      </c>
    </row>
    <row r="8467" spans="1:5" x14ac:dyDescent="0.2">
      <c r="A8467">
        <v>34200</v>
      </c>
      <c r="B8467">
        <v>29579</v>
      </c>
      <c r="C8467">
        <v>149</v>
      </c>
      <c r="D8467">
        <v>576.1</v>
      </c>
      <c r="E8467">
        <v>29.2</v>
      </c>
    </row>
    <row r="8468" spans="1:5" x14ac:dyDescent="0.2">
      <c r="A8468">
        <v>34220</v>
      </c>
      <c r="B8468">
        <v>29609</v>
      </c>
      <c r="C8468">
        <v>150</v>
      </c>
      <c r="D8468">
        <v>574</v>
      </c>
      <c r="E8468">
        <v>29.4</v>
      </c>
    </row>
    <row r="8469" spans="1:5" x14ac:dyDescent="0.2">
      <c r="A8469">
        <v>34240</v>
      </c>
      <c r="B8469">
        <v>29640</v>
      </c>
      <c r="C8469">
        <v>151</v>
      </c>
      <c r="D8469">
        <v>571.6</v>
      </c>
      <c r="E8469">
        <v>29.4</v>
      </c>
    </row>
    <row r="8470" spans="1:5" x14ac:dyDescent="0.2">
      <c r="A8470">
        <v>34260</v>
      </c>
      <c r="B8470">
        <v>29673</v>
      </c>
      <c r="C8470">
        <v>150</v>
      </c>
      <c r="D8470">
        <v>569.1</v>
      </c>
      <c r="E8470">
        <v>29.3</v>
      </c>
    </row>
    <row r="8471" spans="1:5" x14ac:dyDescent="0.2">
      <c r="A8471">
        <v>34280</v>
      </c>
      <c r="B8471">
        <v>29706</v>
      </c>
      <c r="C8471">
        <v>150</v>
      </c>
      <c r="D8471">
        <v>566.4</v>
      </c>
      <c r="E8471">
        <v>29.1</v>
      </c>
    </row>
    <row r="8472" spans="1:5" x14ac:dyDescent="0.2">
      <c r="A8472">
        <v>34300</v>
      </c>
      <c r="B8472">
        <v>29740</v>
      </c>
      <c r="C8472">
        <v>149</v>
      </c>
      <c r="D8472">
        <v>563.5</v>
      </c>
      <c r="E8472">
        <v>29</v>
      </c>
    </row>
    <row r="8473" spans="1:5" x14ac:dyDescent="0.2">
      <c r="A8473">
        <v>34320</v>
      </c>
      <c r="B8473">
        <v>29775</v>
      </c>
      <c r="C8473">
        <v>149</v>
      </c>
      <c r="D8473">
        <v>560.5</v>
      </c>
      <c r="E8473">
        <v>28.9</v>
      </c>
    </row>
    <row r="8474" spans="1:5" x14ac:dyDescent="0.2">
      <c r="A8474">
        <v>34340</v>
      </c>
      <c r="B8474">
        <v>29810</v>
      </c>
      <c r="C8474">
        <v>149</v>
      </c>
      <c r="D8474">
        <v>557.5</v>
      </c>
      <c r="E8474">
        <v>28.9</v>
      </c>
    </row>
    <row r="8475" spans="1:5" x14ac:dyDescent="0.2">
      <c r="A8475">
        <v>34360</v>
      </c>
      <c r="B8475">
        <v>29846</v>
      </c>
      <c r="C8475">
        <v>148</v>
      </c>
      <c r="D8475">
        <v>554.4</v>
      </c>
      <c r="E8475">
        <v>28.7</v>
      </c>
    </row>
    <row r="8476" spans="1:5" x14ac:dyDescent="0.2">
      <c r="A8476">
        <v>34380</v>
      </c>
      <c r="B8476">
        <v>29881</v>
      </c>
      <c r="C8476">
        <v>147</v>
      </c>
      <c r="D8476">
        <v>551.29999999999995</v>
      </c>
      <c r="E8476">
        <v>28.5</v>
      </c>
    </row>
    <row r="8477" spans="1:5" x14ac:dyDescent="0.2">
      <c r="A8477">
        <v>34400</v>
      </c>
      <c r="B8477">
        <v>29916</v>
      </c>
      <c r="C8477">
        <v>146</v>
      </c>
      <c r="D8477">
        <v>548.20000000000005</v>
      </c>
      <c r="E8477">
        <v>28.2</v>
      </c>
    </row>
    <row r="8478" spans="1:5" x14ac:dyDescent="0.2">
      <c r="A8478">
        <v>34420</v>
      </c>
      <c r="B8478">
        <v>29951</v>
      </c>
      <c r="C8478">
        <v>143</v>
      </c>
      <c r="D8478">
        <v>545.29999999999995</v>
      </c>
      <c r="E8478">
        <v>27.5</v>
      </c>
    </row>
    <row r="8479" spans="1:5" x14ac:dyDescent="0.2">
      <c r="A8479">
        <v>34440</v>
      </c>
      <c r="B8479">
        <v>29986</v>
      </c>
      <c r="C8479">
        <v>140</v>
      </c>
      <c r="D8479">
        <v>542.4</v>
      </c>
      <c r="E8479">
        <v>26.9</v>
      </c>
    </row>
    <row r="8480" spans="1:5" x14ac:dyDescent="0.2">
      <c r="A8480">
        <v>34460</v>
      </c>
      <c r="B8480">
        <v>30020</v>
      </c>
      <c r="C8480">
        <v>136</v>
      </c>
      <c r="D8480">
        <v>539.5</v>
      </c>
      <c r="E8480">
        <v>26.1</v>
      </c>
    </row>
    <row r="8481" spans="1:5" x14ac:dyDescent="0.2">
      <c r="A8481">
        <v>34480</v>
      </c>
      <c r="B8481">
        <v>30054</v>
      </c>
      <c r="C8481">
        <v>132</v>
      </c>
      <c r="D8481">
        <v>536.70000000000005</v>
      </c>
      <c r="E8481">
        <v>25.3</v>
      </c>
    </row>
    <row r="8482" spans="1:5" x14ac:dyDescent="0.2">
      <c r="A8482">
        <v>34500</v>
      </c>
      <c r="B8482">
        <v>30088</v>
      </c>
      <c r="C8482">
        <v>130</v>
      </c>
      <c r="D8482">
        <v>533.9</v>
      </c>
      <c r="E8482">
        <v>24.8</v>
      </c>
    </row>
    <row r="8483" spans="1:5" x14ac:dyDescent="0.2">
      <c r="A8483">
        <v>34520</v>
      </c>
      <c r="B8483">
        <v>30121</v>
      </c>
      <c r="C8483">
        <v>128</v>
      </c>
      <c r="D8483">
        <v>531.29999999999995</v>
      </c>
      <c r="E8483">
        <v>24.4</v>
      </c>
    </row>
    <row r="8484" spans="1:5" x14ac:dyDescent="0.2">
      <c r="A8484">
        <v>34540</v>
      </c>
      <c r="B8484">
        <v>30155</v>
      </c>
      <c r="C8484">
        <v>127</v>
      </c>
      <c r="D8484">
        <v>528.6</v>
      </c>
      <c r="E8484">
        <v>24.2</v>
      </c>
    </row>
    <row r="8485" spans="1:5" x14ac:dyDescent="0.2">
      <c r="A8485">
        <v>34560</v>
      </c>
      <c r="B8485">
        <v>30188</v>
      </c>
      <c r="C8485">
        <v>128</v>
      </c>
      <c r="D8485">
        <v>525.9</v>
      </c>
      <c r="E8485">
        <v>24.2</v>
      </c>
    </row>
    <row r="8486" spans="1:5" x14ac:dyDescent="0.2">
      <c r="A8486">
        <v>34580</v>
      </c>
      <c r="B8486">
        <v>30222</v>
      </c>
      <c r="C8486">
        <v>128</v>
      </c>
      <c r="D8486">
        <v>523.20000000000005</v>
      </c>
      <c r="E8486">
        <v>24.2</v>
      </c>
    </row>
    <row r="8487" spans="1:5" x14ac:dyDescent="0.2">
      <c r="A8487">
        <v>34600</v>
      </c>
      <c r="B8487">
        <v>30255</v>
      </c>
      <c r="C8487">
        <v>127</v>
      </c>
      <c r="D8487">
        <v>520.6</v>
      </c>
      <c r="E8487">
        <v>24.1</v>
      </c>
    </row>
    <row r="8488" spans="1:5" x14ac:dyDescent="0.2">
      <c r="A8488">
        <v>34620</v>
      </c>
      <c r="B8488">
        <v>30289</v>
      </c>
      <c r="C8488">
        <v>126</v>
      </c>
      <c r="D8488">
        <v>517.9</v>
      </c>
      <c r="E8488">
        <v>23.9</v>
      </c>
    </row>
    <row r="8489" spans="1:5" x14ac:dyDescent="0.2">
      <c r="A8489">
        <v>34640</v>
      </c>
      <c r="B8489">
        <v>30322</v>
      </c>
      <c r="C8489">
        <v>125</v>
      </c>
      <c r="D8489">
        <v>515.20000000000005</v>
      </c>
      <c r="E8489">
        <v>23.5</v>
      </c>
    </row>
    <row r="8490" spans="1:5" x14ac:dyDescent="0.2">
      <c r="A8490">
        <v>34660</v>
      </c>
      <c r="B8490">
        <v>30356</v>
      </c>
      <c r="C8490">
        <v>123</v>
      </c>
      <c r="D8490">
        <v>512.6</v>
      </c>
      <c r="E8490">
        <v>23.1</v>
      </c>
    </row>
    <row r="8491" spans="1:5" x14ac:dyDescent="0.2">
      <c r="A8491">
        <v>34680</v>
      </c>
      <c r="B8491">
        <v>30387</v>
      </c>
      <c r="C8491">
        <v>121</v>
      </c>
      <c r="D8491">
        <v>510.3</v>
      </c>
      <c r="E8491">
        <v>22.7</v>
      </c>
    </row>
    <row r="8492" spans="1:5" x14ac:dyDescent="0.2">
      <c r="A8492">
        <v>34700</v>
      </c>
      <c r="B8492">
        <v>30418</v>
      </c>
      <c r="C8492">
        <v>120</v>
      </c>
      <c r="D8492">
        <v>508.1</v>
      </c>
      <c r="E8492">
        <v>22.6</v>
      </c>
    </row>
    <row r="8493" spans="1:5" x14ac:dyDescent="0.2">
      <c r="A8493">
        <v>34720</v>
      </c>
      <c r="B8493">
        <v>30448</v>
      </c>
      <c r="C8493">
        <v>120</v>
      </c>
      <c r="D8493">
        <v>506.1</v>
      </c>
      <c r="E8493">
        <v>22.6</v>
      </c>
    </row>
    <row r="8494" spans="1:5" x14ac:dyDescent="0.2">
      <c r="A8494">
        <v>34740</v>
      </c>
      <c r="B8494">
        <v>30476</v>
      </c>
      <c r="C8494">
        <v>121</v>
      </c>
      <c r="D8494">
        <v>504.6</v>
      </c>
      <c r="E8494">
        <v>22.6</v>
      </c>
    </row>
    <row r="8495" spans="1:5" x14ac:dyDescent="0.2">
      <c r="A8495">
        <v>34760</v>
      </c>
      <c r="B8495">
        <v>30502</v>
      </c>
      <c r="C8495">
        <v>122</v>
      </c>
      <c r="D8495">
        <v>503.4</v>
      </c>
      <c r="E8495">
        <v>22.8</v>
      </c>
    </row>
    <row r="8496" spans="1:5" x14ac:dyDescent="0.2">
      <c r="A8496">
        <v>34780</v>
      </c>
      <c r="B8496">
        <v>30525</v>
      </c>
      <c r="C8496">
        <v>121</v>
      </c>
      <c r="D8496">
        <v>502.8</v>
      </c>
      <c r="E8496">
        <v>22.7</v>
      </c>
    </row>
    <row r="8497" spans="1:5" x14ac:dyDescent="0.2">
      <c r="A8497">
        <v>34800</v>
      </c>
      <c r="B8497">
        <v>30545</v>
      </c>
      <c r="C8497">
        <v>120</v>
      </c>
      <c r="D8497">
        <v>502.6</v>
      </c>
      <c r="E8497">
        <v>22.5</v>
      </c>
    </row>
    <row r="8498" spans="1:5" x14ac:dyDescent="0.2">
      <c r="A8498">
        <v>34820</v>
      </c>
      <c r="B8498">
        <v>30563</v>
      </c>
      <c r="C8498">
        <v>120</v>
      </c>
      <c r="D8498">
        <v>502.9</v>
      </c>
      <c r="E8498">
        <v>22.4</v>
      </c>
    </row>
    <row r="8499" spans="1:5" x14ac:dyDescent="0.2">
      <c r="A8499">
        <v>34840</v>
      </c>
      <c r="B8499">
        <v>30577</v>
      </c>
      <c r="C8499">
        <v>120</v>
      </c>
      <c r="D8499">
        <v>503.8</v>
      </c>
      <c r="E8499">
        <v>22.5</v>
      </c>
    </row>
    <row r="8500" spans="1:5" x14ac:dyDescent="0.2">
      <c r="A8500">
        <v>34860</v>
      </c>
      <c r="B8500">
        <v>30589</v>
      </c>
      <c r="C8500">
        <v>121</v>
      </c>
      <c r="D8500">
        <v>505.2</v>
      </c>
      <c r="E8500">
        <v>22.6</v>
      </c>
    </row>
    <row r="8501" spans="1:5" x14ac:dyDescent="0.2">
      <c r="A8501">
        <v>34880</v>
      </c>
      <c r="B8501">
        <v>30599</v>
      </c>
      <c r="C8501">
        <v>123</v>
      </c>
      <c r="D8501">
        <v>507</v>
      </c>
      <c r="E8501">
        <v>23</v>
      </c>
    </row>
    <row r="8502" spans="1:5" x14ac:dyDescent="0.2">
      <c r="A8502">
        <v>34900</v>
      </c>
      <c r="B8502">
        <v>30605</v>
      </c>
      <c r="C8502">
        <v>125</v>
      </c>
      <c r="D8502">
        <v>509.5</v>
      </c>
      <c r="E8502">
        <v>23.4</v>
      </c>
    </row>
    <row r="8503" spans="1:5" x14ac:dyDescent="0.2">
      <c r="A8503">
        <v>34920</v>
      </c>
      <c r="B8503">
        <v>30610</v>
      </c>
      <c r="C8503">
        <v>126</v>
      </c>
      <c r="D8503">
        <v>512.4</v>
      </c>
      <c r="E8503">
        <v>23.8</v>
      </c>
    </row>
    <row r="8504" spans="1:5" x14ac:dyDescent="0.2">
      <c r="A8504">
        <v>34940</v>
      </c>
      <c r="B8504">
        <v>30611</v>
      </c>
      <c r="C8504">
        <v>126</v>
      </c>
      <c r="D8504">
        <v>515.70000000000005</v>
      </c>
      <c r="E8504">
        <v>23.8</v>
      </c>
    </row>
    <row r="8505" spans="1:5" x14ac:dyDescent="0.2">
      <c r="A8505">
        <v>34960</v>
      </c>
      <c r="B8505">
        <v>30612</v>
      </c>
      <c r="C8505">
        <v>126</v>
      </c>
      <c r="D8505">
        <v>519.20000000000005</v>
      </c>
      <c r="E8505">
        <v>23.9</v>
      </c>
    </row>
    <row r="8506" spans="1:5" x14ac:dyDescent="0.2">
      <c r="A8506">
        <v>34980</v>
      </c>
      <c r="B8506">
        <v>30611</v>
      </c>
      <c r="C8506">
        <v>127</v>
      </c>
      <c r="D8506">
        <v>523.1</v>
      </c>
      <c r="E8506">
        <v>24</v>
      </c>
    </row>
    <row r="8507" spans="1:5" x14ac:dyDescent="0.2">
      <c r="A8507">
        <v>35000</v>
      </c>
      <c r="B8507">
        <v>30610</v>
      </c>
      <c r="C8507">
        <v>126</v>
      </c>
      <c r="D8507">
        <v>527</v>
      </c>
      <c r="E8507">
        <v>24</v>
      </c>
    </row>
    <row r="8508" spans="1:5" x14ac:dyDescent="0.2">
      <c r="A8508">
        <v>35020</v>
      </c>
      <c r="B8508">
        <v>30609</v>
      </c>
      <c r="C8508">
        <v>125</v>
      </c>
      <c r="D8508">
        <v>530.9</v>
      </c>
      <c r="E8508">
        <v>23.9</v>
      </c>
    </row>
    <row r="8509" spans="1:5" x14ac:dyDescent="0.2">
      <c r="A8509">
        <v>35040</v>
      </c>
      <c r="B8509">
        <v>30609</v>
      </c>
      <c r="C8509">
        <v>124</v>
      </c>
      <c r="D8509">
        <v>534.5</v>
      </c>
      <c r="E8509">
        <v>23.6</v>
      </c>
    </row>
    <row r="8510" spans="1:5" x14ac:dyDescent="0.2">
      <c r="A8510">
        <v>35060</v>
      </c>
      <c r="B8510">
        <v>30611</v>
      </c>
      <c r="C8510">
        <v>122</v>
      </c>
      <c r="D8510">
        <v>537.9</v>
      </c>
      <c r="E8510">
        <v>23.4</v>
      </c>
    </row>
    <row r="8511" spans="1:5" x14ac:dyDescent="0.2">
      <c r="A8511">
        <v>35080</v>
      </c>
      <c r="B8511">
        <v>30616</v>
      </c>
      <c r="C8511">
        <v>121</v>
      </c>
      <c r="D8511">
        <v>540.70000000000005</v>
      </c>
      <c r="E8511">
        <v>23.3</v>
      </c>
    </row>
    <row r="8512" spans="1:5" x14ac:dyDescent="0.2">
      <c r="A8512">
        <v>35100</v>
      </c>
      <c r="B8512">
        <v>30624</v>
      </c>
      <c r="C8512">
        <v>121</v>
      </c>
      <c r="D8512">
        <v>542.9</v>
      </c>
      <c r="E8512">
        <v>23.2</v>
      </c>
    </row>
    <row r="8513" spans="1:5" x14ac:dyDescent="0.2">
      <c r="A8513">
        <v>35120</v>
      </c>
      <c r="B8513">
        <v>30636</v>
      </c>
      <c r="C8513">
        <v>121</v>
      </c>
      <c r="D8513">
        <v>544.20000000000005</v>
      </c>
      <c r="E8513">
        <v>23.2</v>
      </c>
    </row>
    <row r="8514" spans="1:5" x14ac:dyDescent="0.2">
      <c r="A8514">
        <v>35140</v>
      </c>
      <c r="B8514">
        <v>30653</v>
      </c>
      <c r="C8514">
        <v>122</v>
      </c>
      <c r="D8514">
        <v>544.79999999999995</v>
      </c>
      <c r="E8514">
        <v>23.5</v>
      </c>
    </row>
    <row r="8515" spans="1:5" x14ac:dyDescent="0.2">
      <c r="A8515">
        <v>35160</v>
      </c>
      <c r="B8515">
        <v>30673</v>
      </c>
      <c r="C8515">
        <v>125</v>
      </c>
      <c r="D8515">
        <v>544.6</v>
      </c>
      <c r="E8515">
        <v>24</v>
      </c>
    </row>
    <row r="8516" spans="1:5" x14ac:dyDescent="0.2">
      <c r="A8516">
        <v>35180</v>
      </c>
      <c r="B8516">
        <v>30699</v>
      </c>
      <c r="C8516">
        <v>127</v>
      </c>
      <c r="D8516">
        <v>543.5</v>
      </c>
      <c r="E8516">
        <v>24.5</v>
      </c>
    </row>
    <row r="8517" spans="1:5" x14ac:dyDescent="0.2">
      <c r="A8517">
        <v>35200</v>
      </c>
      <c r="B8517">
        <v>30728</v>
      </c>
      <c r="C8517">
        <v>130</v>
      </c>
      <c r="D8517">
        <v>541.6</v>
      </c>
      <c r="E8517">
        <v>24.8</v>
      </c>
    </row>
    <row r="8518" spans="1:5" x14ac:dyDescent="0.2">
      <c r="A8518">
        <v>35220</v>
      </c>
      <c r="B8518">
        <v>30760</v>
      </c>
      <c r="C8518">
        <v>132</v>
      </c>
      <c r="D8518">
        <v>539.20000000000005</v>
      </c>
      <c r="E8518">
        <v>25.2</v>
      </c>
    </row>
    <row r="8519" spans="1:5" x14ac:dyDescent="0.2">
      <c r="A8519">
        <v>35240</v>
      </c>
      <c r="B8519">
        <v>30795</v>
      </c>
      <c r="C8519">
        <v>134</v>
      </c>
      <c r="D8519">
        <v>536.20000000000005</v>
      </c>
      <c r="E8519">
        <v>25.5</v>
      </c>
    </row>
    <row r="8520" spans="1:5" x14ac:dyDescent="0.2">
      <c r="A8520">
        <v>35260</v>
      </c>
      <c r="B8520">
        <v>30831</v>
      </c>
      <c r="C8520">
        <v>136</v>
      </c>
      <c r="D8520">
        <v>533</v>
      </c>
      <c r="E8520">
        <v>25.9</v>
      </c>
    </row>
    <row r="8521" spans="1:5" x14ac:dyDescent="0.2">
      <c r="A8521">
        <v>35280</v>
      </c>
      <c r="B8521">
        <v>30868</v>
      </c>
      <c r="C8521">
        <v>139</v>
      </c>
      <c r="D8521">
        <v>529.70000000000005</v>
      </c>
      <c r="E8521">
        <v>26.4</v>
      </c>
    </row>
    <row r="8522" spans="1:5" x14ac:dyDescent="0.2">
      <c r="A8522">
        <v>35300</v>
      </c>
      <c r="B8522">
        <v>30906</v>
      </c>
      <c r="C8522">
        <v>141</v>
      </c>
      <c r="D8522">
        <v>526.29999999999995</v>
      </c>
      <c r="E8522">
        <v>26.8</v>
      </c>
    </row>
    <row r="8523" spans="1:5" x14ac:dyDescent="0.2">
      <c r="A8523">
        <v>35320</v>
      </c>
      <c r="B8523">
        <v>30942</v>
      </c>
      <c r="C8523">
        <v>142</v>
      </c>
      <c r="D8523">
        <v>523</v>
      </c>
      <c r="E8523">
        <v>27</v>
      </c>
    </row>
    <row r="8524" spans="1:5" x14ac:dyDescent="0.2">
      <c r="A8524">
        <v>35340</v>
      </c>
      <c r="B8524">
        <v>30978</v>
      </c>
      <c r="C8524">
        <v>142</v>
      </c>
      <c r="D8524">
        <v>519.9</v>
      </c>
      <c r="E8524">
        <v>26.8</v>
      </c>
    </row>
    <row r="8525" spans="1:5" x14ac:dyDescent="0.2">
      <c r="A8525">
        <v>35360</v>
      </c>
      <c r="B8525">
        <v>31012</v>
      </c>
      <c r="C8525">
        <v>140</v>
      </c>
      <c r="D8525">
        <v>517.20000000000005</v>
      </c>
      <c r="E8525">
        <v>26.5</v>
      </c>
    </row>
    <row r="8526" spans="1:5" x14ac:dyDescent="0.2">
      <c r="A8526">
        <v>35380</v>
      </c>
      <c r="B8526">
        <v>31044</v>
      </c>
      <c r="C8526">
        <v>138</v>
      </c>
      <c r="D8526">
        <v>514.79999999999995</v>
      </c>
      <c r="E8526">
        <v>26</v>
      </c>
    </row>
    <row r="8527" spans="1:5" x14ac:dyDescent="0.2">
      <c r="A8527">
        <v>35400</v>
      </c>
      <c r="B8527">
        <v>31074</v>
      </c>
      <c r="C8527">
        <v>137</v>
      </c>
      <c r="D8527">
        <v>512.70000000000005</v>
      </c>
      <c r="E8527">
        <v>25.7</v>
      </c>
    </row>
    <row r="8528" spans="1:5" x14ac:dyDescent="0.2">
      <c r="A8528">
        <v>35420</v>
      </c>
      <c r="B8528">
        <v>31103</v>
      </c>
      <c r="C8528">
        <v>136</v>
      </c>
      <c r="D8528">
        <v>510.9</v>
      </c>
      <c r="E8528">
        <v>25.6</v>
      </c>
    </row>
    <row r="8529" spans="1:5" x14ac:dyDescent="0.2">
      <c r="A8529">
        <v>35440</v>
      </c>
      <c r="B8529">
        <v>31130</v>
      </c>
      <c r="C8529">
        <v>135</v>
      </c>
      <c r="D8529">
        <v>509.4</v>
      </c>
      <c r="E8529">
        <v>25.4</v>
      </c>
    </row>
    <row r="8530" spans="1:5" x14ac:dyDescent="0.2">
      <c r="A8530">
        <v>35460</v>
      </c>
      <c r="B8530">
        <v>31156</v>
      </c>
      <c r="C8530">
        <v>134</v>
      </c>
      <c r="D8530">
        <v>508.3</v>
      </c>
      <c r="E8530">
        <v>25.1</v>
      </c>
    </row>
    <row r="8531" spans="1:5" x14ac:dyDescent="0.2">
      <c r="A8531">
        <v>35480</v>
      </c>
      <c r="B8531">
        <v>31179</v>
      </c>
      <c r="C8531">
        <v>131</v>
      </c>
      <c r="D8531">
        <v>507.7</v>
      </c>
      <c r="E8531">
        <v>24.6</v>
      </c>
    </row>
    <row r="8532" spans="1:5" x14ac:dyDescent="0.2">
      <c r="A8532">
        <v>35500</v>
      </c>
      <c r="B8532">
        <v>31201</v>
      </c>
      <c r="C8532">
        <v>127</v>
      </c>
      <c r="D8532">
        <v>507.2</v>
      </c>
      <c r="E8532">
        <v>23.9</v>
      </c>
    </row>
    <row r="8533" spans="1:5" x14ac:dyDescent="0.2">
      <c r="A8533">
        <v>35520</v>
      </c>
      <c r="B8533">
        <v>31221</v>
      </c>
      <c r="C8533">
        <v>123</v>
      </c>
      <c r="D8533">
        <v>507</v>
      </c>
      <c r="E8533">
        <v>23.1</v>
      </c>
    </row>
    <row r="8534" spans="1:5" x14ac:dyDescent="0.2">
      <c r="A8534">
        <v>35540</v>
      </c>
      <c r="B8534">
        <v>31240</v>
      </c>
      <c r="C8534">
        <v>119</v>
      </c>
      <c r="D8534">
        <v>507.1</v>
      </c>
      <c r="E8534">
        <v>22.4</v>
      </c>
    </row>
    <row r="8535" spans="1:5" x14ac:dyDescent="0.2">
      <c r="A8535">
        <v>35560</v>
      </c>
      <c r="B8535">
        <v>31258</v>
      </c>
      <c r="C8535">
        <v>116</v>
      </c>
      <c r="D8535">
        <v>507.4</v>
      </c>
      <c r="E8535">
        <v>21.7</v>
      </c>
    </row>
    <row r="8536" spans="1:5" x14ac:dyDescent="0.2">
      <c r="A8536">
        <v>35580</v>
      </c>
      <c r="B8536">
        <v>31275</v>
      </c>
      <c r="C8536">
        <v>113</v>
      </c>
      <c r="D8536">
        <v>507.8</v>
      </c>
      <c r="E8536">
        <v>21.3</v>
      </c>
    </row>
    <row r="8537" spans="1:5" x14ac:dyDescent="0.2">
      <c r="A8537">
        <v>35600</v>
      </c>
      <c r="B8537">
        <v>31291</v>
      </c>
      <c r="C8537">
        <v>111</v>
      </c>
      <c r="D8537">
        <v>508.4</v>
      </c>
      <c r="E8537">
        <v>20.8</v>
      </c>
    </row>
    <row r="8538" spans="1:5" x14ac:dyDescent="0.2">
      <c r="A8538">
        <v>35620</v>
      </c>
      <c r="B8538">
        <v>31307</v>
      </c>
      <c r="C8538">
        <v>108</v>
      </c>
      <c r="D8538">
        <v>509.2</v>
      </c>
      <c r="E8538">
        <v>20.2</v>
      </c>
    </row>
    <row r="8539" spans="1:5" x14ac:dyDescent="0.2">
      <c r="A8539">
        <v>35640</v>
      </c>
      <c r="B8539">
        <v>31322</v>
      </c>
      <c r="C8539">
        <v>105</v>
      </c>
      <c r="D8539">
        <v>509.9</v>
      </c>
      <c r="E8539">
        <v>19.7</v>
      </c>
    </row>
    <row r="8540" spans="1:5" x14ac:dyDescent="0.2">
      <c r="A8540">
        <v>35660</v>
      </c>
      <c r="B8540">
        <v>31337</v>
      </c>
      <c r="C8540">
        <v>102</v>
      </c>
      <c r="D8540">
        <v>510.8</v>
      </c>
      <c r="E8540">
        <v>19.2</v>
      </c>
    </row>
    <row r="8541" spans="1:5" x14ac:dyDescent="0.2">
      <c r="A8541">
        <v>35680</v>
      </c>
      <c r="B8541">
        <v>31351</v>
      </c>
      <c r="C8541">
        <v>101</v>
      </c>
      <c r="D8541">
        <v>511.7</v>
      </c>
      <c r="E8541">
        <v>19</v>
      </c>
    </row>
    <row r="8542" spans="1:5" x14ac:dyDescent="0.2">
      <c r="A8542">
        <v>35700</v>
      </c>
      <c r="B8542">
        <v>31364</v>
      </c>
      <c r="C8542">
        <v>100</v>
      </c>
      <c r="D8542">
        <v>512.9</v>
      </c>
      <c r="E8542">
        <v>18.899999999999999</v>
      </c>
    </row>
    <row r="8543" spans="1:5" x14ac:dyDescent="0.2">
      <c r="A8543">
        <v>35720</v>
      </c>
      <c r="B8543">
        <v>31377</v>
      </c>
      <c r="C8543">
        <v>100</v>
      </c>
      <c r="D8543">
        <v>514.20000000000005</v>
      </c>
      <c r="E8543">
        <v>18.8</v>
      </c>
    </row>
    <row r="8544" spans="1:5" x14ac:dyDescent="0.2">
      <c r="A8544">
        <v>35740</v>
      </c>
      <c r="B8544">
        <v>31388</v>
      </c>
      <c r="C8544">
        <v>99</v>
      </c>
      <c r="D8544">
        <v>515.79999999999995</v>
      </c>
      <c r="E8544">
        <v>18.7</v>
      </c>
    </row>
    <row r="8545" spans="1:5" x14ac:dyDescent="0.2">
      <c r="A8545">
        <v>35760</v>
      </c>
      <c r="B8545">
        <v>31398</v>
      </c>
      <c r="C8545">
        <v>99</v>
      </c>
      <c r="D8545">
        <v>517.5</v>
      </c>
      <c r="E8545">
        <v>18.7</v>
      </c>
    </row>
    <row r="8546" spans="1:5" x14ac:dyDescent="0.2">
      <c r="A8546">
        <v>35780</v>
      </c>
      <c r="B8546">
        <v>31408</v>
      </c>
      <c r="C8546">
        <v>100</v>
      </c>
      <c r="D8546">
        <v>519.4</v>
      </c>
      <c r="E8546">
        <v>18.899999999999999</v>
      </c>
    </row>
    <row r="8547" spans="1:5" x14ac:dyDescent="0.2">
      <c r="A8547">
        <v>35800</v>
      </c>
      <c r="B8547">
        <v>31415</v>
      </c>
      <c r="C8547">
        <v>101</v>
      </c>
      <c r="D8547">
        <v>521.70000000000005</v>
      </c>
      <c r="E8547">
        <v>19.2</v>
      </c>
    </row>
    <row r="8548" spans="1:5" x14ac:dyDescent="0.2">
      <c r="A8548">
        <v>35820</v>
      </c>
      <c r="B8548">
        <v>31422</v>
      </c>
      <c r="C8548">
        <v>102</v>
      </c>
      <c r="D8548">
        <v>524</v>
      </c>
      <c r="E8548">
        <v>19.399999999999999</v>
      </c>
    </row>
    <row r="8549" spans="1:5" x14ac:dyDescent="0.2">
      <c r="A8549">
        <v>35840</v>
      </c>
      <c r="B8549">
        <v>31429</v>
      </c>
      <c r="C8549">
        <v>104</v>
      </c>
      <c r="D8549">
        <v>526.5</v>
      </c>
      <c r="E8549">
        <v>19.7</v>
      </c>
    </row>
    <row r="8550" spans="1:5" x14ac:dyDescent="0.2">
      <c r="A8550">
        <v>35860</v>
      </c>
      <c r="B8550">
        <v>31435</v>
      </c>
      <c r="C8550">
        <v>106</v>
      </c>
      <c r="D8550">
        <v>529</v>
      </c>
      <c r="E8550">
        <v>20.2</v>
      </c>
    </row>
    <row r="8551" spans="1:5" x14ac:dyDescent="0.2">
      <c r="A8551">
        <v>35880</v>
      </c>
      <c r="B8551">
        <v>31443</v>
      </c>
      <c r="C8551">
        <v>110</v>
      </c>
      <c r="D8551">
        <v>531.20000000000005</v>
      </c>
      <c r="E8551">
        <v>20.9</v>
      </c>
    </row>
    <row r="8552" spans="1:5" x14ac:dyDescent="0.2">
      <c r="A8552">
        <v>35900</v>
      </c>
      <c r="B8552">
        <v>31452</v>
      </c>
      <c r="C8552">
        <v>112</v>
      </c>
      <c r="D8552">
        <v>533.20000000000005</v>
      </c>
      <c r="E8552">
        <v>21.4</v>
      </c>
    </row>
    <row r="8553" spans="1:5" x14ac:dyDescent="0.2">
      <c r="A8553">
        <v>35920</v>
      </c>
      <c r="B8553">
        <v>31463</v>
      </c>
      <c r="C8553">
        <v>113</v>
      </c>
      <c r="D8553">
        <v>534.79999999999995</v>
      </c>
      <c r="E8553">
        <v>21.6</v>
      </c>
    </row>
    <row r="8554" spans="1:5" x14ac:dyDescent="0.2">
      <c r="A8554">
        <v>35940</v>
      </c>
      <c r="B8554">
        <v>31475</v>
      </c>
      <c r="C8554">
        <v>114</v>
      </c>
      <c r="D8554">
        <v>536.1</v>
      </c>
      <c r="E8554">
        <v>21.8</v>
      </c>
    </row>
    <row r="8555" spans="1:5" x14ac:dyDescent="0.2">
      <c r="A8555">
        <v>35960</v>
      </c>
      <c r="B8555">
        <v>31490</v>
      </c>
      <c r="C8555">
        <v>114</v>
      </c>
      <c r="D8555">
        <v>537</v>
      </c>
      <c r="E8555">
        <v>21.8</v>
      </c>
    </row>
    <row r="8556" spans="1:5" x14ac:dyDescent="0.2">
      <c r="A8556">
        <v>35980</v>
      </c>
      <c r="B8556">
        <v>31507</v>
      </c>
      <c r="C8556">
        <v>115</v>
      </c>
      <c r="D8556">
        <v>537.4</v>
      </c>
      <c r="E8556">
        <v>22</v>
      </c>
    </row>
    <row r="8557" spans="1:5" x14ac:dyDescent="0.2">
      <c r="A8557">
        <v>36000</v>
      </c>
      <c r="B8557">
        <v>31526</v>
      </c>
      <c r="C8557">
        <v>116</v>
      </c>
      <c r="D8557">
        <v>537.5</v>
      </c>
      <c r="E8557">
        <v>22.3</v>
      </c>
    </row>
    <row r="8558" spans="1:5" x14ac:dyDescent="0.2">
      <c r="A8558">
        <v>36020</v>
      </c>
      <c r="B8558">
        <v>31548</v>
      </c>
      <c r="C8558">
        <v>119</v>
      </c>
      <c r="D8558">
        <v>537.1</v>
      </c>
      <c r="E8558">
        <v>22.7</v>
      </c>
    </row>
    <row r="8559" spans="1:5" x14ac:dyDescent="0.2">
      <c r="A8559">
        <v>36040</v>
      </c>
      <c r="B8559">
        <v>31572</v>
      </c>
      <c r="C8559">
        <v>122</v>
      </c>
      <c r="D8559">
        <v>536.20000000000005</v>
      </c>
      <c r="E8559">
        <v>23.4</v>
      </c>
    </row>
    <row r="8560" spans="1:5" x14ac:dyDescent="0.2">
      <c r="A8560">
        <v>36060</v>
      </c>
      <c r="B8560">
        <v>31599</v>
      </c>
      <c r="C8560">
        <v>125</v>
      </c>
      <c r="D8560">
        <v>534.79999999999995</v>
      </c>
      <c r="E8560">
        <v>24</v>
      </c>
    </row>
    <row r="8561" spans="1:5" x14ac:dyDescent="0.2">
      <c r="A8561">
        <v>36080</v>
      </c>
      <c r="B8561">
        <v>31629</v>
      </c>
      <c r="C8561">
        <v>127</v>
      </c>
      <c r="D8561">
        <v>532.9</v>
      </c>
      <c r="E8561">
        <v>24.3</v>
      </c>
    </row>
    <row r="8562" spans="1:5" x14ac:dyDescent="0.2">
      <c r="A8562">
        <v>36100</v>
      </c>
      <c r="B8562">
        <v>31660</v>
      </c>
      <c r="C8562">
        <v>129</v>
      </c>
      <c r="D8562">
        <v>530.5</v>
      </c>
      <c r="E8562">
        <v>24.6</v>
      </c>
    </row>
    <row r="8563" spans="1:5" x14ac:dyDescent="0.2">
      <c r="A8563">
        <v>36120</v>
      </c>
      <c r="B8563">
        <v>31694</v>
      </c>
      <c r="C8563">
        <v>129</v>
      </c>
      <c r="D8563">
        <v>527.79999999999995</v>
      </c>
      <c r="E8563">
        <v>24.6</v>
      </c>
    </row>
    <row r="8564" spans="1:5" x14ac:dyDescent="0.2">
      <c r="A8564">
        <v>36140</v>
      </c>
      <c r="B8564">
        <v>31730</v>
      </c>
      <c r="C8564">
        <v>129</v>
      </c>
      <c r="D8564">
        <v>524.6</v>
      </c>
      <c r="E8564">
        <v>24.5</v>
      </c>
    </row>
    <row r="8565" spans="1:5" x14ac:dyDescent="0.2">
      <c r="A8565">
        <v>36160</v>
      </c>
      <c r="B8565">
        <v>31767</v>
      </c>
      <c r="C8565">
        <v>130</v>
      </c>
      <c r="D8565">
        <v>521.4</v>
      </c>
      <c r="E8565">
        <v>24.7</v>
      </c>
    </row>
    <row r="8566" spans="1:5" x14ac:dyDescent="0.2">
      <c r="A8566">
        <v>36180</v>
      </c>
      <c r="B8566">
        <v>31804</v>
      </c>
      <c r="C8566">
        <v>131</v>
      </c>
      <c r="D8566">
        <v>518</v>
      </c>
      <c r="E8566">
        <v>24.8</v>
      </c>
    </row>
    <row r="8567" spans="1:5" x14ac:dyDescent="0.2">
      <c r="A8567">
        <v>36200</v>
      </c>
      <c r="B8567">
        <v>31842</v>
      </c>
      <c r="C8567">
        <v>132</v>
      </c>
      <c r="D8567">
        <v>514.5</v>
      </c>
      <c r="E8567">
        <v>25</v>
      </c>
    </row>
    <row r="8568" spans="1:5" x14ac:dyDescent="0.2">
      <c r="A8568">
        <v>36220</v>
      </c>
      <c r="B8568">
        <v>31880</v>
      </c>
      <c r="C8568">
        <v>133</v>
      </c>
      <c r="D8568">
        <v>511.1</v>
      </c>
      <c r="E8568">
        <v>25.1</v>
      </c>
    </row>
    <row r="8569" spans="1:5" x14ac:dyDescent="0.2">
      <c r="A8569">
        <v>36240</v>
      </c>
      <c r="B8569">
        <v>31917</v>
      </c>
      <c r="C8569">
        <v>134</v>
      </c>
      <c r="D8569">
        <v>507.7</v>
      </c>
      <c r="E8569">
        <v>25.2</v>
      </c>
    </row>
    <row r="8570" spans="1:5" x14ac:dyDescent="0.2">
      <c r="A8570">
        <v>36260</v>
      </c>
      <c r="B8570">
        <v>31953</v>
      </c>
      <c r="C8570">
        <v>134</v>
      </c>
      <c r="D8570">
        <v>504.7</v>
      </c>
      <c r="E8570">
        <v>25.1</v>
      </c>
    </row>
    <row r="8571" spans="1:5" x14ac:dyDescent="0.2">
      <c r="A8571">
        <v>36280</v>
      </c>
      <c r="B8571">
        <v>31987</v>
      </c>
      <c r="C8571">
        <v>132</v>
      </c>
      <c r="D8571">
        <v>501.9</v>
      </c>
      <c r="E8571">
        <v>24.7</v>
      </c>
    </row>
    <row r="8572" spans="1:5" x14ac:dyDescent="0.2">
      <c r="A8572">
        <v>36300</v>
      </c>
      <c r="B8572">
        <v>32020</v>
      </c>
      <c r="C8572">
        <v>129</v>
      </c>
      <c r="D8572">
        <v>499.4</v>
      </c>
      <c r="E8572">
        <v>24.1</v>
      </c>
    </row>
    <row r="8573" spans="1:5" x14ac:dyDescent="0.2">
      <c r="A8573">
        <v>36320</v>
      </c>
      <c r="B8573">
        <v>32050</v>
      </c>
      <c r="C8573">
        <v>125</v>
      </c>
      <c r="D8573">
        <v>497.3</v>
      </c>
      <c r="E8573">
        <v>23.3</v>
      </c>
    </row>
    <row r="8574" spans="1:5" x14ac:dyDescent="0.2">
      <c r="A8574">
        <v>36340</v>
      </c>
      <c r="B8574">
        <v>32080</v>
      </c>
      <c r="C8574">
        <v>122</v>
      </c>
      <c r="D8574">
        <v>495.4</v>
      </c>
      <c r="E8574">
        <v>22.7</v>
      </c>
    </row>
    <row r="8575" spans="1:5" x14ac:dyDescent="0.2">
      <c r="A8575">
        <v>36360</v>
      </c>
      <c r="B8575">
        <v>32107</v>
      </c>
      <c r="C8575">
        <v>119</v>
      </c>
      <c r="D8575">
        <v>493.9</v>
      </c>
      <c r="E8575">
        <v>22.1</v>
      </c>
    </row>
    <row r="8576" spans="1:5" x14ac:dyDescent="0.2">
      <c r="A8576">
        <v>36380</v>
      </c>
      <c r="B8576">
        <v>32133</v>
      </c>
      <c r="C8576">
        <v>117</v>
      </c>
      <c r="D8576">
        <v>492.7</v>
      </c>
      <c r="E8576">
        <v>21.8</v>
      </c>
    </row>
    <row r="8577" spans="1:5" x14ac:dyDescent="0.2">
      <c r="A8577">
        <v>36400</v>
      </c>
      <c r="B8577">
        <v>32158</v>
      </c>
      <c r="C8577">
        <v>116</v>
      </c>
      <c r="D8577">
        <v>491.7</v>
      </c>
      <c r="E8577">
        <v>21.5</v>
      </c>
    </row>
    <row r="8578" spans="1:5" x14ac:dyDescent="0.2">
      <c r="A8578">
        <v>36420</v>
      </c>
      <c r="B8578">
        <v>32181</v>
      </c>
      <c r="C8578">
        <v>115</v>
      </c>
      <c r="D8578">
        <v>491</v>
      </c>
      <c r="E8578">
        <v>21.3</v>
      </c>
    </row>
    <row r="8579" spans="1:5" x14ac:dyDescent="0.2">
      <c r="A8579">
        <v>36440</v>
      </c>
      <c r="B8579">
        <v>32202</v>
      </c>
      <c r="C8579">
        <v>113</v>
      </c>
      <c r="D8579">
        <v>490.7</v>
      </c>
      <c r="E8579">
        <v>21</v>
      </c>
    </row>
    <row r="8580" spans="1:5" x14ac:dyDescent="0.2">
      <c r="A8580">
        <v>36460</v>
      </c>
      <c r="B8580">
        <v>32223</v>
      </c>
      <c r="C8580">
        <v>111</v>
      </c>
      <c r="D8580">
        <v>490.5</v>
      </c>
      <c r="E8580">
        <v>20.7</v>
      </c>
    </row>
    <row r="8581" spans="1:5" x14ac:dyDescent="0.2">
      <c r="A8581">
        <v>36480</v>
      </c>
      <c r="B8581">
        <v>32242</v>
      </c>
      <c r="C8581">
        <v>110</v>
      </c>
      <c r="D8581">
        <v>490.5</v>
      </c>
      <c r="E8581">
        <v>20.3</v>
      </c>
    </row>
    <row r="8582" spans="1:5" x14ac:dyDescent="0.2">
      <c r="A8582">
        <v>36500</v>
      </c>
      <c r="B8582">
        <v>32260</v>
      </c>
      <c r="C8582">
        <v>109</v>
      </c>
      <c r="D8582">
        <v>490.7</v>
      </c>
      <c r="E8582">
        <v>20.2</v>
      </c>
    </row>
    <row r="8583" spans="1:5" x14ac:dyDescent="0.2">
      <c r="A8583">
        <v>36520</v>
      </c>
      <c r="B8583">
        <v>32277</v>
      </c>
      <c r="C8583">
        <v>109</v>
      </c>
      <c r="D8583">
        <v>491.2</v>
      </c>
      <c r="E8583">
        <v>20.2</v>
      </c>
    </row>
    <row r="8584" spans="1:5" x14ac:dyDescent="0.2">
      <c r="A8584">
        <v>36540</v>
      </c>
      <c r="B8584">
        <v>32293</v>
      </c>
      <c r="C8584">
        <v>110</v>
      </c>
      <c r="D8584">
        <v>491.9</v>
      </c>
      <c r="E8584">
        <v>20.399999999999999</v>
      </c>
    </row>
    <row r="8585" spans="1:5" x14ac:dyDescent="0.2">
      <c r="A8585">
        <v>36560</v>
      </c>
      <c r="B8585">
        <v>32308</v>
      </c>
      <c r="C8585">
        <v>111</v>
      </c>
      <c r="D8585">
        <v>492.7</v>
      </c>
      <c r="E8585">
        <v>20.7</v>
      </c>
    </row>
    <row r="8586" spans="1:5" x14ac:dyDescent="0.2">
      <c r="A8586">
        <v>36580</v>
      </c>
      <c r="B8586">
        <v>32323</v>
      </c>
      <c r="C8586">
        <v>112</v>
      </c>
      <c r="D8586">
        <v>493.5</v>
      </c>
      <c r="E8586">
        <v>20.8</v>
      </c>
    </row>
    <row r="8587" spans="1:5" x14ac:dyDescent="0.2">
      <c r="A8587">
        <v>36600</v>
      </c>
      <c r="B8587">
        <v>32337</v>
      </c>
      <c r="C8587">
        <v>112</v>
      </c>
      <c r="D8587">
        <v>494.6</v>
      </c>
      <c r="E8587">
        <v>20.8</v>
      </c>
    </row>
    <row r="8588" spans="1:5" x14ac:dyDescent="0.2">
      <c r="A8588">
        <v>36620</v>
      </c>
      <c r="B8588">
        <v>32349</v>
      </c>
      <c r="C8588">
        <v>112</v>
      </c>
      <c r="D8588">
        <v>495.8</v>
      </c>
      <c r="E8588">
        <v>20.8</v>
      </c>
    </row>
    <row r="8589" spans="1:5" x14ac:dyDescent="0.2">
      <c r="A8589">
        <v>36640</v>
      </c>
      <c r="B8589">
        <v>32362</v>
      </c>
      <c r="C8589">
        <v>112</v>
      </c>
      <c r="D8589">
        <v>497.1</v>
      </c>
      <c r="E8589">
        <v>20.9</v>
      </c>
    </row>
    <row r="8590" spans="1:5" x14ac:dyDescent="0.2">
      <c r="A8590">
        <v>36660</v>
      </c>
      <c r="B8590">
        <v>32374</v>
      </c>
      <c r="C8590">
        <v>113</v>
      </c>
      <c r="D8590">
        <v>498.5</v>
      </c>
      <c r="E8590">
        <v>21.2</v>
      </c>
    </row>
    <row r="8591" spans="1:5" x14ac:dyDescent="0.2">
      <c r="A8591">
        <v>36680</v>
      </c>
      <c r="B8591">
        <v>32385</v>
      </c>
      <c r="C8591">
        <v>113</v>
      </c>
      <c r="D8591">
        <v>500.1</v>
      </c>
      <c r="E8591">
        <v>21.2</v>
      </c>
    </row>
    <row r="8592" spans="1:5" x14ac:dyDescent="0.2">
      <c r="A8592">
        <v>36700</v>
      </c>
      <c r="B8592">
        <v>32395</v>
      </c>
      <c r="C8592">
        <v>113</v>
      </c>
      <c r="D8592">
        <v>501.8</v>
      </c>
      <c r="E8592">
        <v>21.1</v>
      </c>
    </row>
    <row r="8593" spans="1:5" x14ac:dyDescent="0.2">
      <c r="A8593">
        <v>36720</v>
      </c>
      <c r="B8593">
        <v>32405</v>
      </c>
      <c r="C8593">
        <v>112</v>
      </c>
      <c r="D8593">
        <v>503.6</v>
      </c>
      <c r="E8593">
        <v>20.9</v>
      </c>
    </row>
    <row r="8594" spans="1:5" x14ac:dyDescent="0.2">
      <c r="A8594">
        <v>36740</v>
      </c>
      <c r="B8594">
        <v>32416</v>
      </c>
      <c r="C8594">
        <v>111</v>
      </c>
      <c r="D8594">
        <v>505.2</v>
      </c>
      <c r="E8594">
        <v>20.9</v>
      </c>
    </row>
    <row r="8595" spans="1:5" x14ac:dyDescent="0.2">
      <c r="A8595">
        <v>36760</v>
      </c>
      <c r="B8595">
        <v>32427</v>
      </c>
      <c r="C8595">
        <v>112</v>
      </c>
      <c r="D8595">
        <v>506.8</v>
      </c>
      <c r="E8595">
        <v>21</v>
      </c>
    </row>
    <row r="8596" spans="1:5" x14ac:dyDescent="0.2">
      <c r="A8596">
        <v>36780</v>
      </c>
      <c r="B8596">
        <v>32438</v>
      </c>
      <c r="C8596">
        <v>112</v>
      </c>
      <c r="D8596">
        <v>508.3</v>
      </c>
      <c r="E8596">
        <v>21.1</v>
      </c>
    </row>
    <row r="8597" spans="1:5" x14ac:dyDescent="0.2">
      <c r="A8597">
        <v>36800</v>
      </c>
      <c r="B8597">
        <v>32452</v>
      </c>
      <c r="C8597">
        <v>112</v>
      </c>
      <c r="D8597">
        <v>509.4</v>
      </c>
      <c r="E8597">
        <v>21</v>
      </c>
    </row>
    <row r="8598" spans="1:5" x14ac:dyDescent="0.2">
      <c r="A8598">
        <v>36820</v>
      </c>
      <c r="B8598">
        <v>32466</v>
      </c>
      <c r="C8598">
        <v>111</v>
      </c>
      <c r="D8598">
        <v>510.3</v>
      </c>
      <c r="E8598">
        <v>20.9</v>
      </c>
    </row>
    <row r="8599" spans="1:5" x14ac:dyDescent="0.2">
      <c r="A8599">
        <v>36840</v>
      </c>
      <c r="B8599">
        <v>32483</v>
      </c>
      <c r="C8599">
        <v>109</v>
      </c>
      <c r="D8599">
        <v>510.9</v>
      </c>
      <c r="E8599">
        <v>20.5</v>
      </c>
    </row>
    <row r="8600" spans="1:5" x14ac:dyDescent="0.2">
      <c r="A8600">
        <v>36860</v>
      </c>
      <c r="B8600">
        <v>32501</v>
      </c>
      <c r="C8600">
        <v>107</v>
      </c>
      <c r="D8600">
        <v>511.2</v>
      </c>
      <c r="E8600">
        <v>20.2</v>
      </c>
    </row>
    <row r="8601" spans="1:5" x14ac:dyDescent="0.2">
      <c r="A8601">
        <v>36880</v>
      </c>
      <c r="B8601">
        <v>32520</v>
      </c>
      <c r="C8601">
        <v>107</v>
      </c>
      <c r="D8601">
        <v>511.2</v>
      </c>
      <c r="E8601">
        <v>20.2</v>
      </c>
    </row>
    <row r="8602" spans="1:5" x14ac:dyDescent="0.2">
      <c r="A8602">
        <v>36900</v>
      </c>
      <c r="B8602">
        <v>32541</v>
      </c>
      <c r="C8602">
        <v>107</v>
      </c>
      <c r="D8602">
        <v>511</v>
      </c>
      <c r="E8602">
        <v>20.2</v>
      </c>
    </row>
    <row r="8603" spans="1:5" x14ac:dyDescent="0.2">
      <c r="A8603">
        <v>36920</v>
      </c>
      <c r="B8603">
        <v>32563</v>
      </c>
      <c r="C8603">
        <v>108</v>
      </c>
      <c r="D8603">
        <v>510.4</v>
      </c>
      <c r="E8603">
        <v>20.2</v>
      </c>
    </row>
    <row r="8604" spans="1:5" x14ac:dyDescent="0.2">
      <c r="A8604">
        <v>36940</v>
      </c>
      <c r="B8604">
        <v>32588</v>
      </c>
      <c r="C8604">
        <v>107</v>
      </c>
      <c r="D8604">
        <v>509.4</v>
      </c>
      <c r="E8604">
        <v>20.100000000000001</v>
      </c>
    </row>
    <row r="8605" spans="1:5" x14ac:dyDescent="0.2">
      <c r="A8605">
        <v>36960</v>
      </c>
      <c r="B8605">
        <v>32614</v>
      </c>
      <c r="C8605">
        <v>105</v>
      </c>
      <c r="D8605">
        <v>508.1</v>
      </c>
      <c r="E8605">
        <v>19.8</v>
      </c>
    </row>
    <row r="8606" spans="1:5" x14ac:dyDescent="0.2">
      <c r="A8606">
        <v>36980</v>
      </c>
      <c r="B8606">
        <v>32641</v>
      </c>
      <c r="C8606">
        <v>103</v>
      </c>
      <c r="D8606">
        <v>506.7</v>
      </c>
      <c r="E8606">
        <v>19.399999999999999</v>
      </c>
    </row>
    <row r="8607" spans="1:5" x14ac:dyDescent="0.2">
      <c r="A8607">
        <v>37000</v>
      </c>
      <c r="B8607">
        <v>32669</v>
      </c>
      <c r="C8607">
        <v>102</v>
      </c>
      <c r="D8607">
        <v>505.1</v>
      </c>
      <c r="E8607">
        <v>19.100000000000001</v>
      </c>
    </row>
    <row r="8608" spans="1:5" x14ac:dyDescent="0.2">
      <c r="A8608">
        <v>37020</v>
      </c>
      <c r="B8608">
        <v>32696</v>
      </c>
      <c r="C8608">
        <v>101</v>
      </c>
      <c r="D8608">
        <v>503.7</v>
      </c>
      <c r="E8608">
        <v>19</v>
      </c>
    </row>
    <row r="8609" spans="1:5" x14ac:dyDescent="0.2">
      <c r="A8609">
        <v>37040</v>
      </c>
      <c r="B8609">
        <v>32723</v>
      </c>
      <c r="C8609">
        <v>101</v>
      </c>
      <c r="D8609">
        <v>502.3</v>
      </c>
      <c r="E8609">
        <v>18.899999999999999</v>
      </c>
    </row>
    <row r="8610" spans="1:5" x14ac:dyDescent="0.2">
      <c r="A8610">
        <v>37060</v>
      </c>
      <c r="B8610">
        <v>32747</v>
      </c>
      <c r="C8610">
        <v>100</v>
      </c>
      <c r="D8610">
        <v>501.3</v>
      </c>
      <c r="E8610">
        <v>18.7</v>
      </c>
    </row>
    <row r="8611" spans="1:5" x14ac:dyDescent="0.2">
      <c r="A8611">
        <v>37080</v>
      </c>
      <c r="B8611">
        <v>32770</v>
      </c>
      <c r="C8611">
        <v>99</v>
      </c>
      <c r="D8611">
        <v>500.7</v>
      </c>
      <c r="E8611">
        <v>18.399999999999999</v>
      </c>
    </row>
    <row r="8612" spans="1:5" x14ac:dyDescent="0.2">
      <c r="A8612">
        <v>37100</v>
      </c>
      <c r="B8612">
        <v>32792</v>
      </c>
      <c r="C8612">
        <v>98</v>
      </c>
      <c r="D8612">
        <v>500.3</v>
      </c>
      <c r="E8612">
        <v>18.399999999999999</v>
      </c>
    </row>
    <row r="8613" spans="1:5" x14ac:dyDescent="0.2">
      <c r="A8613">
        <v>37120</v>
      </c>
      <c r="B8613">
        <v>32812</v>
      </c>
      <c r="C8613">
        <v>99</v>
      </c>
      <c r="D8613">
        <v>500.2</v>
      </c>
      <c r="E8613">
        <v>18.399999999999999</v>
      </c>
    </row>
    <row r="8614" spans="1:5" x14ac:dyDescent="0.2">
      <c r="A8614">
        <v>37140</v>
      </c>
      <c r="B8614">
        <v>32830</v>
      </c>
      <c r="C8614">
        <v>98</v>
      </c>
      <c r="D8614">
        <v>500.4</v>
      </c>
      <c r="E8614">
        <v>18.399999999999999</v>
      </c>
    </row>
    <row r="8615" spans="1:5" x14ac:dyDescent="0.2">
      <c r="A8615">
        <v>37160</v>
      </c>
      <c r="B8615">
        <v>32847</v>
      </c>
      <c r="C8615">
        <v>98</v>
      </c>
      <c r="D8615">
        <v>500.8</v>
      </c>
      <c r="E8615">
        <v>18.3</v>
      </c>
    </row>
    <row r="8616" spans="1:5" x14ac:dyDescent="0.2">
      <c r="A8616">
        <v>37180</v>
      </c>
      <c r="B8616">
        <v>32863</v>
      </c>
      <c r="C8616">
        <v>97</v>
      </c>
      <c r="D8616">
        <v>501.4</v>
      </c>
      <c r="E8616">
        <v>18.2</v>
      </c>
    </row>
    <row r="8617" spans="1:5" x14ac:dyDescent="0.2">
      <c r="A8617">
        <v>37200</v>
      </c>
      <c r="B8617">
        <v>32877</v>
      </c>
      <c r="C8617">
        <v>98</v>
      </c>
      <c r="D8617">
        <v>502.5</v>
      </c>
      <c r="E8617">
        <v>18.399999999999999</v>
      </c>
    </row>
    <row r="8618" spans="1:5" x14ac:dyDescent="0.2">
      <c r="A8618">
        <v>37220</v>
      </c>
      <c r="B8618">
        <v>32890</v>
      </c>
      <c r="C8618">
        <v>99</v>
      </c>
      <c r="D8618">
        <v>503.7</v>
      </c>
      <c r="E8618">
        <v>18.600000000000001</v>
      </c>
    </row>
    <row r="8619" spans="1:5" x14ac:dyDescent="0.2">
      <c r="A8619">
        <v>37240</v>
      </c>
      <c r="B8619">
        <v>32902</v>
      </c>
      <c r="C8619">
        <v>99</v>
      </c>
      <c r="D8619">
        <v>505.1</v>
      </c>
      <c r="E8619">
        <v>18.5</v>
      </c>
    </row>
    <row r="8620" spans="1:5" x14ac:dyDescent="0.2">
      <c r="A8620">
        <v>37260</v>
      </c>
      <c r="B8620">
        <v>32913</v>
      </c>
      <c r="C8620">
        <v>98</v>
      </c>
      <c r="D8620">
        <v>506.7</v>
      </c>
      <c r="E8620">
        <v>18.399999999999999</v>
      </c>
    </row>
    <row r="8621" spans="1:5" x14ac:dyDescent="0.2">
      <c r="A8621">
        <v>37280</v>
      </c>
      <c r="B8621">
        <v>32922</v>
      </c>
      <c r="C8621">
        <v>98</v>
      </c>
      <c r="D8621">
        <v>508.7</v>
      </c>
      <c r="E8621">
        <v>18.399999999999999</v>
      </c>
    </row>
    <row r="8622" spans="1:5" x14ac:dyDescent="0.2">
      <c r="A8622">
        <v>37300</v>
      </c>
      <c r="B8622">
        <v>32931</v>
      </c>
      <c r="C8622">
        <v>97</v>
      </c>
      <c r="D8622">
        <v>510.6</v>
      </c>
      <c r="E8622">
        <v>18.3</v>
      </c>
    </row>
    <row r="8623" spans="1:5" x14ac:dyDescent="0.2">
      <c r="A8623">
        <v>37320</v>
      </c>
      <c r="B8623">
        <v>32940</v>
      </c>
      <c r="C8623">
        <v>99</v>
      </c>
      <c r="D8623">
        <v>512.70000000000005</v>
      </c>
      <c r="E8623">
        <v>18.600000000000001</v>
      </c>
    </row>
    <row r="8624" spans="1:5" x14ac:dyDescent="0.2">
      <c r="A8624">
        <v>37340</v>
      </c>
      <c r="B8624">
        <v>32948</v>
      </c>
      <c r="C8624">
        <v>100</v>
      </c>
      <c r="D8624">
        <v>514.70000000000005</v>
      </c>
      <c r="E8624">
        <v>18.899999999999999</v>
      </c>
    </row>
    <row r="8625" spans="1:5" x14ac:dyDescent="0.2">
      <c r="A8625">
        <v>37360</v>
      </c>
      <c r="B8625">
        <v>32956</v>
      </c>
      <c r="C8625">
        <v>102</v>
      </c>
      <c r="D8625">
        <v>516.9</v>
      </c>
      <c r="E8625">
        <v>19.2</v>
      </c>
    </row>
    <row r="8626" spans="1:5" x14ac:dyDescent="0.2">
      <c r="A8626">
        <v>37380</v>
      </c>
      <c r="B8626">
        <v>32965</v>
      </c>
      <c r="C8626">
        <v>102</v>
      </c>
      <c r="D8626">
        <v>519</v>
      </c>
      <c r="E8626">
        <v>19.3</v>
      </c>
    </row>
    <row r="8627" spans="1:5" x14ac:dyDescent="0.2">
      <c r="A8627">
        <v>37400</v>
      </c>
      <c r="B8627">
        <v>32973</v>
      </c>
      <c r="C8627">
        <v>102</v>
      </c>
      <c r="D8627">
        <v>521.1</v>
      </c>
      <c r="E8627">
        <v>19.399999999999999</v>
      </c>
    </row>
    <row r="8628" spans="1:5" x14ac:dyDescent="0.2">
      <c r="A8628">
        <v>37420</v>
      </c>
      <c r="B8628">
        <v>32983</v>
      </c>
      <c r="C8628">
        <v>103</v>
      </c>
      <c r="D8628">
        <v>522.9</v>
      </c>
      <c r="E8628">
        <v>19.5</v>
      </c>
    </row>
    <row r="8629" spans="1:5" x14ac:dyDescent="0.2">
      <c r="A8629">
        <v>37440</v>
      </c>
      <c r="B8629">
        <v>32994</v>
      </c>
      <c r="C8629">
        <v>103</v>
      </c>
      <c r="D8629">
        <v>524.5</v>
      </c>
      <c r="E8629">
        <v>19.600000000000001</v>
      </c>
    </row>
    <row r="8630" spans="1:5" x14ac:dyDescent="0.2">
      <c r="A8630">
        <v>37460</v>
      </c>
      <c r="B8630">
        <v>33007</v>
      </c>
      <c r="C8630">
        <v>105</v>
      </c>
      <c r="D8630">
        <v>525.6</v>
      </c>
      <c r="E8630">
        <v>19.899999999999999</v>
      </c>
    </row>
    <row r="8631" spans="1:5" x14ac:dyDescent="0.2">
      <c r="A8631">
        <v>37480</v>
      </c>
      <c r="B8631">
        <v>33024</v>
      </c>
      <c r="C8631">
        <v>105</v>
      </c>
      <c r="D8631">
        <v>526</v>
      </c>
      <c r="E8631">
        <v>20</v>
      </c>
    </row>
    <row r="8632" spans="1:5" x14ac:dyDescent="0.2">
      <c r="A8632">
        <v>37500</v>
      </c>
      <c r="B8632">
        <v>33045</v>
      </c>
      <c r="C8632">
        <v>105</v>
      </c>
      <c r="D8632">
        <v>525.79999999999995</v>
      </c>
      <c r="E8632">
        <v>20</v>
      </c>
    </row>
    <row r="8633" spans="1:5" x14ac:dyDescent="0.2">
      <c r="A8633">
        <v>37520</v>
      </c>
      <c r="B8633">
        <v>33069</v>
      </c>
      <c r="C8633">
        <v>105</v>
      </c>
      <c r="D8633">
        <v>525</v>
      </c>
      <c r="E8633">
        <v>19.899999999999999</v>
      </c>
    </row>
    <row r="8634" spans="1:5" x14ac:dyDescent="0.2">
      <c r="A8634">
        <v>37540</v>
      </c>
      <c r="B8634">
        <v>33094</v>
      </c>
      <c r="C8634">
        <v>104</v>
      </c>
      <c r="D8634">
        <v>523.79999999999995</v>
      </c>
      <c r="E8634">
        <v>19.8</v>
      </c>
    </row>
    <row r="8635" spans="1:5" x14ac:dyDescent="0.2">
      <c r="A8635">
        <v>37560</v>
      </c>
      <c r="B8635">
        <v>33121</v>
      </c>
      <c r="C8635">
        <v>105</v>
      </c>
      <c r="D8635">
        <v>522.5</v>
      </c>
      <c r="E8635">
        <v>19.899999999999999</v>
      </c>
    </row>
    <row r="8636" spans="1:5" x14ac:dyDescent="0.2">
      <c r="A8636">
        <v>37580</v>
      </c>
      <c r="B8636">
        <v>33148</v>
      </c>
      <c r="C8636">
        <v>106</v>
      </c>
      <c r="D8636">
        <v>521</v>
      </c>
      <c r="E8636">
        <v>20.100000000000001</v>
      </c>
    </row>
    <row r="8637" spans="1:5" x14ac:dyDescent="0.2">
      <c r="A8637">
        <v>37600</v>
      </c>
      <c r="B8637">
        <v>33175</v>
      </c>
      <c r="C8637">
        <v>106</v>
      </c>
      <c r="D8637">
        <v>519.5</v>
      </c>
      <c r="E8637">
        <v>20</v>
      </c>
    </row>
    <row r="8638" spans="1:5" x14ac:dyDescent="0.2">
      <c r="A8638">
        <v>37620</v>
      </c>
      <c r="B8638">
        <v>33202</v>
      </c>
      <c r="C8638">
        <v>105</v>
      </c>
      <c r="D8638">
        <v>518.1</v>
      </c>
      <c r="E8638">
        <v>19.8</v>
      </c>
    </row>
    <row r="8639" spans="1:5" x14ac:dyDescent="0.2">
      <c r="A8639">
        <v>37640</v>
      </c>
      <c r="B8639">
        <v>33228</v>
      </c>
      <c r="C8639">
        <v>103</v>
      </c>
      <c r="D8639">
        <v>517</v>
      </c>
      <c r="E8639">
        <v>19.399999999999999</v>
      </c>
    </row>
    <row r="8640" spans="1:5" x14ac:dyDescent="0.2">
      <c r="A8640">
        <v>37660</v>
      </c>
      <c r="B8640">
        <v>33252</v>
      </c>
      <c r="C8640">
        <v>100</v>
      </c>
      <c r="D8640">
        <v>516.1</v>
      </c>
      <c r="E8640">
        <v>19</v>
      </c>
    </row>
    <row r="8641" spans="1:5" x14ac:dyDescent="0.2">
      <c r="A8641">
        <v>37680</v>
      </c>
      <c r="B8641">
        <v>33274</v>
      </c>
      <c r="C8641">
        <v>100</v>
      </c>
      <c r="D8641">
        <v>515.6</v>
      </c>
      <c r="E8641">
        <v>18.8</v>
      </c>
    </row>
    <row r="8642" spans="1:5" x14ac:dyDescent="0.2">
      <c r="A8642">
        <v>37700</v>
      </c>
      <c r="B8642">
        <v>33293</v>
      </c>
      <c r="C8642">
        <v>99</v>
      </c>
      <c r="D8642">
        <v>515.6</v>
      </c>
      <c r="E8642">
        <v>18.7</v>
      </c>
    </row>
    <row r="8643" spans="1:5" x14ac:dyDescent="0.2">
      <c r="A8643">
        <v>37720</v>
      </c>
      <c r="B8643">
        <v>33311</v>
      </c>
      <c r="C8643">
        <v>99</v>
      </c>
      <c r="D8643">
        <v>516</v>
      </c>
      <c r="E8643">
        <v>18.600000000000001</v>
      </c>
    </row>
    <row r="8644" spans="1:5" x14ac:dyDescent="0.2">
      <c r="A8644">
        <v>37740</v>
      </c>
      <c r="B8644">
        <v>33325</v>
      </c>
      <c r="C8644">
        <v>98</v>
      </c>
      <c r="D8644">
        <v>516.9</v>
      </c>
      <c r="E8644">
        <v>18.5</v>
      </c>
    </row>
    <row r="8645" spans="1:5" x14ac:dyDescent="0.2">
      <c r="A8645">
        <v>37760</v>
      </c>
      <c r="B8645">
        <v>33336</v>
      </c>
      <c r="C8645">
        <v>97</v>
      </c>
      <c r="D8645">
        <v>518.5</v>
      </c>
      <c r="E8645">
        <v>18.3</v>
      </c>
    </row>
    <row r="8646" spans="1:5" x14ac:dyDescent="0.2">
      <c r="A8646">
        <v>37780</v>
      </c>
      <c r="B8646">
        <v>33344</v>
      </c>
      <c r="C8646">
        <v>95</v>
      </c>
      <c r="D8646">
        <v>520.70000000000005</v>
      </c>
      <c r="E8646">
        <v>18.100000000000001</v>
      </c>
    </row>
    <row r="8647" spans="1:5" x14ac:dyDescent="0.2">
      <c r="A8647">
        <v>37800</v>
      </c>
      <c r="B8647">
        <v>33349</v>
      </c>
      <c r="C8647">
        <v>94</v>
      </c>
      <c r="D8647">
        <v>523.4</v>
      </c>
      <c r="E8647">
        <v>17.8</v>
      </c>
    </row>
    <row r="8648" spans="1:5" x14ac:dyDescent="0.2">
      <c r="A8648">
        <v>37820</v>
      </c>
      <c r="B8648">
        <v>33353</v>
      </c>
      <c r="C8648">
        <v>93</v>
      </c>
      <c r="D8648">
        <v>526.4</v>
      </c>
      <c r="E8648">
        <v>17.8</v>
      </c>
    </row>
    <row r="8649" spans="1:5" x14ac:dyDescent="0.2">
      <c r="A8649">
        <v>37840</v>
      </c>
      <c r="B8649">
        <v>33354</v>
      </c>
      <c r="C8649">
        <v>93</v>
      </c>
      <c r="D8649">
        <v>529.9</v>
      </c>
      <c r="E8649">
        <v>17.7</v>
      </c>
    </row>
    <row r="8650" spans="1:5" x14ac:dyDescent="0.2">
      <c r="A8650">
        <v>37860</v>
      </c>
      <c r="B8650">
        <v>33355</v>
      </c>
      <c r="C8650">
        <v>92</v>
      </c>
      <c r="D8650">
        <v>533.29999999999995</v>
      </c>
      <c r="E8650">
        <v>17.600000000000001</v>
      </c>
    </row>
    <row r="8651" spans="1:5" x14ac:dyDescent="0.2">
      <c r="A8651">
        <v>37880</v>
      </c>
      <c r="B8651">
        <v>33356</v>
      </c>
      <c r="C8651">
        <v>93</v>
      </c>
      <c r="D8651">
        <v>536.9</v>
      </c>
      <c r="E8651">
        <v>17.8</v>
      </c>
    </row>
    <row r="8652" spans="1:5" x14ac:dyDescent="0.2">
      <c r="A8652">
        <v>37900</v>
      </c>
      <c r="B8652">
        <v>33355</v>
      </c>
      <c r="C8652">
        <v>95</v>
      </c>
      <c r="D8652">
        <v>540.79999999999995</v>
      </c>
      <c r="E8652">
        <v>18.2</v>
      </c>
    </row>
    <row r="8653" spans="1:5" x14ac:dyDescent="0.2">
      <c r="A8653">
        <v>37920</v>
      </c>
      <c r="B8653">
        <v>33355</v>
      </c>
      <c r="C8653">
        <v>96</v>
      </c>
      <c r="D8653">
        <v>544.6</v>
      </c>
      <c r="E8653">
        <v>18.399999999999999</v>
      </c>
    </row>
    <row r="8654" spans="1:5" x14ac:dyDescent="0.2">
      <c r="A8654">
        <v>37940</v>
      </c>
      <c r="B8654">
        <v>33354</v>
      </c>
      <c r="C8654">
        <v>97</v>
      </c>
      <c r="D8654">
        <v>548.4</v>
      </c>
      <c r="E8654">
        <v>18.7</v>
      </c>
    </row>
    <row r="8655" spans="1:5" x14ac:dyDescent="0.2">
      <c r="A8655">
        <v>37960</v>
      </c>
      <c r="B8655">
        <v>33354</v>
      </c>
      <c r="C8655">
        <v>98</v>
      </c>
      <c r="D8655">
        <v>552.29999999999995</v>
      </c>
      <c r="E8655">
        <v>19</v>
      </c>
    </row>
    <row r="8656" spans="1:5" x14ac:dyDescent="0.2">
      <c r="A8656">
        <v>37980</v>
      </c>
      <c r="B8656">
        <v>33354</v>
      </c>
      <c r="C8656">
        <v>101</v>
      </c>
      <c r="D8656">
        <v>556.1</v>
      </c>
      <c r="E8656">
        <v>19.5</v>
      </c>
    </row>
    <row r="8657" spans="1:5" x14ac:dyDescent="0.2">
      <c r="A8657">
        <v>38000</v>
      </c>
      <c r="B8657">
        <v>33353</v>
      </c>
      <c r="C8657">
        <v>103</v>
      </c>
      <c r="D8657">
        <v>559.9</v>
      </c>
      <c r="E8657">
        <v>20</v>
      </c>
    </row>
    <row r="8658" spans="1:5" x14ac:dyDescent="0.2">
      <c r="A8658">
        <v>38020</v>
      </c>
      <c r="B8658">
        <v>33355</v>
      </c>
      <c r="C8658">
        <v>106</v>
      </c>
      <c r="D8658">
        <v>563.5</v>
      </c>
      <c r="E8658">
        <v>20.5</v>
      </c>
    </row>
    <row r="8659" spans="1:5" x14ac:dyDescent="0.2">
      <c r="A8659">
        <v>38040</v>
      </c>
      <c r="B8659">
        <v>33356</v>
      </c>
      <c r="C8659">
        <v>107</v>
      </c>
      <c r="D8659">
        <v>567</v>
      </c>
      <c r="E8659">
        <v>20.9</v>
      </c>
    </row>
    <row r="8660" spans="1:5" x14ac:dyDescent="0.2">
      <c r="A8660">
        <v>38060</v>
      </c>
      <c r="B8660">
        <v>33358</v>
      </c>
      <c r="C8660">
        <v>108</v>
      </c>
      <c r="D8660">
        <v>570.29999999999995</v>
      </c>
      <c r="E8660">
        <v>21.1</v>
      </c>
    </row>
    <row r="8661" spans="1:5" x14ac:dyDescent="0.2">
      <c r="A8661">
        <v>38080</v>
      </c>
      <c r="B8661">
        <v>33362</v>
      </c>
      <c r="C8661">
        <v>107</v>
      </c>
      <c r="D8661">
        <v>573.4</v>
      </c>
      <c r="E8661">
        <v>21.1</v>
      </c>
    </row>
    <row r="8662" spans="1:5" x14ac:dyDescent="0.2">
      <c r="A8662">
        <v>38100</v>
      </c>
      <c r="B8662">
        <v>33366</v>
      </c>
      <c r="C8662">
        <v>107</v>
      </c>
      <c r="D8662">
        <v>576.4</v>
      </c>
      <c r="E8662">
        <v>20.9</v>
      </c>
    </row>
    <row r="8663" spans="1:5" x14ac:dyDescent="0.2">
      <c r="A8663">
        <v>38120</v>
      </c>
      <c r="B8663">
        <v>33371</v>
      </c>
      <c r="C8663">
        <v>107</v>
      </c>
      <c r="D8663">
        <v>579.20000000000005</v>
      </c>
      <c r="E8663">
        <v>21</v>
      </c>
    </row>
    <row r="8664" spans="1:5" x14ac:dyDescent="0.2">
      <c r="A8664">
        <v>38140</v>
      </c>
      <c r="B8664">
        <v>33377</v>
      </c>
      <c r="C8664">
        <v>107</v>
      </c>
      <c r="D8664">
        <v>581.9</v>
      </c>
      <c r="E8664">
        <v>21.1</v>
      </c>
    </row>
    <row r="8665" spans="1:5" x14ac:dyDescent="0.2">
      <c r="A8665">
        <v>38160</v>
      </c>
      <c r="B8665">
        <v>33383</v>
      </c>
      <c r="C8665">
        <v>108</v>
      </c>
      <c r="D8665">
        <v>584.6</v>
      </c>
      <c r="E8665">
        <v>21.4</v>
      </c>
    </row>
    <row r="8666" spans="1:5" x14ac:dyDescent="0.2">
      <c r="A8666">
        <v>38180</v>
      </c>
      <c r="B8666">
        <v>33389</v>
      </c>
      <c r="C8666">
        <v>108</v>
      </c>
      <c r="D8666">
        <v>587.29999999999995</v>
      </c>
      <c r="E8666">
        <v>21.3</v>
      </c>
    </row>
    <row r="8667" spans="1:5" x14ac:dyDescent="0.2">
      <c r="A8667">
        <v>38200</v>
      </c>
      <c r="B8667">
        <v>33395</v>
      </c>
      <c r="C8667">
        <v>107</v>
      </c>
      <c r="D8667">
        <v>589.79999999999995</v>
      </c>
      <c r="E8667">
        <v>21.2</v>
      </c>
    </row>
    <row r="8668" spans="1:5" x14ac:dyDescent="0.2">
      <c r="A8668">
        <v>38220</v>
      </c>
      <c r="B8668">
        <v>33402</v>
      </c>
      <c r="C8668">
        <v>105</v>
      </c>
      <c r="D8668">
        <v>592.4</v>
      </c>
      <c r="E8668">
        <v>20.9</v>
      </c>
    </row>
    <row r="8669" spans="1:5" x14ac:dyDescent="0.2">
      <c r="A8669">
        <v>38240</v>
      </c>
      <c r="B8669">
        <v>33408</v>
      </c>
      <c r="C8669">
        <v>104</v>
      </c>
      <c r="D8669">
        <v>594.9</v>
      </c>
      <c r="E8669">
        <v>20.6</v>
      </c>
    </row>
    <row r="8670" spans="1:5" x14ac:dyDescent="0.2">
      <c r="A8670">
        <v>38260</v>
      </c>
      <c r="B8670">
        <v>33415</v>
      </c>
      <c r="C8670">
        <v>103</v>
      </c>
      <c r="D8670">
        <v>597.4</v>
      </c>
      <c r="E8670">
        <v>20.5</v>
      </c>
    </row>
    <row r="8671" spans="1:5" x14ac:dyDescent="0.2">
      <c r="A8671">
        <v>38280</v>
      </c>
      <c r="B8671">
        <v>33422</v>
      </c>
      <c r="C8671">
        <v>103</v>
      </c>
      <c r="D8671">
        <v>600</v>
      </c>
      <c r="E8671">
        <v>20.5</v>
      </c>
    </row>
    <row r="8672" spans="1:5" x14ac:dyDescent="0.2">
      <c r="A8672">
        <v>38300</v>
      </c>
      <c r="B8672">
        <v>33428</v>
      </c>
      <c r="C8672">
        <v>103</v>
      </c>
      <c r="D8672">
        <v>602.5</v>
      </c>
      <c r="E8672">
        <v>20.5</v>
      </c>
    </row>
    <row r="8673" spans="1:5" x14ac:dyDescent="0.2">
      <c r="A8673">
        <v>38320</v>
      </c>
      <c r="B8673">
        <v>33435</v>
      </c>
      <c r="C8673">
        <v>103</v>
      </c>
      <c r="D8673">
        <v>605</v>
      </c>
      <c r="E8673">
        <v>20.6</v>
      </c>
    </row>
    <row r="8674" spans="1:5" x14ac:dyDescent="0.2">
      <c r="A8674">
        <v>38340</v>
      </c>
      <c r="B8674">
        <v>33442</v>
      </c>
      <c r="C8674">
        <v>103</v>
      </c>
      <c r="D8674">
        <v>607.6</v>
      </c>
      <c r="E8674">
        <v>20.6</v>
      </c>
    </row>
    <row r="8675" spans="1:5" x14ac:dyDescent="0.2">
      <c r="A8675">
        <v>38360</v>
      </c>
      <c r="B8675">
        <v>33449</v>
      </c>
      <c r="C8675">
        <v>103</v>
      </c>
      <c r="D8675">
        <v>610.1</v>
      </c>
      <c r="E8675">
        <v>20.6</v>
      </c>
    </row>
    <row r="8676" spans="1:5" x14ac:dyDescent="0.2">
      <c r="A8676">
        <v>38380</v>
      </c>
      <c r="B8676">
        <v>33456</v>
      </c>
      <c r="C8676">
        <v>105</v>
      </c>
      <c r="D8676">
        <v>612.5</v>
      </c>
      <c r="E8676">
        <v>21</v>
      </c>
    </row>
    <row r="8677" spans="1:5" x14ac:dyDescent="0.2">
      <c r="A8677">
        <v>38400</v>
      </c>
      <c r="B8677">
        <v>33463</v>
      </c>
      <c r="C8677">
        <v>106</v>
      </c>
      <c r="D8677">
        <v>615</v>
      </c>
      <c r="E8677">
        <v>21.4</v>
      </c>
    </row>
    <row r="8678" spans="1:5" x14ac:dyDescent="0.2">
      <c r="A8678">
        <v>38420</v>
      </c>
      <c r="B8678">
        <v>33472</v>
      </c>
      <c r="C8678">
        <v>109</v>
      </c>
      <c r="D8678">
        <v>617.20000000000005</v>
      </c>
      <c r="E8678">
        <v>21.9</v>
      </c>
    </row>
    <row r="8679" spans="1:5" x14ac:dyDescent="0.2">
      <c r="A8679">
        <v>38440</v>
      </c>
      <c r="B8679">
        <v>33481</v>
      </c>
      <c r="C8679">
        <v>111</v>
      </c>
      <c r="D8679">
        <v>619.29999999999995</v>
      </c>
      <c r="E8679">
        <v>22.4</v>
      </c>
    </row>
    <row r="8680" spans="1:5" x14ac:dyDescent="0.2">
      <c r="A8680">
        <v>38460</v>
      </c>
      <c r="B8680">
        <v>33490</v>
      </c>
      <c r="C8680">
        <v>113</v>
      </c>
      <c r="D8680">
        <v>621.29999999999995</v>
      </c>
      <c r="E8680">
        <v>22.8</v>
      </c>
    </row>
    <row r="8681" spans="1:5" x14ac:dyDescent="0.2">
      <c r="A8681">
        <v>38480</v>
      </c>
      <c r="B8681">
        <v>33500</v>
      </c>
      <c r="C8681">
        <v>116</v>
      </c>
      <c r="D8681">
        <v>623.20000000000005</v>
      </c>
      <c r="E8681">
        <v>23.5</v>
      </c>
    </row>
    <row r="8682" spans="1:5" x14ac:dyDescent="0.2">
      <c r="A8682">
        <v>38500</v>
      </c>
      <c r="B8682">
        <v>33510</v>
      </c>
      <c r="C8682">
        <v>119</v>
      </c>
      <c r="D8682">
        <v>625.20000000000005</v>
      </c>
      <c r="E8682">
        <v>24.1</v>
      </c>
    </row>
    <row r="8683" spans="1:5" x14ac:dyDescent="0.2">
      <c r="A8683">
        <v>38520</v>
      </c>
      <c r="B8683">
        <v>33519</v>
      </c>
      <c r="C8683">
        <v>123</v>
      </c>
      <c r="D8683">
        <v>627.29999999999995</v>
      </c>
      <c r="E8683">
        <v>24.9</v>
      </c>
    </row>
    <row r="8684" spans="1:5" x14ac:dyDescent="0.2">
      <c r="A8684">
        <v>38540</v>
      </c>
      <c r="B8684">
        <v>33528</v>
      </c>
      <c r="C8684">
        <v>125</v>
      </c>
      <c r="D8684">
        <v>629.5</v>
      </c>
      <c r="E8684">
        <v>25.2</v>
      </c>
    </row>
    <row r="8685" spans="1:5" x14ac:dyDescent="0.2">
      <c r="A8685">
        <v>38560</v>
      </c>
      <c r="B8685">
        <v>33536</v>
      </c>
      <c r="C8685">
        <v>125</v>
      </c>
      <c r="D8685">
        <v>631.79999999999995</v>
      </c>
      <c r="E8685">
        <v>25.4</v>
      </c>
    </row>
    <row r="8686" spans="1:5" x14ac:dyDescent="0.2">
      <c r="A8686">
        <v>38580</v>
      </c>
      <c r="B8686">
        <v>33543</v>
      </c>
      <c r="C8686">
        <v>124</v>
      </c>
      <c r="D8686">
        <v>634.20000000000005</v>
      </c>
      <c r="E8686">
        <v>25.3</v>
      </c>
    </row>
    <row r="8687" spans="1:5" x14ac:dyDescent="0.2">
      <c r="A8687">
        <v>38600</v>
      </c>
      <c r="B8687">
        <v>33550</v>
      </c>
      <c r="C8687">
        <v>124</v>
      </c>
      <c r="D8687">
        <v>636.79999999999995</v>
      </c>
      <c r="E8687">
        <v>25.1</v>
      </c>
    </row>
    <row r="8688" spans="1:5" x14ac:dyDescent="0.2">
      <c r="A8688">
        <v>38620</v>
      </c>
      <c r="B8688">
        <v>33557</v>
      </c>
      <c r="C8688">
        <v>122</v>
      </c>
      <c r="D8688">
        <v>639.4</v>
      </c>
      <c r="E8688">
        <v>24.9</v>
      </c>
    </row>
    <row r="8689" spans="1:5" x14ac:dyDescent="0.2">
      <c r="A8689">
        <v>38640</v>
      </c>
      <c r="B8689">
        <v>33562</v>
      </c>
      <c r="C8689">
        <v>122</v>
      </c>
      <c r="D8689">
        <v>642.29999999999995</v>
      </c>
      <c r="E8689">
        <v>24.8</v>
      </c>
    </row>
    <row r="8690" spans="1:5" x14ac:dyDescent="0.2">
      <c r="A8690">
        <v>38660</v>
      </c>
      <c r="B8690">
        <v>33566</v>
      </c>
      <c r="C8690">
        <v>121</v>
      </c>
      <c r="D8690">
        <v>645.4</v>
      </c>
      <c r="E8690">
        <v>24.7</v>
      </c>
    </row>
    <row r="8691" spans="1:5" x14ac:dyDescent="0.2">
      <c r="A8691">
        <v>38680</v>
      </c>
      <c r="B8691">
        <v>33571</v>
      </c>
      <c r="C8691">
        <v>119</v>
      </c>
      <c r="D8691">
        <v>648.5</v>
      </c>
      <c r="E8691">
        <v>24.5</v>
      </c>
    </row>
    <row r="8692" spans="1:5" x14ac:dyDescent="0.2">
      <c r="A8692">
        <v>38700</v>
      </c>
      <c r="B8692">
        <v>33574</v>
      </c>
      <c r="C8692">
        <v>117</v>
      </c>
      <c r="D8692">
        <v>651.70000000000005</v>
      </c>
      <c r="E8692">
        <v>24.1</v>
      </c>
    </row>
    <row r="8693" spans="1:5" x14ac:dyDescent="0.2">
      <c r="A8693">
        <v>38720</v>
      </c>
      <c r="B8693">
        <v>33578</v>
      </c>
      <c r="C8693">
        <v>115</v>
      </c>
      <c r="D8693">
        <v>655</v>
      </c>
      <c r="E8693">
        <v>23.7</v>
      </c>
    </row>
    <row r="8694" spans="1:5" x14ac:dyDescent="0.2">
      <c r="A8694">
        <v>38740</v>
      </c>
      <c r="B8694">
        <v>33580</v>
      </c>
      <c r="C8694">
        <v>114</v>
      </c>
      <c r="D8694">
        <v>658.5</v>
      </c>
      <c r="E8694">
        <v>23.5</v>
      </c>
    </row>
    <row r="8695" spans="1:5" x14ac:dyDescent="0.2">
      <c r="A8695">
        <v>38760</v>
      </c>
      <c r="B8695">
        <v>33583</v>
      </c>
      <c r="C8695">
        <v>114</v>
      </c>
      <c r="D8695">
        <v>662</v>
      </c>
      <c r="E8695">
        <v>23.6</v>
      </c>
    </row>
    <row r="8696" spans="1:5" x14ac:dyDescent="0.2">
      <c r="A8696">
        <v>38780</v>
      </c>
      <c r="B8696">
        <v>33586</v>
      </c>
      <c r="C8696">
        <v>115</v>
      </c>
      <c r="D8696">
        <v>665.5</v>
      </c>
      <c r="E8696">
        <v>23.9</v>
      </c>
    </row>
    <row r="8697" spans="1:5" x14ac:dyDescent="0.2">
      <c r="A8697">
        <v>38800</v>
      </c>
      <c r="B8697">
        <v>33589</v>
      </c>
      <c r="C8697">
        <v>117</v>
      </c>
      <c r="D8697">
        <v>668.8</v>
      </c>
      <c r="E8697">
        <v>24.2</v>
      </c>
    </row>
    <row r="8698" spans="1:5" x14ac:dyDescent="0.2">
      <c r="A8698">
        <v>38820</v>
      </c>
      <c r="B8698">
        <v>33592</v>
      </c>
      <c r="C8698">
        <v>118</v>
      </c>
      <c r="D8698">
        <v>672.2</v>
      </c>
      <c r="E8698">
        <v>24.6</v>
      </c>
    </row>
    <row r="8699" spans="1:5" x14ac:dyDescent="0.2">
      <c r="A8699">
        <v>38840</v>
      </c>
      <c r="B8699">
        <v>33597</v>
      </c>
      <c r="C8699">
        <v>118</v>
      </c>
      <c r="D8699">
        <v>675.2</v>
      </c>
      <c r="E8699">
        <v>24.7</v>
      </c>
    </row>
    <row r="8700" spans="1:5" x14ac:dyDescent="0.2">
      <c r="A8700">
        <v>38860</v>
      </c>
      <c r="B8700">
        <v>33602</v>
      </c>
      <c r="C8700">
        <v>118</v>
      </c>
      <c r="D8700">
        <v>678.2</v>
      </c>
      <c r="E8700">
        <v>24.6</v>
      </c>
    </row>
    <row r="8701" spans="1:5" x14ac:dyDescent="0.2">
      <c r="A8701">
        <v>38880</v>
      </c>
      <c r="B8701">
        <v>33608</v>
      </c>
      <c r="C8701">
        <v>118</v>
      </c>
      <c r="D8701">
        <v>681</v>
      </c>
      <c r="E8701">
        <v>24.6</v>
      </c>
    </row>
    <row r="8702" spans="1:5" x14ac:dyDescent="0.2">
      <c r="A8702">
        <v>38900</v>
      </c>
      <c r="B8702">
        <v>33615</v>
      </c>
      <c r="C8702">
        <v>118</v>
      </c>
      <c r="D8702">
        <v>683.7</v>
      </c>
      <c r="E8702">
        <v>24.7</v>
      </c>
    </row>
    <row r="8703" spans="1:5" x14ac:dyDescent="0.2">
      <c r="A8703">
        <v>38920</v>
      </c>
      <c r="B8703">
        <v>33623</v>
      </c>
      <c r="C8703">
        <v>118</v>
      </c>
      <c r="D8703">
        <v>686.1</v>
      </c>
      <c r="E8703">
        <v>24.8</v>
      </c>
    </row>
    <row r="8704" spans="1:5" x14ac:dyDescent="0.2">
      <c r="A8704">
        <v>38940</v>
      </c>
      <c r="B8704">
        <v>33632</v>
      </c>
      <c r="C8704">
        <v>118</v>
      </c>
      <c r="D8704">
        <v>688.2</v>
      </c>
      <c r="E8704">
        <v>24.7</v>
      </c>
    </row>
    <row r="8705" spans="1:5" x14ac:dyDescent="0.2">
      <c r="A8705">
        <v>38960</v>
      </c>
      <c r="B8705">
        <v>33643</v>
      </c>
      <c r="C8705">
        <v>116</v>
      </c>
      <c r="D8705">
        <v>690.1</v>
      </c>
      <c r="E8705">
        <v>24.4</v>
      </c>
    </row>
    <row r="8706" spans="1:5" x14ac:dyDescent="0.2">
      <c r="A8706">
        <v>38980</v>
      </c>
      <c r="B8706">
        <v>33654</v>
      </c>
      <c r="C8706">
        <v>115</v>
      </c>
      <c r="D8706">
        <v>691.7</v>
      </c>
      <c r="E8706">
        <v>24.2</v>
      </c>
    </row>
    <row r="8707" spans="1:5" x14ac:dyDescent="0.2">
      <c r="A8707">
        <v>39000</v>
      </c>
      <c r="B8707">
        <v>33668</v>
      </c>
      <c r="C8707">
        <v>114</v>
      </c>
      <c r="D8707">
        <v>692.9</v>
      </c>
      <c r="E8707">
        <v>24</v>
      </c>
    </row>
    <row r="8708" spans="1:5" x14ac:dyDescent="0.2">
      <c r="A8708">
        <v>39020</v>
      </c>
      <c r="B8708">
        <v>33684</v>
      </c>
      <c r="C8708">
        <v>115</v>
      </c>
      <c r="D8708">
        <v>693.5</v>
      </c>
      <c r="E8708">
        <v>24.2</v>
      </c>
    </row>
    <row r="8709" spans="1:5" x14ac:dyDescent="0.2">
      <c r="A8709">
        <v>39040</v>
      </c>
      <c r="B8709">
        <v>33703</v>
      </c>
      <c r="C8709">
        <v>116</v>
      </c>
      <c r="D8709">
        <v>693.8</v>
      </c>
      <c r="E8709">
        <v>24.4</v>
      </c>
    </row>
    <row r="8710" spans="1:5" x14ac:dyDescent="0.2">
      <c r="A8710">
        <v>39060</v>
      </c>
      <c r="B8710">
        <v>33723</v>
      </c>
      <c r="C8710">
        <v>118</v>
      </c>
      <c r="D8710">
        <v>693.5</v>
      </c>
      <c r="E8710">
        <v>24.8</v>
      </c>
    </row>
    <row r="8711" spans="1:5" x14ac:dyDescent="0.2">
      <c r="A8711">
        <v>39080</v>
      </c>
      <c r="B8711">
        <v>33748</v>
      </c>
      <c r="C8711">
        <v>120</v>
      </c>
      <c r="D8711">
        <v>692.5</v>
      </c>
      <c r="E8711">
        <v>25.2</v>
      </c>
    </row>
    <row r="8712" spans="1:5" x14ac:dyDescent="0.2">
      <c r="A8712">
        <v>39100</v>
      </c>
      <c r="B8712">
        <v>33775</v>
      </c>
      <c r="C8712">
        <v>121</v>
      </c>
      <c r="D8712">
        <v>690.9</v>
      </c>
      <c r="E8712">
        <v>25.4</v>
      </c>
    </row>
    <row r="8713" spans="1:5" x14ac:dyDescent="0.2">
      <c r="A8713">
        <v>39120</v>
      </c>
      <c r="B8713">
        <v>33805</v>
      </c>
      <c r="C8713">
        <v>122</v>
      </c>
      <c r="D8713">
        <v>688.7</v>
      </c>
      <c r="E8713">
        <v>25.6</v>
      </c>
    </row>
    <row r="8714" spans="1:5" x14ac:dyDescent="0.2">
      <c r="A8714">
        <v>39140</v>
      </c>
      <c r="B8714">
        <v>33837</v>
      </c>
      <c r="C8714">
        <v>124</v>
      </c>
      <c r="D8714">
        <v>686.1</v>
      </c>
      <c r="E8714">
        <v>26</v>
      </c>
    </row>
    <row r="8715" spans="1:5" x14ac:dyDescent="0.2">
      <c r="A8715">
        <v>39160</v>
      </c>
      <c r="B8715">
        <v>33871</v>
      </c>
      <c r="C8715">
        <v>125</v>
      </c>
      <c r="D8715">
        <v>683</v>
      </c>
      <c r="E8715">
        <v>26.2</v>
      </c>
    </row>
    <row r="8716" spans="1:5" x14ac:dyDescent="0.2">
      <c r="A8716">
        <v>39180</v>
      </c>
      <c r="B8716">
        <v>33905</v>
      </c>
      <c r="C8716">
        <v>128</v>
      </c>
      <c r="D8716">
        <v>679.9</v>
      </c>
      <c r="E8716">
        <v>26.7</v>
      </c>
    </row>
    <row r="8717" spans="1:5" x14ac:dyDescent="0.2">
      <c r="A8717">
        <v>39200</v>
      </c>
      <c r="B8717">
        <v>33940</v>
      </c>
      <c r="C8717">
        <v>130</v>
      </c>
      <c r="D8717">
        <v>676.6</v>
      </c>
      <c r="E8717">
        <v>27.2</v>
      </c>
    </row>
    <row r="8718" spans="1:5" x14ac:dyDescent="0.2">
      <c r="A8718">
        <v>39220</v>
      </c>
      <c r="B8718">
        <v>33975</v>
      </c>
      <c r="C8718">
        <v>131</v>
      </c>
      <c r="D8718">
        <v>673.5</v>
      </c>
      <c r="E8718">
        <v>27.2</v>
      </c>
    </row>
    <row r="8719" spans="1:5" x14ac:dyDescent="0.2">
      <c r="A8719">
        <v>39240</v>
      </c>
      <c r="B8719">
        <v>34009</v>
      </c>
      <c r="C8719">
        <v>131</v>
      </c>
      <c r="D8719">
        <v>670.4</v>
      </c>
      <c r="E8719">
        <v>27.2</v>
      </c>
    </row>
    <row r="8720" spans="1:5" x14ac:dyDescent="0.2">
      <c r="A8720">
        <v>39260</v>
      </c>
      <c r="B8720">
        <v>34043</v>
      </c>
      <c r="C8720">
        <v>131</v>
      </c>
      <c r="D8720">
        <v>667.4</v>
      </c>
      <c r="E8720">
        <v>27.1</v>
      </c>
    </row>
    <row r="8721" spans="1:5" x14ac:dyDescent="0.2">
      <c r="A8721">
        <v>39280</v>
      </c>
      <c r="B8721">
        <v>34075</v>
      </c>
      <c r="C8721">
        <v>130</v>
      </c>
      <c r="D8721">
        <v>664.7</v>
      </c>
      <c r="E8721">
        <v>27</v>
      </c>
    </row>
    <row r="8722" spans="1:5" x14ac:dyDescent="0.2">
      <c r="A8722">
        <v>39300</v>
      </c>
      <c r="B8722">
        <v>34107</v>
      </c>
      <c r="C8722">
        <v>130</v>
      </c>
      <c r="D8722">
        <v>662.1</v>
      </c>
      <c r="E8722">
        <v>26.8</v>
      </c>
    </row>
    <row r="8723" spans="1:5" x14ac:dyDescent="0.2">
      <c r="A8723">
        <v>39320</v>
      </c>
      <c r="B8723">
        <v>34138</v>
      </c>
      <c r="C8723">
        <v>129</v>
      </c>
      <c r="D8723">
        <v>659.7</v>
      </c>
      <c r="E8723">
        <v>26.7</v>
      </c>
    </row>
    <row r="8724" spans="1:5" x14ac:dyDescent="0.2">
      <c r="A8724">
        <v>39340</v>
      </c>
      <c r="B8724">
        <v>34168</v>
      </c>
      <c r="C8724">
        <v>129</v>
      </c>
      <c r="D8724">
        <v>657.5</v>
      </c>
      <c r="E8724">
        <v>26.7</v>
      </c>
    </row>
    <row r="8725" spans="1:5" x14ac:dyDescent="0.2">
      <c r="A8725">
        <v>39360</v>
      </c>
      <c r="B8725">
        <v>34197</v>
      </c>
      <c r="C8725">
        <v>129</v>
      </c>
      <c r="D8725">
        <v>655.5</v>
      </c>
      <c r="E8725">
        <v>26.7</v>
      </c>
    </row>
    <row r="8726" spans="1:5" x14ac:dyDescent="0.2">
      <c r="A8726">
        <v>39380</v>
      </c>
      <c r="B8726">
        <v>34226</v>
      </c>
      <c r="C8726">
        <v>129</v>
      </c>
      <c r="D8726">
        <v>653.6</v>
      </c>
      <c r="E8726">
        <v>26.6</v>
      </c>
    </row>
    <row r="8727" spans="1:5" x14ac:dyDescent="0.2">
      <c r="A8727">
        <v>39400</v>
      </c>
      <c r="B8727">
        <v>34253</v>
      </c>
      <c r="C8727">
        <v>128</v>
      </c>
      <c r="D8727">
        <v>652.1</v>
      </c>
      <c r="E8727">
        <v>26.3</v>
      </c>
    </row>
    <row r="8728" spans="1:5" x14ac:dyDescent="0.2">
      <c r="A8728">
        <v>39420</v>
      </c>
      <c r="B8728">
        <v>34279</v>
      </c>
      <c r="C8728">
        <v>126</v>
      </c>
      <c r="D8728">
        <v>650.79999999999995</v>
      </c>
      <c r="E8728">
        <v>25.8</v>
      </c>
    </row>
    <row r="8729" spans="1:5" x14ac:dyDescent="0.2">
      <c r="A8729">
        <v>39440</v>
      </c>
      <c r="B8729">
        <v>34303</v>
      </c>
      <c r="C8729">
        <v>124</v>
      </c>
      <c r="D8729">
        <v>649.79999999999995</v>
      </c>
      <c r="E8729">
        <v>25.5</v>
      </c>
    </row>
    <row r="8730" spans="1:5" x14ac:dyDescent="0.2">
      <c r="A8730">
        <v>39460</v>
      </c>
      <c r="B8730">
        <v>34327</v>
      </c>
      <c r="C8730">
        <v>123</v>
      </c>
      <c r="D8730">
        <v>648.79999999999995</v>
      </c>
      <c r="E8730">
        <v>25.2</v>
      </c>
    </row>
    <row r="8731" spans="1:5" x14ac:dyDescent="0.2">
      <c r="A8731">
        <v>39480</v>
      </c>
      <c r="B8731">
        <v>34350</v>
      </c>
      <c r="C8731">
        <v>123</v>
      </c>
      <c r="D8731">
        <v>648.1</v>
      </c>
      <c r="E8731">
        <v>25.2</v>
      </c>
    </row>
    <row r="8732" spans="1:5" x14ac:dyDescent="0.2">
      <c r="A8732">
        <v>39500</v>
      </c>
      <c r="B8732">
        <v>34373</v>
      </c>
      <c r="C8732">
        <v>123</v>
      </c>
      <c r="D8732">
        <v>647.4</v>
      </c>
      <c r="E8732">
        <v>25.2</v>
      </c>
    </row>
    <row r="8733" spans="1:5" x14ac:dyDescent="0.2">
      <c r="A8733">
        <v>39520</v>
      </c>
      <c r="B8733">
        <v>34395</v>
      </c>
      <c r="C8733">
        <v>123</v>
      </c>
      <c r="D8733">
        <v>646.79999999999995</v>
      </c>
      <c r="E8733">
        <v>25.1</v>
      </c>
    </row>
    <row r="8734" spans="1:5" x14ac:dyDescent="0.2">
      <c r="A8734">
        <v>39540</v>
      </c>
      <c r="B8734">
        <v>34417</v>
      </c>
      <c r="C8734">
        <v>122</v>
      </c>
      <c r="D8734">
        <v>646.29999999999995</v>
      </c>
      <c r="E8734">
        <v>25</v>
      </c>
    </row>
    <row r="8735" spans="1:5" x14ac:dyDescent="0.2">
      <c r="A8735">
        <v>39560</v>
      </c>
      <c r="B8735">
        <v>34439</v>
      </c>
      <c r="C8735">
        <v>121</v>
      </c>
      <c r="D8735">
        <v>645.79999999999995</v>
      </c>
      <c r="E8735">
        <v>24.8</v>
      </c>
    </row>
    <row r="8736" spans="1:5" x14ac:dyDescent="0.2">
      <c r="A8736">
        <v>39580</v>
      </c>
      <c r="B8736">
        <v>34461</v>
      </c>
      <c r="C8736">
        <v>122</v>
      </c>
      <c r="D8736">
        <v>645.20000000000005</v>
      </c>
      <c r="E8736">
        <v>24.9</v>
      </c>
    </row>
    <row r="8737" spans="1:5" x14ac:dyDescent="0.2">
      <c r="A8737">
        <v>39600</v>
      </c>
      <c r="B8737">
        <v>34483</v>
      </c>
      <c r="C8737">
        <v>123</v>
      </c>
      <c r="D8737">
        <v>644.70000000000005</v>
      </c>
      <c r="E8737">
        <v>25.1</v>
      </c>
    </row>
    <row r="8738" spans="1:5" x14ac:dyDescent="0.2">
      <c r="A8738">
        <v>39620</v>
      </c>
      <c r="B8738">
        <v>34505</v>
      </c>
      <c r="C8738">
        <v>125</v>
      </c>
      <c r="D8738">
        <v>644.1</v>
      </c>
      <c r="E8738">
        <v>25.5</v>
      </c>
    </row>
    <row r="8739" spans="1:5" x14ac:dyDescent="0.2">
      <c r="A8739">
        <v>39640</v>
      </c>
      <c r="B8739">
        <v>34528</v>
      </c>
      <c r="C8739">
        <v>126</v>
      </c>
      <c r="D8739">
        <v>643.5</v>
      </c>
      <c r="E8739">
        <v>25.8</v>
      </c>
    </row>
    <row r="8740" spans="1:5" x14ac:dyDescent="0.2">
      <c r="A8740">
        <v>39660</v>
      </c>
      <c r="B8740">
        <v>34551</v>
      </c>
      <c r="C8740">
        <v>127</v>
      </c>
      <c r="D8740">
        <v>642.70000000000005</v>
      </c>
      <c r="E8740">
        <v>25.9</v>
      </c>
    </row>
    <row r="8741" spans="1:5" x14ac:dyDescent="0.2">
      <c r="A8741">
        <v>39680</v>
      </c>
      <c r="B8741">
        <v>34575</v>
      </c>
      <c r="C8741">
        <v>127</v>
      </c>
      <c r="D8741">
        <v>641.9</v>
      </c>
      <c r="E8741">
        <v>26</v>
      </c>
    </row>
    <row r="8742" spans="1:5" x14ac:dyDescent="0.2">
      <c r="A8742">
        <v>39700</v>
      </c>
      <c r="B8742">
        <v>34598</v>
      </c>
      <c r="C8742">
        <v>129</v>
      </c>
      <c r="D8742">
        <v>641</v>
      </c>
      <c r="E8742">
        <v>26.2</v>
      </c>
    </row>
    <row r="8743" spans="1:5" x14ac:dyDescent="0.2">
      <c r="A8743">
        <v>39720</v>
      </c>
      <c r="B8743">
        <v>34622</v>
      </c>
      <c r="C8743">
        <v>130</v>
      </c>
      <c r="D8743">
        <v>640.20000000000005</v>
      </c>
      <c r="E8743">
        <v>26.5</v>
      </c>
    </row>
    <row r="8744" spans="1:5" x14ac:dyDescent="0.2">
      <c r="A8744">
        <v>39740</v>
      </c>
      <c r="B8744">
        <v>34645</v>
      </c>
      <c r="C8744">
        <v>132</v>
      </c>
      <c r="D8744">
        <v>639.4</v>
      </c>
      <c r="E8744">
        <v>27</v>
      </c>
    </row>
    <row r="8745" spans="1:5" x14ac:dyDescent="0.2">
      <c r="A8745">
        <v>39760</v>
      </c>
      <c r="B8745">
        <v>34668</v>
      </c>
      <c r="C8745">
        <v>134</v>
      </c>
      <c r="D8745">
        <v>638.70000000000005</v>
      </c>
      <c r="E8745">
        <v>27.3</v>
      </c>
    </row>
    <row r="8746" spans="1:5" x14ac:dyDescent="0.2">
      <c r="A8746">
        <v>39780</v>
      </c>
      <c r="B8746">
        <v>34691</v>
      </c>
      <c r="C8746">
        <v>134</v>
      </c>
      <c r="D8746">
        <v>638.1</v>
      </c>
      <c r="E8746">
        <v>27.4</v>
      </c>
    </row>
    <row r="8747" spans="1:5" x14ac:dyDescent="0.2">
      <c r="A8747">
        <v>39800</v>
      </c>
      <c r="B8747">
        <v>34713</v>
      </c>
      <c r="C8747">
        <v>133</v>
      </c>
      <c r="D8747">
        <v>637.6</v>
      </c>
      <c r="E8747">
        <v>27.2</v>
      </c>
    </row>
    <row r="8748" spans="1:5" x14ac:dyDescent="0.2">
      <c r="A8748">
        <v>39820</v>
      </c>
      <c r="B8748">
        <v>34733</v>
      </c>
      <c r="C8748">
        <v>132</v>
      </c>
      <c r="D8748">
        <v>637.29999999999995</v>
      </c>
      <c r="E8748">
        <v>27</v>
      </c>
    </row>
    <row r="8749" spans="1:5" x14ac:dyDescent="0.2">
      <c r="A8749">
        <v>39840</v>
      </c>
      <c r="B8749">
        <v>34754</v>
      </c>
      <c r="C8749">
        <v>131</v>
      </c>
      <c r="D8749">
        <v>637</v>
      </c>
      <c r="E8749">
        <v>26.7</v>
      </c>
    </row>
    <row r="8750" spans="1:5" x14ac:dyDescent="0.2">
      <c r="A8750">
        <v>39860</v>
      </c>
      <c r="B8750">
        <v>34775</v>
      </c>
      <c r="C8750">
        <v>130</v>
      </c>
      <c r="D8750">
        <v>636.70000000000005</v>
      </c>
      <c r="E8750">
        <v>26.6</v>
      </c>
    </row>
    <row r="8751" spans="1:5" x14ac:dyDescent="0.2">
      <c r="A8751">
        <v>39880</v>
      </c>
      <c r="B8751">
        <v>34795</v>
      </c>
      <c r="C8751">
        <v>130</v>
      </c>
      <c r="D8751">
        <v>636.6</v>
      </c>
      <c r="E8751">
        <v>26.4</v>
      </c>
    </row>
    <row r="8752" spans="1:5" x14ac:dyDescent="0.2">
      <c r="A8752">
        <v>39900</v>
      </c>
      <c r="B8752">
        <v>34816</v>
      </c>
      <c r="C8752">
        <v>129</v>
      </c>
      <c r="D8752">
        <v>636.4</v>
      </c>
      <c r="E8752">
        <v>26.3</v>
      </c>
    </row>
    <row r="8753" spans="1:5" x14ac:dyDescent="0.2">
      <c r="A8753">
        <v>39920</v>
      </c>
      <c r="B8753">
        <v>34836</v>
      </c>
      <c r="C8753">
        <v>128</v>
      </c>
      <c r="D8753">
        <v>636.20000000000005</v>
      </c>
      <c r="E8753">
        <v>26.2</v>
      </c>
    </row>
    <row r="8754" spans="1:5" x14ac:dyDescent="0.2">
      <c r="A8754">
        <v>39940</v>
      </c>
      <c r="B8754">
        <v>34856</v>
      </c>
      <c r="C8754">
        <v>127</v>
      </c>
      <c r="D8754">
        <v>636</v>
      </c>
      <c r="E8754">
        <v>25.9</v>
      </c>
    </row>
    <row r="8755" spans="1:5" x14ac:dyDescent="0.2">
      <c r="A8755">
        <v>39960</v>
      </c>
      <c r="B8755">
        <v>34877</v>
      </c>
      <c r="C8755">
        <v>126</v>
      </c>
      <c r="D8755">
        <v>635.70000000000005</v>
      </c>
      <c r="E8755">
        <v>25.7</v>
      </c>
    </row>
    <row r="8756" spans="1:5" x14ac:dyDescent="0.2">
      <c r="A8756">
        <v>39980</v>
      </c>
      <c r="B8756">
        <v>34898</v>
      </c>
      <c r="C8756">
        <v>126</v>
      </c>
      <c r="D8756">
        <v>635.4</v>
      </c>
      <c r="E8756">
        <v>25.6</v>
      </c>
    </row>
    <row r="8757" spans="1:5" x14ac:dyDescent="0.2">
      <c r="A8757">
        <v>40000</v>
      </c>
      <c r="B8757">
        <v>34918</v>
      </c>
      <c r="C8757">
        <v>125</v>
      </c>
      <c r="D8757">
        <v>635.20000000000005</v>
      </c>
      <c r="E8757">
        <v>25.4</v>
      </c>
    </row>
    <row r="8758" spans="1:5" x14ac:dyDescent="0.2">
      <c r="A8758">
        <v>40020</v>
      </c>
      <c r="B8758">
        <v>34938</v>
      </c>
      <c r="C8758">
        <v>124</v>
      </c>
      <c r="D8758">
        <v>635.29999999999995</v>
      </c>
      <c r="E8758">
        <v>25.3</v>
      </c>
    </row>
    <row r="8759" spans="1:5" x14ac:dyDescent="0.2">
      <c r="A8759">
        <v>40040</v>
      </c>
      <c r="B8759">
        <v>34956</v>
      </c>
      <c r="C8759">
        <v>124</v>
      </c>
      <c r="D8759">
        <v>635.4</v>
      </c>
      <c r="E8759">
        <v>25.2</v>
      </c>
    </row>
    <row r="8760" spans="1:5" x14ac:dyDescent="0.2">
      <c r="A8760">
        <v>40060</v>
      </c>
      <c r="B8760">
        <v>34973</v>
      </c>
      <c r="C8760">
        <v>123</v>
      </c>
      <c r="D8760">
        <v>635.9</v>
      </c>
      <c r="E8760">
        <v>25.1</v>
      </c>
    </row>
    <row r="8761" spans="1:5" x14ac:dyDescent="0.2">
      <c r="A8761">
        <v>40080</v>
      </c>
      <c r="B8761">
        <v>34989</v>
      </c>
      <c r="C8761">
        <v>123</v>
      </c>
      <c r="D8761">
        <v>636.6</v>
      </c>
      <c r="E8761">
        <v>25.1</v>
      </c>
    </row>
    <row r="8762" spans="1:5" x14ac:dyDescent="0.2">
      <c r="A8762">
        <v>40100</v>
      </c>
      <c r="B8762">
        <v>35004</v>
      </c>
      <c r="C8762">
        <v>123</v>
      </c>
      <c r="D8762">
        <v>637.6</v>
      </c>
      <c r="E8762">
        <v>25.1</v>
      </c>
    </row>
    <row r="8763" spans="1:5" x14ac:dyDescent="0.2">
      <c r="A8763">
        <v>40120</v>
      </c>
      <c r="B8763">
        <v>35016</v>
      </c>
      <c r="C8763">
        <v>123</v>
      </c>
      <c r="D8763">
        <v>639</v>
      </c>
      <c r="E8763">
        <v>25.1</v>
      </c>
    </row>
    <row r="8764" spans="1:5" x14ac:dyDescent="0.2">
      <c r="A8764">
        <v>40140</v>
      </c>
      <c r="B8764">
        <v>35026</v>
      </c>
      <c r="C8764">
        <v>123</v>
      </c>
      <c r="D8764">
        <v>640.9</v>
      </c>
      <c r="E8764">
        <v>25.1</v>
      </c>
    </row>
    <row r="8765" spans="1:5" x14ac:dyDescent="0.2">
      <c r="A8765">
        <v>40160</v>
      </c>
      <c r="B8765">
        <v>35035</v>
      </c>
      <c r="C8765">
        <v>123</v>
      </c>
      <c r="D8765">
        <v>643.1</v>
      </c>
      <c r="E8765">
        <v>25.1</v>
      </c>
    </row>
    <row r="8766" spans="1:5" x14ac:dyDescent="0.2">
      <c r="A8766">
        <v>40180</v>
      </c>
      <c r="B8766">
        <v>35042</v>
      </c>
      <c r="C8766">
        <v>123</v>
      </c>
      <c r="D8766">
        <v>645.70000000000005</v>
      </c>
      <c r="E8766">
        <v>25.1</v>
      </c>
    </row>
    <row r="8767" spans="1:5" x14ac:dyDescent="0.2">
      <c r="A8767">
        <v>40200</v>
      </c>
      <c r="B8767">
        <v>35048</v>
      </c>
      <c r="C8767">
        <v>124</v>
      </c>
      <c r="D8767">
        <v>648.4</v>
      </c>
      <c r="E8767">
        <v>25.4</v>
      </c>
    </row>
    <row r="8768" spans="1:5" x14ac:dyDescent="0.2">
      <c r="A8768">
        <v>40220</v>
      </c>
      <c r="B8768">
        <v>35053</v>
      </c>
      <c r="C8768">
        <v>125</v>
      </c>
      <c r="D8768">
        <v>651.4</v>
      </c>
      <c r="E8768">
        <v>25.8</v>
      </c>
    </row>
    <row r="8769" spans="1:5" x14ac:dyDescent="0.2">
      <c r="A8769">
        <v>40240</v>
      </c>
      <c r="B8769">
        <v>35059</v>
      </c>
      <c r="C8769">
        <v>126</v>
      </c>
      <c r="D8769">
        <v>654.1</v>
      </c>
      <c r="E8769">
        <v>26</v>
      </c>
    </row>
    <row r="8770" spans="1:5" x14ac:dyDescent="0.2">
      <c r="A8770">
        <v>40260</v>
      </c>
      <c r="B8770">
        <v>35065</v>
      </c>
      <c r="C8770">
        <v>128</v>
      </c>
      <c r="D8770">
        <v>656.9</v>
      </c>
      <c r="E8770">
        <v>26.3</v>
      </c>
    </row>
    <row r="8771" spans="1:5" x14ac:dyDescent="0.2">
      <c r="A8771">
        <v>40280</v>
      </c>
      <c r="B8771">
        <v>35072</v>
      </c>
      <c r="C8771">
        <v>129</v>
      </c>
      <c r="D8771">
        <v>659.6</v>
      </c>
      <c r="E8771">
        <v>26.7</v>
      </c>
    </row>
    <row r="8772" spans="1:5" x14ac:dyDescent="0.2">
      <c r="A8772">
        <v>40300</v>
      </c>
      <c r="B8772">
        <v>35080</v>
      </c>
      <c r="C8772">
        <v>131</v>
      </c>
      <c r="D8772">
        <v>661.9</v>
      </c>
      <c r="E8772">
        <v>27.1</v>
      </c>
    </row>
    <row r="8773" spans="1:5" x14ac:dyDescent="0.2">
      <c r="A8773">
        <v>40320</v>
      </c>
      <c r="B8773">
        <v>35089</v>
      </c>
      <c r="C8773">
        <v>133</v>
      </c>
      <c r="D8773">
        <v>664</v>
      </c>
      <c r="E8773">
        <v>27.5</v>
      </c>
    </row>
    <row r="8774" spans="1:5" x14ac:dyDescent="0.2">
      <c r="A8774">
        <v>40340</v>
      </c>
      <c r="B8774">
        <v>35101</v>
      </c>
      <c r="C8774">
        <v>134</v>
      </c>
      <c r="D8774">
        <v>665.5</v>
      </c>
      <c r="E8774">
        <v>27.9</v>
      </c>
    </row>
    <row r="8775" spans="1:5" x14ac:dyDescent="0.2">
      <c r="A8775">
        <v>40360</v>
      </c>
      <c r="B8775">
        <v>35116</v>
      </c>
      <c r="C8775">
        <v>135</v>
      </c>
      <c r="D8775">
        <v>666.6</v>
      </c>
      <c r="E8775">
        <v>28</v>
      </c>
    </row>
    <row r="8776" spans="1:5" x14ac:dyDescent="0.2">
      <c r="A8776">
        <v>40380</v>
      </c>
      <c r="B8776">
        <v>35133</v>
      </c>
      <c r="C8776">
        <v>134</v>
      </c>
      <c r="D8776">
        <v>667.1</v>
      </c>
      <c r="E8776">
        <v>27.9</v>
      </c>
    </row>
    <row r="8777" spans="1:5" x14ac:dyDescent="0.2">
      <c r="A8777">
        <v>40400</v>
      </c>
      <c r="B8777">
        <v>35151</v>
      </c>
      <c r="C8777">
        <v>134</v>
      </c>
      <c r="D8777">
        <v>667.4</v>
      </c>
      <c r="E8777">
        <v>27.7</v>
      </c>
    </row>
    <row r="8778" spans="1:5" x14ac:dyDescent="0.2">
      <c r="A8778">
        <v>40420</v>
      </c>
      <c r="B8778">
        <v>35171</v>
      </c>
      <c r="C8778">
        <v>133</v>
      </c>
      <c r="D8778">
        <v>667.3</v>
      </c>
      <c r="E8778">
        <v>27.7</v>
      </c>
    </row>
    <row r="8779" spans="1:5" x14ac:dyDescent="0.2">
      <c r="A8779">
        <v>40440</v>
      </c>
      <c r="B8779">
        <v>35193</v>
      </c>
      <c r="C8779">
        <v>133</v>
      </c>
      <c r="D8779">
        <v>666.7</v>
      </c>
      <c r="E8779">
        <v>27.6</v>
      </c>
    </row>
    <row r="8780" spans="1:5" x14ac:dyDescent="0.2">
      <c r="A8780">
        <v>40460</v>
      </c>
      <c r="B8780">
        <v>35216</v>
      </c>
      <c r="C8780">
        <v>133</v>
      </c>
      <c r="D8780">
        <v>666</v>
      </c>
      <c r="E8780">
        <v>27.6</v>
      </c>
    </row>
    <row r="8781" spans="1:5" x14ac:dyDescent="0.2">
      <c r="A8781">
        <v>40480</v>
      </c>
      <c r="B8781">
        <v>35240</v>
      </c>
      <c r="C8781">
        <v>133</v>
      </c>
      <c r="D8781">
        <v>664.9</v>
      </c>
      <c r="E8781">
        <v>27.6</v>
      </c>
    </row>
    <row r="8782" spans="1:5" x14ac:dyDescent="0.2">
      <c r="A8782">
        <v>40500</v>
      </c>
      <c r="B8782">
        <v>35266</v>
      </c>
      <c r="C8782">
        <v>132</v>
      </c>
      <c r="D8782">
        <v>663.5</v>
      </c>
      <c r="E8782">
        <v>27.4</v>
      </c>
    </row>
    <row r="8783" spans="1:5" x14ac:dyDescent="0.2">
      <c r="A8783">
        <v>40520</v>
      </c>
      <c r="B8783">
        <v>35292</v>
      </c>
      <c r="C8783">
        <v>131</v>
      </c>
      <c r="D8783">
        <v>662.2</v>
      </c>
      <c r="E8783">
        <v>27.1</v>
      </c>
    </row>
    <row r="8784" spans="1:5" x14ac:dyDescent="0.2">
      <c r="A8784">
        <v>40540</v>
      </c>
      <c r="B8784">
        <v>35320</v>
      </c>
      <c r="C8784">
        <v>130</v>
      </c>
      <c r="D8784">
        <v>660.5</v>
      </c>
      <c r="E8784">
        <v>26.8</v>
      </c>
    </row>
    <row r="8785" spans="1:5" x14ac:dyDescent="0.2">
      <c r="A8785">
        <v>40560</v>
      </c>
      <c r="B8785">
        <v>35348</v>
      </c>
      <c r="C8785">
        <v>130</v>
      </c>
      <c r="D8785">
        <v>658.8</v>
      </c>
      <c r="E8785">
        <v>26.9</v>
      </c>
    </row>
    <row r="8786" spans="1:5" x14ac:dyDescent="0.2">
      <c r="A8786">
        <v>40580</v>
      </c>
      <c r="B8786">
        <v>35374</v>
      </c>
      <c r="C8786">
        <v>130</v>
      </c>
      <c r="D8786">
        <v>657.3</v>
      </c>
      <c r="E8786">
        <v>26.8</v>
      </c>
    </row>
    <row r="8787" spans="1:5" x14ac:dyDescent="0.2">
      <c r="A8787">
        <v>40600</v>
      </c>
      <c r="B8787">
        <v>35401</v>
      </c>
      <c r="C8787">
        <v>130</v>
      </c>
      <c r="D8787">
        <v>655.7</v>
      </c>
      <c r="E8787">
        <v>26.9</v>
      </c>
    </row>
    <row r="8788" spans="1:5" x14ac:dyDescent="0.2">
      <c r="A8788">
        <v>40620</v>
      </c>
      <c r="B8788">
        <v>35427</v>
      </c>
      <c r="C8788">
        <v>130</v>
      </c>
      <c r="D8788">
        <v>654.5</v>
      </c>
      <c r="E8788">
        <v>26.7</v>
      </c>
    </row>
    <row r="8789" spans="1:5" x14ac:dyDescent="0.2">
      <c r="A8789">
        <v>40640</v>
      </c>
      <c r="B8789">
        <v>35452</v>
      </c>
      <c r="C8789">
        <v>128</v>
      </c>
      <c r="D8789">
        <v>653.4</v>
      </c>
      <c r="E8789">
        <v>26.4</v>
      </c>
    </row>
    <row r="8790" spans="1:5" x14ac:dyDescent="0.2">
      <c r="A8790">
        <v>40660</v>
      </c>
      <c r="B8790">
        <v>35475</v>
      </c>
      <c r="C8790">
        <v>126</v>
      </c>
      <c r="D8790">
        <v>652.5</v>
      </c>
      <c r="E8790">
        <v>26</v>
      </c>
    </row>
    <row r="8791" spans="1:5" x14ac:dyDescent="0.2">
      <c r="A8791">
        <v>40680</v>
      </c>
      <c r="B8791">
        <v>35498</v>
      </c>
      <c r="C8791">
        <v>125</v>
      </c>
      <c r="D8791">
        <v>651.9</v>
      </c>
      <c r="E8791">
        <v>25.7</v>
      </c>
    </row>
    <row r="8792" spans="1:5" x14ac:dyDescent="0.2">
      <c r="A8792">
        <v>40700</v>
      </c>
      <c r="B8792">
        <v>35519</v>
      </c>
      <c r="C8792">
        <v>124</v>
      </c>
      <c r="D8792">
        <v>651.4</v>
      </c>
      <c r="E8792">
        <v>25.6</v>
      </c>
    </row>
    <row r="8793" spans="1:5" x14ac:dyDescent="0.2">
      <c r="A8793">
        <v>40720</v>
      </c>
      <c r="B8793">
        <v>35540</v>
      </c>
      <c r="C8793">
        <v>124</v>
      </c>
      <c r="D8793">
        <v>651.20000000000005</v>
      </c>
      <c r="E8793">
        <v>25.6</v>
      </c>
    </row>
    <row r="8794" spans="1:5" x14ac:dyDescent="0.2">
      <c r="A8794">
        <v>40740</v>
      </c>
      <c r="B8794">
        <v>35560</v>
      </c>
      <c r="C8794">
        <v>124</v>
      </c>
      <c r="D8794">
        <v>651.1</v>
      </c>
      <c r="E8794">
        <v>25.5</v>
      </c>
    </row>
    <row r="8795" spans="1:5" x14ac:dyDescent="0.2">
      <c r="A8795">
        <v>40760</v>
      </c>
      <c r="B8795">
        <v>35579</v>
      </c>
      <c r="C8795">
        <v>124</v>
      </c>
      <c r="D8795">
        <v>651.20000000000005</v>
      </c>
      <c r="E8795">
        <v>25.4</v>
      </c>
    </row>
    <row r="8796" spans="1:5" x14ac:dyDescent="0.2">
      <c r="A8796">
        <v>40780</v>
      </c>
      <c r="B8796">
        <v>35597</v>
      </c>
      <c r="C8796">
        <v>123</v>
      </c>
      <c r="D8796">
        <v>651.5</v>
      </c>
      <c r="E8796">
        <v>25.3</v>
      </c>
    </row>
    <row r="8797" spans="1:5" x14ac:dyDescent="0.2">
      <c r="A8797">
        <v>40800</v>
      </c>
      <c r="B8797">
        <v>35614</v>
      </c>
      <c r="C8797">
        <v>123</v>
      </c>
      <c r="D8797">
        <v>652</v>
      </c>
      <c r="E8797">
        <v>25.3</v>
      </c>
    </row>
    <row r="8798" spans="1:5" x14ac:dyDescent="0.2">
      <c r="A8798">
        <v>40820</v>
      </c>
      <c r="B8798">
        <v>35632</v>
      </c>
      <c r="C8798">
        <v>123</v>
      </c>
      <c r="D8798">
        <v>652.20000000000005</v>
      </c>
      <c r="E8798">
        <v>25.4</v>
      </c>
    </row>
    <row r="8799" spans="1:5" x14ac:dyDescent="0.2">
      <c r="A8799">
        <v>40840</v>
      </c>
      <c r="B8799">
        <v>35651</v>
      </c>
      <c r="C8799">
        <v>124</v>
      </c>
      <c r="D8799">
        <v>652.4</v>
      </c>
      <c r="E8799">
        <v>25.6</v>
      </c>
    </row>
    <row r="8800" spans="1:5" x14ac:dyDescent="0.2">
      <c r="A8800">
        <v>40860</v>
      </c>
      <c r="B8800">
        <v>35670</v>
      </c>
      <c r="C8800">
        <v>125</v>
      </c>
      <c r="D8800">
        <v>652.4</v>
      </c>
      <c r="E8800">
        <v>25.7</v>
      </c>
    </row>
    <row r="8801" spans="1:5" x14ac:dyDescent="0.2">
      <c r="A8801">
        <v>40880</v>
      </c>
      <c r="B8801">
        <v>35691</v>
      </c>
      <c r="C8801">
        <v>124</v>
      </c>
      <c r="D8801">
        <v>652.1</v>
      </c>
      <c r="E8801">
        <v>25.6</v>
      </c>
    </row>
    <row r="8802" spans="1:5" x14ac:dyDescent="0.2">
      <c r="A8802">
        <v>40900</v>
      </c>
      <c r="B8802">
        <v>35713</v>
      </c>
      <c r="C8802">
        <v>124</v>
      </c>
      <c r="D8802">
        <v>651.5</v>
      </c>
      <c r="E8802">
        <v>25.5</v>
      </c>
    </row>
    <row r="8803" spans="1:5" x14ac:dyDescent="0.2">
      <c r="A8803">
        <v>40920</v>
      </c>
      <c r="B8803">
        <v>35737</v>
      </c>
      <c r="C8803">
        <v>124</v>
      </c>
      <c r="D8803">
        <v>650.70000000000005</v>
      </c>
      <c r="E8803">
        <v>25.5</v>
      </c>
    </row>
    <row r="8804" spans="1:5" x14ac:dyDescent="0.2">
      <c r="A8804">
        <v>40940</v>
      </c>
      <c r="B8804">
        <v>35762</v>
      </c>
      <c r="C8804">
        <v>125</v>
      </c>
      <c r="D8804">
        <v>649.5</v>
      </c>
      <c r="E8804">
        <v>25.6</v>
      </c>
    </row>
    <row r="8805" spans="1:5" x14ac:dyDescent="0.2">
      <c r="A8805">
        <v>40960</v>
      </c>
      <c r="B8805">
        <v>35787</v>
      </c>
      <c r="C8805">
        <v>126</v>
      </c>
      <c r="D8805">
        <v>648.29999999999995</v>
      </c>
      <c r="E8805">
        <v>25.8</v>
      </c>
    </row>
    <row r="8806" spans="1:5" x14ac:dyDescent="0.2">
      <c r="A8806">
        <v>40980</v>
      </c>
      <c r="B8806">
        <v>35815</v>
      </c>
      <c r="C8806">
        <v>127</v>
      </c>
      <c r="D8806">
        <v>646.6</v>
      </c>
      <c r="E8806">
        <v>26</v>
      </c>
    </row>
    <row r="8807" spans="1:5" x14ac:dyDescent="0.2">
      <c r="A8807">
        <v>41000</v>
      </c>
      <c r="B8807">
        <v>35843</v>
      </c>
      <c r="C8807">
        <v>127</v>
      </c>
      <c r="D8807">
        <v>644.79999999999995</v>
      </c>
      <c r="E8807">
        <v>26</v>
      </c>
    </row>
    <row r="8808" spans="1:5" x14ac:dyDescent="0.2">
      <c r="A8808">
        <v>41020</v>
      </c>
      <c r="B8808">
        <v>35871</v>
      </c>
      <c r="C8808">
        <v>127</v>
      </c>
      <c r="D8808">
        <v>643</v>
      </c>
      <c r="E8808">
        <v>26</v>
      </c>
    </row>
    <row r="8809" spans="1:5" x14ac:dyDescent="0.2">
      <c r="A8809">
        <v>41040</v>
      </c>
      <c r="B8809">
        <v>35901</v>
      </c>
      <c r="C8809">
        <v>127</v>
      </c>
      <c r="D8809">
        <v>640.79999999999995</v>
      </c>
      <c r="E8809">
        <v>26</v>
      </c>
    </row>
    <row r="8810" spans="1:5" x14ac:dyDescent="0.2">
      <c r="A8810">
        <v>41060</v>
      </c>
      <c r="B8810">
        <v>35931</v>
      </c>
      <c r="C8810">
        <v>128</v>
      </c>
      <c r="D8810">
        <v>638.70000000000005</v>
      </c>
      <c r="E8810">
        <v>26</v>
      </c>
    </row>
    <row r="8811" spans="1:5" x14ac:dyDescent="0.2">
      <c r="A8811">
        <v>41080</v>
      </c>
      <c r="B8811">
        <v>35962</v>
      </c>
      <c r="C8811">
        <v>128</v>
      </c>
      <c r="D8811">
        <v>636.5</v>
      </c>
      <c r="E8811">
        <v>26</v>
      </c>
    </row>
    <row r="8812" spans="1:5" x14ac:dyDescent="0.2">
      <c r="A8812">
        <v>41100</v>
      </c>
      <c r="B8812">
        <v>35993</v>
      </c>
      <c r="C8812">
        <v>128</v>
      </c>
      <c r="D8812">
        <v>634.1</v>
      </c>
      <c r="E8812">
        <v>25.9</v>
      </c>
    </row>
    <row r="8813" spans="1:5" x14ac:dyDescent="0.2">
      <c r="A8813">
        <v>41120</v>
      </c>
      <c r="B8813">
        <v>36025</v>
      </c>
      <c r="C8813">
        <v>127</v>
      </c>
      <c r="D8813">
        <v>631.6</v>
      </c>
      <c r="E8813">
        <v>25.8</v>
      </c>
    </row>
    <row r="8814" spans="1:5" x14ac:dyDescent="0.2">
      <c r="A8814">
        <v>41140</v>
      </c>
      <c r="B8814">
        <v>36057</v>
      </c>
      <c r="C8814">
        <v>128</v>
      </c>
      <c r="D8814">
        <v>628.9</v>
      </c>
      <c r="E8814">
        <v>25.9</v>
      </c>
    </row>
    <row r="8815" spans="1:5" x14ac:dyDescent="0.2">
      <c r="A8815">
        <v>41160</v>
      </c>
      <c r="B8815">
        <v>36089</v>
      </c>
      <c r="C8815">
        <v>129</v>
      </c>
      <c r="D8815">
        <v>626.4</v>
      </c>
      <c r="E8815">
        <v>26.2</v>
      </c>
    </row>
    <row r="8816" spans="1:5" x14ac:dyDescent="0.2">
      <c r="A8816">
        <v>41180</v>
      </c>
      <c r="B8816">
        <v>36122</v>
      </c>
      <c r="C8816">
        <v>130</v>
      </c>
      <c r="D8816">
        <v>623.6</v>
      </c>
      <c r="E8816">
        <v>26.3</v>
      </c>
    </row>
    <row r="8817" spans="1:5" x14ac:dyDescent="0.2">
      <c r="A8817">
        <v>41200</v>
      </c>
      <c r="B8817">
        <v>36156</v>
      </c>
      <c r="C8817">
        <v>130</v>
      </c>
      <c r="D8817">
        <v>620.79999999999995</v>
      </c>
      <c r="E8817">
        <v>26.3</v>
      </c>
    </row>
    <row r="8818" spans="1:5" x14ac:dyDescent="0.2">
      <c r="A8818">
        <v>41220</v>
      </c>
      <c r="B8818">
        <v>36190</v>
      </c>
      <c r="C8818">
        <v>130</v>
      </c>
      <c r="D8818">
        <v>617.9</v>
      </c>
      <c r="E8818">
        <v>26.2</v>
      </c>
    </row>
    <row r="8819" spans="1:5" x14ac:dyDescent="0.2">
      <c r="A8819">
        <v>41240</v>
      </c>
      <c r="B8819">
        <v>36223</v>
      </c>
      <c r="C8819">
        <v>129</v>
      </c>
      <c r="D8819">
        <v>615.1</v>
      </c>
      <c r="E8819">
        <v>25.9</v>
      </c>
    </row>
    <row r="8820" spans="1:5" x14ac:dyDescent="0.2">
      <c r="A8820">
        <v>41260</v>
      </c>
      <c r="B8820">
        <v>36257</v>
      </c>
      <c r="C8820">
        <v>128</v>
      </c>
      <c r="D8820">
        <v>612.20000000000005</v>
      </c>
      <c r="E8820">
        <v>25.7</v>
      </c>
    </row>
    <row r="8821" spans="1:5" x14ac:dyDescent="0.2">
      <c r="A8821">
        <v>41280</v>
      </c>
      <c r="B8821">
        <v>36290</v>
      </c>
      <c r="C8821">
        <v>129</v>
      </c>
      <c r="D8821">
        <v>609.29999999999995</v>
      </c>
      <c r="E8821">
        <v>25.8</v>
      </c>
    </row>
    <row r="8822" spans="1:5" x14ac:dyDescent="0.2">
      <c r="A8822">
        <v>41300</v>
      </c>
      <c r="B8822">
        <v>36324</v>
      </c>
      <c r="C8822">
        <v>129</v>
      </c>
      <c r="D8822">
        <v>606.5</v>
      </c>
      <c r="E8822">
        <v>25.7</v>
      </c>
    </row>
    <row r="8823" spans="1:5" x14ac:dyDescent="0.2">
      <c r="A8823">
        <v>41320</v>
      </c>
      <c r="B8823">
        <v>36357</v>
      </c>
      <c r="C8823">
        <v>129</v>
      </c>
      <c r="D8823">
        <v>603.79999999999995</v>
      </c>
      <c r="E8823">
        <v>25.7</v>
      </c>
    </row>
    <row r="8824" spans="1:5" x14ac:dyDescent="0.2">
      <c r="A8824">
        <v>41340</v>
      </c>
      <c r="B8824">
        <v>36389</v>
      </c>
      <c r="C8824">
        <v>128</v>
      </c>
      <c r="D8824">
        <v>601.20000000000005</v>
      </c>
      <c r="E8824">
        <v>25.5</v>
      </c>
    </row>
    <row r="8825" spans="1:5" x14ac:dyDescent="0.2">
      <c r="A8825">
        <v>41360</v>
      </c>
      <c r="B8825">
        <v>36420</v>
      </c>
      <c r="C8825">
        <v>127</v>
      </c>
      <c r="D8825">
        <v>598.9</v>
      </c>
      <c r="E8825">
        <v>25.2</v>
      </c>
    </row>
    <row r="8826" spans="1:5" x14ac:dyDescent="0.2">
      <c r="A8826">
        <v>41380</v>
      </c>
      <c r="B8826">
        <v>36451</v>
      </c>
      <c r="C8826">
        <v>125</v>
      </c>
      <c r="D8826">
        <v>596.70000000000005</v>
      </c>
      <c r="E8826">
        <v>24.9</v>
      </c>
    </row>
    <row r="8827" spans="1:5" x14ac:dyDescent="0.2">
      <c r="A8827">
        <v>41400</v>
      </c>
      <c r="B8827">
        <v>36480</v>
      </c>
      <c r="C8827">
        <v>124</v>
      </c>
      <c r="D8827">
        <v>594.70000000000005</v>
      </c>
      <c r="E8827">
        <v>24.6</v>
      </c>
    </row>
    <row r="8828" spans="1:5" x14ac:dyDescent="0.2">
      <c r="A8828">
        <v>41420</v>
      </c>
      <c r="B8828">
        <v>36508</v>
      </c>
      <c r="C8828">
        <v>123</v>
      </c>
      <c r="D8828">
        <v>593</v>
      </c>
      <c r="E8828">
        <v>24.4</v>
      </c>
    </row>
    <row r="8829" spans="1:5" x14ac:dyDescent="0.2">
      <c r="A8829">
        <v>41440</v>
      </c>
      <c r="B8829">
        <v>36535</v>
      </c>
      <c r="C8829">
        <v>124</v>
      </c>
      <c r="D8829">
        <v>591.6</v>
      </c>
      <c r="E8829">
        <v>24.6</v>
      </c>
    </row>
    <row r="8830" spans="1:5" x14ac:dyDescent="0.2">
      <c r="A8830">
        <v>41460</v>
      </c>
      <c r="B8830">
        <v>36558</v>
      </c>
      <c r="C8830">
        <v>125</v>
      </c>
      <c r="D8830">
        <v>590.79999999999995</v>
      </c>
      <c r="E8830">
        <v>24.7</v>
      </c>
    </row>
    <row r="8831" spans="1:5" x14ac:dyDescent="0.2">
      <c r="A8831">
        <v>41480</v>
      </c>
      <c r="B8831">
        <v>36581</v>
      </c>
      <c r="C8831">
        <v>126</v>
      </c>
      <c r="D8831">
        <v>590.20000000000005</v>
      </c>
      <c r="E8831">
        <v>24.9</v>
      </c>
    </row>
    <row r="8832" spans="1:5" x14ac:dyDescent="0.2">
      <c r="A8832">
        <v>41500</v>
      </c>
      <c r="B8832">
        <v>36601</v>
      </c>
      <c r="C8832">
        <v>126</v>
      </c>
      <c r="D8832">
        <v>590.1</v>
      </c>
      <c r="E8832">
        <v>24.9</v>
      </c>
    </row>
    <row r="8833" spans="1:5" x14ac:dyDescent="0.2">
      <c r="A8833">
        <v>41520</v>
      </c>
      <c r="B8833">
        <v>36618</v>
      </c>
      <c r="C8833">
        <v>125</v>
      </c>
      <c r="D8833">
        <v>590.5</v>
      </c>
      <c r="E8833">
        <v>24.8</v>
      </c>
    </row>
    <row r="8834" spans="1:5" x14ac:dyDescent="0.2">
      <c r="A8834">
        <v>41540</v>
      </c>
      <c r="B8834">
        <v>36633</v>
      </c>
      <c r="C8834">
        <v>125</v>
      </c>
      <c r="D8834">
        <v>591.29999999999995</v>
      </c>
      <c r="E8834">
        <v>24.8</v>
      </c>
    </row>
    <row r="8835" spans="1:5" x14ac:dyDescent="0.2">
      <c r="A8835">
        <v>41560</v>
      </c>
      <c r="B8835">
        <v>36648</v>
      </c>
      <c r="C8835">
        <v>125</v>
      </c>
      <c r="D8835">
        <v>592.29999999999995</v>
      </c>
      <c r="E8835">
        <v>24.7</v>
      </c>
    </row>
    <row r="8836" spans="1:5" x14ac:dyDescent="0.2">
      <c r="A8836">
        <v>41580</v>
      </c>
      <c r="B8836">
        <v>36660</v>
      </c>
      <c r="C8836">
        <v>125</v>
      </c>
      <c r="D8836">
        <v>593.79999999999995</v>
      </c>
      <c r="E8836">
        <v>24.8</v>
      </c>
    </row>
    <row r="8837" spans="1:5" x14ac:dyDescent="0.2">
      <c r="A8837">
        <v>41600</v>
      </c>
      <c r="B8837">
        <v>36672</v>
      </c>
      <c r="C8837">
        <v>127</v>
      </c>
      <c r="D8837">
        <v>595.20000000000005</v>
      </c>
      <c r="E8837">
        <v>25.1</v>
      </c>
    </row>
    <row r="8838" spans="1:5" x14ac:dyDescent="0.2">
      <c r="A8838">
        <v>41620</v>
      </c>
      <c r="B8838">
        <v>36684</v>
      </c>
      <c r="C8838">
        <v>128</v>
      </c>
      <c r="D8838">
        <v>596.70000000000005</v>
      </c>
      <c r="E8838">
        <v>25.4</v>
      </c>
    </row>
    <row r="8839" spans="1:5" x14ac:dyDescent="0.2">
      <c r="A8839">
        <v>41640</v>
      </c>
      <c r="B8839">
        <v>36695</v>
      </c>
      <c r="C8839">
        <v>128</v>
      </c>
      <c r="D8839">
        <v>598.29999999999995</v>
      </c>
      <c r="E8839">
        <v>25.5</v>
      </c>
    </row>
    <row r="8840" spans="1:5" x14ac:dyDescent="0.2">
      <c r="A8840">
        <v>41660</v>
      </c>
      <c r="B8840">
        <v>36707</v>
      </c>
      <c r="C8840">
        <v>129</v>
      </c>
      <c r="D8840">
        <v>599.9</v>
      </c>
      <c r="E8840">
        <v>25.7</v>
      </c>
    </row>
    <row r="8841" spans="1:5" x14ac:dyDescent="0.2">
      <c r="A8841">
        <v>41680</v>
      </c>
      <c r="B8841">
        <v>36720</v>
      </c>
      <c r="C8841">
        <v>130</v>
      </c>
      <c r="D8841">
        <v>601.20000000000005</v>
      </c>
      <c r="E8841">
        <v>25.8</v>
      </c>
    </row>
    <row r="8842" spans="1:5" x14ac:dyDescent="0.2">
      <c r="A8842">
        <v>41700</v>
      </c>
      <c r="B8842">
        <v>36734</v>
      </c>
      <c r="C8842">
        <v>131</v>
      </c>
      <c r="D8842">
        <v>602.20000000000005</v>
      </c>
      <c r="E8842">
        <v>26.1</v>
      </c>
    </row>
    <row r="8843" spans="1:5" x14ac:dyDescent="0.2">
      <c r="A8843">
        <v>41720</v>
      </c>
      <c r="B8843">
        <v>36751</v>
      </c>
      <c r="C8843">
        <v>134</v>
      </c>
      <c r="D8843">
        <v>602.70000000000005</v>
      </c>
      <c r="E8843">
        <v>26.7</v>
      </c>
    </row>
    <row r="8844" spans="1:5" x14ac:dyDescent="0.2">
      <c r="A8844">
        <v>41740</v>
      </c>
      <c r="B8844">
        <v>36771</v>
      </c>
      <c r="C8844">
        <v>137</v>
      </c>
      <c r="D8844">
        <v>602.6</v>
      </c>
      <c r="E8844">
        <v>27.3</v>
      </c>
    </row>
    <row r="8845" spans="1:5" x14ac:dyDescent="0.2">
      <c r="A8845">
        <v>41760</v>
      </c>
      <c r="B8845">
        <v>36794</v>
      </c>
      <c r="C8845">
        <v>140</v>
      </c>
      <c r="D8845">
        <v>602</v>
      </c>
      <c r="E8845">
        <v>27.8</v>
      </c>
    </row>
    <row r="8846" spans="1:5" x14ac:dyDescent="0.2">
      <c r="A8846">
        <v>41780</v>
      </c>
      <c r="B8846">
        <v>36819</v>
      </c>
      <c r="C8846">
        <v>141</v>
      </c>
      <c r="D8846">
        <v>600.79999999999995</v>
      </c>
      <c r="E8846">
        <v>28.2</v>
      </c>
    </row>
    <row r="8847" spans="1:5" x14ac:dyDescent="0.2">
      <c r="A8847">
        <v>41800</v>
      </c>
      <c r="B8847">
        <v>36847</v>
      </c>
      <c r="C8847">
        <v>144</v>
      </c>
      <c r="D8847">
        <v>599</v>
      </c>
      <c r="E8847">
        <v>28.6</v>
      </c>
    </row>
    <row r="8848" spans="1:5" x14ac:dyDescent="0.2">
      <c r="A8848">
        <v>41820</v>
      </c>
      <c r="B8848">
        <v>36878</v>
      </c>
      <c r="C8848">
        <v>146</v>
      </c>
      <c r="D8848">
        <v>596.79999999999995</v>
      </c>
      <c r="E8848">
        <v>29</v>
      </c>
    </row>
    <row r="8849" spans="1:5" x14ac:dyDescent="0.2">
      <c r="A8849">
        <v>41840</v>
      </c>
      <c r="B8849">
        <v>36911</v>
      </c>
      <c r="C8849">
        <v>148</v>
      </c>
      <c r="D8849">
        <v>594.1</v>
      </c>
      <c r="E8849">
        <v>29.4</v>
      </c>
    </row>
    <row r="8850" spans="1:5" x14ac:dyDescent="0.2">
      <c r="A8850">
        <v>41860</v>
      </c>
      <c r="B8850">
        <v>36947</v>
      </c>
      <c r="C8850">
        <v>152</v>
      </c>
      <c r="D8850">
        <v>590.79999999999995</v>
      </c>
      <c r="E8850">
        <v>30.1</v>
      </c>
    </row>
    <row r="8851" spans="1:5" x14ac:dyDescent="0.2">
      <c r="A8851">
        <v>41880</v>
      </c>
      <c r="B8851">
        <v>36984</v>
      </c>
      <c r="C8851">
        <v>156</v>
      </c>
      <c r="D8851">
        <v>587.4</v>
      </c>
      <c r="E8851">
        <v>30.8</v>
      </c>
    </row>
    <row r="8852" spans="1:5" x14ac:dyDescent="0.2">
      <c r="A8852">
        <v>41900</v>
      </c>
      <c r="B8852">
        <v>37023</v>
      </c>
      <c r="C8852">
        <v>160</v>
      </c>
      <c r="D8852">
        <v>583.5</v>
      </c>
      <c r="E8852">
        <v>31.5</v>
      </c>
    </row>
    <row r="8853" spans="1:5" x14ac:dyDescent="0.2">
      <c r="A8853">
        <v>41920</v>
      </c>
      <c r="B8853">
        <v>37064</v>
      </c>
      <c r="C8853">
        <v>164</v>
      </c>
      <c r="D8853">
        <v>579.29999999999995</v>
      </c>
      <c r="E8853">
        <v>32.200000000000003</v>
      </c>
    </row>
    <row r="8854" spans="1:5" x14ac:dyDescent="0.2">
      <c r="A8854">
        <v>41940</v>
      </c>
      <c r="B8854">
        <v>37107</v>
      </c>
      <c r="C8854">
        <v>167</v>
      </c>
      <c r="D8854">
        <v>574.79999999999995</v>
      </c>
      <c r="E8854">
        <v>32.799999999999997</v>
      </c>
    </row>
    <row r="8855" spans="1:5" x14ac:dyDescent="0.2">
      <c r="A8855">
        <v>41960</v>
      </c>
      <c r="B8855">
        <v>37150</v>
      </c>
      <c r="C8855">
        <v>169</v>
      </c>
      <c r="D8855">
        <v>570.1</v>
      </c>
      <c r="E8855">
        <v>33.1</v>
      </c>
    </row>
    <row r="8856" spans="1:5" x14ac:dyDescent="0.2">
      <c r="A8856">
        <v>41980</v>
      </c>
      <c r="B8856">
        <v>37195</v>
      </c>
      <c r="C8856">
        <v>171</v>
      </c>
      <c r="D8856">
        <v>565.20000000000005</v>
      </c>
      <c r="E8856">
        <v>33.200000000000003</v>
      </c>
    </row>
    <row r="8857" spans="1:5" x14ac:dyDescent="0.2">
      <c r="A8857">
        <v>42000</v>
      </c>
      <c r="B8857">
        <v>37241</v>
      </c>
      <c r="C8857">
        <v>172</v>
      </c>
      <c r="D8857">
        <v>560</v>
      </c>
      <c r="E8857">
        <v>33.4</v>
      </c>
    </row>
    <row r="8858" spans="1:5" x14ac:dyDescent="0.2">
      <c r="A8858">
        <v>42020</v>
      </c>
      <c r="B8858">
        <v>37287</v>
      </c>
      <c r="C8858">
        <v>173</v>
      </c>
      <c r="D8858">
        <v>554.70000000000005</v>
      </c>
      <c r="E8858">
        <v>33.4</v>
      </c>
    </row>
    <row r="8859" spans="1:5" x14ac:dyDescent="0.2">
      <c r="A8859">
        <v>42040</v>
      </c>
      <c r="B8859">
        <v>37336</v>
      </c>
      <c r="C8859">
        <v>174</v>
      </c>
      <c r="D8859">
        <v>549.1</v>
      </c>
      <c r="E8859">
        <v>33.6</v>
      </c>
    </row>
    <row r="8860" spans="1:5" x14ac:dyDescent="0.2">
      <c r="A8860">
        <v>42060</v>
      </c>
      <c r="B8860">
        <v>37386</v>
      </c>
      <c r="C8860">
        <v>176</v>
      </c>
      <c r="D8860">
        <v>543.29999999999995</v>
      </c>
      <c r="E8860">
        <v>33.799999999999997</v>
      </c>
    </row>
    <row r="8861" spans="1:5" x14ac:dyDescent="0.2">
      <c r="A8861">
        <v>42080</v>
      </c>
      <c r="B8861">
        <v>37436</v>
      </c>
      <c r="C8861">
        <v>178</v>
      </c>
      <c r="D8861">
        <v>537.29999999999995</v>
      </c>
      <c r="E8861">
        <v>34</v>
      </c>
    </row>
    <row r="8862" spans="1:5" x14ac:dyDescent="0.2">
      <c r="A8862">
        <v>42100</v>
      </c>
      <c r="B8862">
        <v>37489</v>
      </c>
      <c r="C8862">
        <v>180</v>
      </c>
      <c r="D8862">
        <v>531</v>
      </c>
      <c r="E8862">
        <v>34.299999999999997</v>
      </c>
    </row>
    <row r="8863" spans="1:5" x14ac:dyDescent="0.2">
      <c r="A8863">
        <v>42120</v>
      </c>
      <c r="B8863">
        <v>37542</v>
      </c>
      <c r="C8863">
        <v>182</v>
      </c>
      <c r="D8863">
        <v>524.6</v>
      </c>
      <c r="E8863">
        <v>34.5</v>
      </c>
    </row>
    <row r="8864" spans="1:5" x14ac:dyDescent="0.2">
      <c r="A8864">
        <v>42140</v>
      </c>
      <c r="B8864">
        <v>37597</v>
      </c>
      <c r="C8864">
        <v>182</v>
      </c>
      <c r="D8864">
        <v>517.9</v>
      </c>
      <c r="E8864">
        <v>34.4</v>
      </c>
    </row>
    <row r="8865" spans="1:5" x14ac:dyDescent="0.2">
      <c r="A8865">
        <v>42160</v>
      </c>
      <c r="B8865">
        <v>37653</v>
      </c>
      <c r="C8865">
        <v>181</v>
      </c>
      <c r="D8865">
        <v>510.9</v>
      </c>
      <c r="E8865">
        <v>34.1</v>
      </c>
    </row>
    <row r="8866" spans="1:5" x14ac:dyDescent="0.2">
      <c r="A8866">
        <v>42180</v>
      </c>
      <c r="B8866">
        <v>37711</v>
      </c>
      <c r="C8866">
        <v>181</v>
      </c>
      <c r="D8866">
        <v>503.8</v>
      </c>
      <c r="E8866">
        <v>33.9</v>
      </c>
    </row>
    <row r="8867" spans="1:5" x14ac:dyDescent="0.2">
      <c r="A8867">
        <v>42200</v>
      </c>
      <c r="B8867">
        <v>37769</v>
      </c>
      <c r="C8867">
        <v>180</v>
      </c>
      <c r="D8867">
        <v>496.5</v>
      </c>
      <c r="E8867">
        <v>33.5</v>
      </c>
    </row>
    <row r="8868" spans="1:5" x14ac:dyDescent="0.2">
      <c r="A8868">
        <v>42220</v>
      </c>
      <c r="B8868">
        <v>37829</v>
      </c>
      <c r="C8868">
        <v>180</v>
      </c>
      <c r="D8868">
        <v>488.9</v>
      </c>
      <c r="E8868">
        <v>33.299999999999997</v>
      </c>
    </row>
    <row r="8869" spans="1:5" x14ac:dyDescent="0.2">
      <c r="A8869">
        <v>42240</v>
      </c>
      <c r="B8869">
        <v>37891</v>
      </c>
      <c r="C8869">
        <v>180</v>
      </c>
      <c r="D8869">
        <v>481.2</v>
      </c>
      <c r="E8869">
        <v>33.1</v>
      </c>
    </row>
    <row r="8870" spans="1:5" x14ac:dyDescent="0.2">
      <c r="A8870">
        <v>42260</v>
      </c>
      <c r="B8870">
        <v>37954</v>
      </c>
      <c r="C8870">
        <v>180</v>
      </c>
      <c r="D8870">
        <v>473.2</v>
      </c>
      <c r="E8870">
        <v>33</v>
      </c>
    </row>
    <row r="8871" spans="1:5" x14ac:dyDescent="0.2">
      <c r="A8871">
        <v>42280</v>
      </c>
      <c r="B8871">
        <v>38017</v>
      </c>
      <c r="C8871">
        <v>180</v>
      </c>
      <c r="D8871">
        <v>465.2</v>
      </c>
      <c r="E8871">
        <v>32.799999999999997</v>
      </c>
    </row>
    <row r="8872" spans="1:5" x14ac:dyDescent="0.2">
      <c r="A8872">
        <v>42300</v>
      </c>
      <c r="B8872">
        <v>38082</v>
      </c>
      <c r="C8872">
        <v>179</v>
      </c>
      <c r="D8872">
        <v>456.8</v>
      </c>
      <c r="E8872">
        <v>32.5</v>
      </c>
    </row>
    <row r="8873" spans="1:5" x14ac:dyDescent="0.2">
      <c r="A8873">
        <v>42320</v>
      </c>
      <c r="B8873">
        <v>38148</v>
      </c>
      <c r="C8873">
        <v>177</v>
      </c>
      <c r="D8873">
        <v>448.4</v>
      </c>
      <c r="E8873">
        <v>31.9</v>
      </c>
    </row>
    <row r="8874" spans="1:5" x14ac:dyDescent="0.2">
      <c r="A8874">
        <v>42340</v>
      </c>
      <c r="B8874">
        <v>38215</v>
      </c>
      <c r="C8874">
        <v>173</v>
      </c>
      <c r="D8874">
        <v>439.9</v>
      </c>
      <c r="E8874">
        <v>31.1</v>
      </c>
    </row>
    <row r="8875" spans="1:5" x14ac:dyDescent="0.2">
      <c r="A8875">
        <v>42360</v>
      </c>
      <c r="B8875">
        <v>38281</v>
      </c>
      <c r="C8875">
        <v>171</v>
      </c>
      <c r="D8875">
        <v>431.5</v>
      </c>
      <c r="E8875">
        <v>30.5</v>
      </c>
    </row>
    <row r="8876" spans="1:5" x14ac:dyDescent="0.2">
      <c r="A8876">
        <v>42380</v>
      </c>
      <c r="B8876">
        <v>38347</v>
      </c>
      <c r="C8876">
        <v>169</v>
      </c>
      <c r="D8876">
        <v>423.2</v>
      </c>
      <c r="E8876">
        <v>30</v>
      </c>
    </row>
    <row r="8877" spans="1:5" x14ac:dyDescent="0.2">
      <c r="A8877">
        <v>42400</v>
      </c>
      <c r="B8877">
        <v>38413</v>
      </c>
      <c r="C8877">
        <v>168</v>
      </c>
      <c r="D8877">
        <v>415.1</v>
      </c>
      <c r="E8877">
        <v>29.6</v>
      </c>
    </row>
    <row r="8878" spans="1:5" x14ac:dyDescent="0.2">
      <c r="A8878">
        <v>42420</v>
      </c>
      <c r="B8878">
        <v>38476</v>
      </c>
      <c r="C8878">
        <v>166</v>
      </c>
      <c r="D8878">
        <v>407.4</v>
      </c>
      <c r="E8878">
        <v>29.2</v>
      </c>
    </row>
    <row r="8879" spans="1:5" x14ac:dyDescent="0.2">
      <c r="A8879">
        <v>42440</v>
      </c>
      <c r="B8879">
        <v>38538</v>
      </c>
      <c r="C8879">
        <v>164</v>
      </c>
      <c r="D8879">
        <v>399.9</v>
      </c>
      <c r="E8879">
        <v>28.7</v>
      </c>
    </row>
    <row r="8880" spans="1:5" x14ac:dyDescent="0.2">
      <c r="A8880">
        <v>42460</v>
      </c>
      <c r="B8880">
        <v>38598</v>
      </c>
      <c r="C8880">
        <v>163</v>
      </c>
      <c r="D8880">
        <v>392.9</v>
      </c>
      <c r="E8880">
        <v>28.2</v>
      </c>
    </row>
    <row r="8881" spans="1:5" x14ac:dyDescent="0.2">
      <c r="A8881">
        <v>42480</v>
      </c>
      <c r="B8881">
        <v>38656</v>
      </c>
      <c r="C8881">
        <v>161</v>
      </c>
      <c r="D8881">
        <v>386.3</v>
      </c>
      <c r="E8881">
        <v>27.7</v>
      </c>
    </row>
    <row r="8882" spans="1:5" x14ac:dyDescent="0.2">
      <c r="A8882">
        <v>42500</v>
      </c>
      <c r="B8882">
        <v>38712</v>
      </c>
      <c r="C8882">
        <v>159</v>
      </c>
      <c r="D8882">
        <v>379.9</v>
      </c>
      <c r="E8882">
        <v>27.3</v>
      </c>
    </row>
    <row r="8883" spans="1:5" x14ac:dyDescent="0.2">
      <c r="A8883">
        <v>42520</v>
      </c>
      <c r="B8883">
        <v>38766</v>
      </c>
      <c r="C8883">
        <v>158</v>
      </c>
      <c r="D8883">
        <v>374</v>
      </c>
      <c r="E8883">
        <v>27.1</v>
      </c>
    </row>
    <row r="8884" spans="1:5" x14ac:dyDescent="0.2">
      <c r="A8884">
        <v>42540</v>
      </c>
      <c r="B8884">
        <v>38819</v>
      </c>
      <c r="C8884">
        <v>158</v>
      </c>
      <c r="D8884">
        <v>368.3</v>
      </c>
      <c r="E8884">
        <v>27</v>
      </c>
    </row>
    <row r="8885" spans="1:5" x14ac:dyDescent="0.2">
      <c r="A8885">
        <v>42560</v>
      </c>
      <c r="B8885">
        <v>38869</v>
      </c>
      <c r="C8885">
        <v>159</v>
      </c>
      <c r="D8885">
        <v>363</v>
      </c>
      <c r="E8885">
        <v>26.9</v>
      </c>
    </row>
    <row r="8886" spans="1:5" x14ac:dyDescent="0.2">
      <c r="A8886">
        <v>42580</v>
      </c>
      <c r="B8886">
        <v>38918</v>
      </c>
      <c r="C8886">
        <v>159</v>
      </c>
      <c r="D8886">
        <v>358</v>
      </c>
      <c r="E8886">
        <v>26.9</v>
      </c>
    </row>
    <row r="8887" spans="1:5" x14ac:dyDescent="0.2">
      <c r="A8887">
        <v>42600</v>
      </c>
      <c r="B8887">
        <v>38966</v>
      </c>
      <c r="C8887">
        <v>158</v>
      </c>
      <c r="D8887">
        <v>353.3</v>
      </c>
      <c r="E8887">
        <v>26.7</v>
      </c>
    </row>
    <row r="8888" spans="1:5" x14ac:dyDescent="0.2">
      <c r="A8888">
        <v>42620</v>
      </c>
      <c r="B8888">
        <v>39011</v>
      </c>
      <c r="C8888">
        <v>157</v>
      </c>
      <c r="D8888">
        <v>348.9</v>
      </c>
      <c r="E8888">
        <v>26.3</v>
      </c>
    </row>
    <row r="8889" spans="1:5" x14ac:dyDescent="0.2">
      <c r="A8889">
        <v>42640</v>
      </c>
      <c r="B8889">
        <v>39056</v>
      </c>
      <c r="C8889">
        <v>157</v>
      </c>
      <c r="D8889">
        <v>344.7</v>
      </c>
      <c r="E8889">
        <v>26.3</v>
      </c>
    </row>
    <row r="8890" spans="1:5" x14ac:dyDescent="0.2">
      <c r="A8890">
        <v>42660</v>
      </c>
      <c r="B8890">
        <v>39099</v>
      </c>
      <c r="C8890">
        <v>158</v>
      </c>
      <c r="D8890">
        <v>340.7</v>
      </c>
      <c r="E8890">
        <v>26.3</v>
      </c>
    </row>
    <row r="8891" spans="1:5" x14ac:dyDescent="0.2">
      <c r="A8891">
        <v>42680</v>
      </c>
      <c r="B8891">
        <v>39141</v>
      </c>
      <c r="C8891">
        <v>159</v>
      </c>
      <c r="D8891">
        <v>336.9</v>
      </c>
      <c r="E8891">
        <v>26.4</v>
      </c>
    </row>
    <row r="8892" spans="1:5" x14ac:dyDescent="0.2">
      <c r="A8892">
        <v>42700</v>
      </c>
      <c r="B8892">
        <v>39184</v>
      </c>
      <c r="C8892">
        <v>158</v>
      </c>
      <c r="D8892">
        <v>333</v>
      </c>
      <c r="E8892">
        <v>26.3</v>
      </c>
    </row>
    <row r="8893" spans="1:5" x14ac:dyDescent="0.2">
      <c r="A8893">
        <v>42720</v>
      </c>
      <c r="B8893">
        <v>39227</v>
      </c>
      <c r="C8893">
        <v>159</v>
      </c>
      <c r="D8893">
        <v>329.1</v>
      </c>
      <c r="E8893">
        <v>26.3</v>
      </c>
    </row>
    <row r="8894" spans="1:5" x14ac:dyDescent="0.2">
      <c r="A8894">
        <v>42740</v>
      </c>
      <c r="B8894">
        <v>39271</v>
      </c>
      <c r="C8894">
        <v>160</v>
      </c>
      <c r="D8894">
        <v>325</v>
      </c>
      <c r="E8894">
        <v>26.4</v>
      </c>
    </row>
    <row r="8895" spans="1:5" x14ac:dyDescent="0.2">
      <c r="A8895">
        <v>42760</v>
      </c>
      <c r="B8895">
        <v>39317</v>
      </c>
      <c r="C8895">
        <v>161</v>
      </c>
      <c r="D8895">
        <v>320.7</v>
      </c>
      <c r="E8895">
        <v>26.6</v>
      </c>
    </row>
    <row r="8896" spans="1:5" x14ac:dyDescent="0.2">
      <c r="A8896">
        <v>42780</v>
      </c>
      <c r="B8896">
        <v>39363</v>
      </c>
      <c r="C8896">
        <v>162</v>
      </c>
      <c r="D8896">
        <v>316.3</v>
      </c>
      <c r="E8896">
        <v>26.6</v>
      </c>
    </row>
    <row r="8897" spans="1:5" x14ac:dyDescent="0.2">
      <c r="A8897">
        <v>42800</v>
      </c>
      <c r="B8897">
        <v>39411</v>
      </c>
      <c r="C8897">
        <v>163</v>
      </c>
      <c r="D8897">
        <v>311.7</v>
      </c>
      <c r="E8897">
        <v>26.5</v>
      </c>
    </row>
    <row r="8898" spans="1:5" x14ac:dyDescent="0.2">
      <c r="A8898">
        <v>42820</v>
      </c>
      <c r="B8898">
        <v>39461</v>
      </c>
      <c r="C8898">
        <v>164</v>
      </c>
      <c r="D8898">
        <v>306.7</v>
      </c>
      <c r="E8898">
        <v>26.7</v>
      </c>
    </row>
    <row r="8899" spans="1:5" x14ac:dyDescent="0.2">
      <c r="A8899">
        <v>42840</v>
      </c>
      <c r="B8899">
        <v>39511</v>
      </c>
      <c r="C8899">
        <v>166</v>
      </c>
      <c r="D8899">
        <v>301.8</v>
      </c>
      <c r="E8899">
        <v>26.9</v>
      </c>
    </row>
    <row r="8900" spans="1:5" x14ac:dyDescent="0.2">
      <c r="A8900">
        <v>42860</v>
      </c>
      <c r="B8900">
        <v>39561</v>
      </c>
      <c r="C8900">
        <v>168</v>
      </c>
      <c r="D8900">
        <v>296.7</v>
      </c>
      <c r="E8900">
        <v>27</v>
      </c>
    </row>
    <row r="8901" spans="1:5" x14ac:dyDescent="0.2">
      <c r="A8901">
        <v>42880</v>
      </c>
      <c r="B8901">
        <v>39613</v>
      </c>
      <c r="C8901">
        <v>169</v>
      </c>
      <c r="D8901">
        <v>291.5</v>
      </c>
      <c r="E8901">
        <v>27.2</v>
      </c>
    </row>
    <row r="8902" spans="1:5" x14ac:dyDescent="0.2">
      <c r="A8902">
        <v>42900</v>
      </c>
      <c r="B8902">
        <v>39665</v>
      </c>
      <c r="C8902">
        <v>170</v>
      </c>
      <c r="D8902">
        <v>286.39999999999998</v>
      </c>
      <c r="E8902">
        <v>27.2</v>
      </c>
    </row>
    <row r="8903" spans="1:5" x14ac:dyDescent="0.2">
      <c r="A8903">
        <v>42920</v>
      </c>
      <c r="B8903">
        <v>39715</v>
      </c>
      <c r="C8903">
        <v>170</v>
      </c>
      <c r="D8903">
        <v>281.39999999999998</v>
      </c>
      <c r="E8903">
        <v>27.2</v>
      </c>
    </row>
    <row r="8904" spans="1:5" x14ac:dyDescent="0.2">
      <c r="A8904">
        <v>42940</v>
      </c>
      <c r="B8904">
        <v>39765</v>
      </c>
      <c r="C8904">
        <v>171</v>
      </c>
      <c r="D8904">
        <v>276.5</v>
      </c>
      <c r="E8904">
        <v>27.2</v>
      </c>
    </row>
    <row r="8905" spans="1:5" x14ac:dyDescent="0.2">
      <c r="A8905">
        <v>42960</v>
      </c>
      <c r="B8905">
        <v>39814</v>
      </c>
      <c r="C8905">
        <v>173</v>
      </c>
      <c r="D8905">
        <v>271.8</v>
      </c>
      <c r="E8905">
        <v>27.4</v>
      </c>
    </row>
    <row r="8906" spans="1:5" x14ac:dyDescent="0.2">
      <c r="A8906">
        <v>42980</v>
      </c>
      <c r="B8906">
        <v>39861</v>
      </c>
      <c r="C8906">
        <v>173</v>
      </c>
      <c r="D8906">
        <v>267.60000000000002</v>
      </c>
      <c r="E8906">
        <v>27.3</v>
      </c>
    </row>
    <row r="8907" spans="1:5" x14ac:dyDescent="0.2">
      <c r="A8907">
        <v>43000</v>
      </c>
      <c r="B8907">
        <v>39905</v>
      </c>
      <c r="C8907">
        <v>174</v>
      </c>
      <c r="D8907">
        <v>263.7</v>
      </c>
      <c r="E8907">
        <v>27.4</v>
      </c>
    </row>
    <row r="8908" spans="1:5" x14ac:dyDescent="0.2">
      <c r="A8908">
        <v>43020</v>
      </c>
      <c r="B8908">
        <v>39947</v>
      </c>
      <c r="C8908">
        <v>174</v>
      </c>
      <c r="D8908">
        <v>260.10000000000002</v>
      </c>
      <c r="E8908">
        <v>27.3</v>
      </c>
    </row>
    <row r="8909" spans="1:5" x14ac:dyDescent="0.2">
      <c r="A8909">
        <v>43040</v>
      </c>
      <c r="B8909">
        <v>39988</v>
      </c>
      <c r="C8909">
        <v>176</v>
      </c>
      <c r="D8909">
        <v>256.7</v>
      </c>
      <c r="E8909">
        <v>27.5</v>
      </c>
    </row>
    <row r="8910" spans="1:5" x14ac:dyDescent="0.2">
      <c r="A8910">
        <v>43060</v>
      </c>
      <c r="B8910">
        <v>40026</v>
      </c>
      <c r="C8910">
        <v>176</v>
      </c>
      <c r="D8910">
        <v>253.8</v>
      </c>
      <c r="E8910">
        <v>27.4</v>
      </c>
    </row>
    <row r="8911" spans="1:5" x14ac:dyDescent="0.2">
      <c r="A8911">
        <v>43080</v>
      </c>
      <c r="B8911">
        <v>40064</v>
      </c>
      <c r="C8911">
        <v>177</v>
      </c>
      <c r="D8911">
        <v>250.9</v>
      </c>
      <c r="E8911">
        <v>27.6</v>
      </c>
    </row>
    <row r="8912" spans="1:5" x14ac:dyDescent="0.2">
      <c r="A8912">
        <v>43100</v>
      </c>
      <c r="B8912">
        <v>40101</v>
      </c>
      <c r="C8912">
        <v>177</v>
      </c>
      <c r="D8912">
        <v>248.2</v>
      </c>
      <c r="E8912">
        <v>27.4</v>
      </c>
    </row>
    <row r="8913" spans="1:5" x14ac:dyDescent="0.2">
      <c r="A8913">
        <v>43120</v>
      </c>
      <c r="B8913">
        <v>40137</v>
      </c>
      <c r="C8913">
        <v>176</v>
      </c>
      <c r="D8913">
        <v>245.6</v>
      </c>
      <c r="E8913">
        <v>27.3</v>
      </c>
    </row>
    <row r="8914" spans="1:5" x14ac:dyDescent="0.2">
      <c r="A8914">
        <v>43140</v>
      </c>
      <c r="B8914">
        <v>40171</v>
      </c>
      <c r="C8914">
        <v>176</v>
      </c>
      <c r="D8914">
        <v>243.3</v>
      </c>
      <c r="E8914">
        <v>27.2</v>
      </c>
    </row>
    <row r="8915" spans="1:5" x14ac:dyDescent="0.2">
      <c r="A8915">
        <v>43160</v>
      </c>
      <c r="B8915">
        <v>40207</v>
      </c>
      <c r="C8915">
        <v>176</v>
      </c>
      <c r="D8915">
        <v>240.8</v>
      </c>
      <c r="E8915">
        <v>27.2</v>
      </c>
    </row>
    <row r="8916" spans="1:5" x14ac:dyDescent="0.2">
      <c r="A8916">
        <v>43180</v>
      </c>
      <c r="B8916">
        <v>40241</v>
      </c>
      <c r="C8916">
        <v>177</v>
      </c>
      <c r="D8916">
        <v>238.6</v>
      </c>
      <c r="E8916">
        <v>27.3</v>
      </c>
    </row>
    <row r="8917" spans="1:5" x14ac:dyDescent="0.2">
      <c r="A8917">
        <v>43200</v>
      </c>
      <c r="B8917">
        <v>40273</v>
      </c>
      <c r="C8917">
        <v>177</v>
      </c>
      <c r="D8917">
        <v>236.6</v>
      </c>
      <c r="E8917">
        <v>27.2</v>
      </c>
    </row>
    <row r="8918" spans="1:5" x14ac:dyDescent="0.2">
      <c r="A8918">
        <v>43220</v>
      </c>
      <c r="B8918">
        <v>40305</v>
      </c>
      <c r="C8918">
        <v>178</v>
      </c>
      <c r="D8918">
        <v>234.7</v>
      </c>
      <c r="E8918">
        <v>27.3</v>
      </c>
    </row>
    <row r="8919" spans="1:5" x14ac:dyDescent="0.2">
      <c r="A8919">
        <v>43240</v>
      </c>
      <c r="B8919">
        <v>40337</v>
      </c>
      <c r="C8919">
        <v>176</v>
      </c>
      <c r="D8919">
        <v>232.8</v>
      </c>
      <c r="E8919">
        <v>27</v>
      </c>
    </row>
    <row r="8920" spans="1:5" x14ac:dyDescent="0.2">
      <c r="A8920">
        <v>43260</v>
      </c>
      <c r="B8920">
        <v>40367</v>
      </c>
      <c r="C8920">
        <v>176</v>
      </c>
      <c r="D8920">
        <v>231.2</v>
      </c>
      <c r="E8920">
        <v>26.9</v>
      </c>
    </row>
    <row r="8921" spans="1:5" x14ac:dyDescent="0.2">
      <c r="A8921">
        <v>43280</v>
      </c>
      <c r="B8921">
        <v>40397</v>
      </c>
      <c r="C8921">
        <v>176</v>
      </c>
      <c r="D8921">
        <v>229.6</v>
      </c>
      <c r="E8921">
        <v>26.9</v>
      </c>
    </row>
    <row r="8922" spans="1:5" x14ac:dyDescent="0.2">
      <c r="A8922">
        <v>43300</v>
      </c>
      <c r="B8922">
        <v>40425</v>
      </c>
      <c r="C8922">
        <v>176</v>
      </c>
      <c r="D8922">
        <v>228.2</v>
      </c>
      <c r="E8922">
        <v>26.9</v>
      </c>
    </row>
    <row r="8923" spans="1:5" x14ac:dyDescent="0.2">
      <c r="A8923">
        <v>43320</v>
      </c>
      <c r="B8923">
        <v>40453</v>
      </c>
      <c r="C8923">
        <v>174</v>
      </c>
      <c r="D8923">
        <v>226.9</v>
      </c>
      <c r="E8923">
        <v>26.6</v>
      </c>
    </row>
    <row r="8924" spans="1:5" x14ac:dyDescent="0.2">
      <c r="A8924">
        <v>43340</v>
      </c>
      <c r="B8924">
        <v>40479</v>
      </c>
      <c r="C8924">
        <v>173</v>
      </c>
      <c r="D8924">
        <v>225.9</v>
      </c>
      <c r="E8924">
        <v>26.3</v>
      </c>
    </row>
    <row r="8925" spans="1:5" x14ac:dyDescent="0.2">
      <c r="A8925">
        <v>43360</v>
      </c>
      <c r="B8925">
        <v>40505</v>
      </c>
      <c r="C8925">
        <v>171</v>
      </c>
      <c r="D8925">
        <v>224.9</v>
      </c>
      <c r="E8925">
        <v>26.1</v>
      </c>
    </row>
    <row r="8926" spans="1:5" x14ac:dyDescent="0.2">
      <c r="A8926">
        <v>43380</v>
      </c>
      <c r="B8926">
        <v>40528</v>
      </c>
      <c r="C8926">
        <v>170</v>
      </c>
      <c r="D8926">
        <v>224.4</v>
      </c>
      <c r="E8926">
        <v>25.9</v>
      </c>
    </row>
    <row r="8927" spans="1:5" x14ac:dyDescent="0.2">
      <c r="A8927">
        <v>43400</v>
      </c>
      <c r="B8927">
        <v>40549</v>
      </c>
      <c r="C8927">
        <v>169</v>
      </c>
      <c r="D8927">
        <v>224.1</v>
      </c>
      <c r="E8927">
        <v>25.7</v>
      </c>
    </row>
    <row r="8928" spans="1:5" x14ac:dyDescent="0.2">
      <c r="A8928">
        <v>43420</v>
      </c>
      <c r="B8928">
        <v>40567</v>
      </c>
      <c r="C8928">
        <v>167</v>
      </c>
      <c r="D8928">
        <v>224.4</v>
      </c>
      <c r="E8928">
        <v>25.5</v>
      </c>
    </row>
    <row r="8929" spans="1:5" x14ac:dyDescent="0.2">
      <c r="A8929">
        <v>43440</v>
      </c>
      <c r="B8929">
        <v>40583</v>
      </c>
      <c r="C8929">
        <v>166</v>
      </c>
      <c r="D8929">
        <v>224.9</v>
      </c>
      <c r="E8929">
        <v>25.3</v>
      </c>
    </row>
    <row r="8930" spans="1:5" x14ac:dyDescent="0.2">
      <c r="A8930">
        <v>43460</v>
      </c>
      <c r="B8930">
        <v>40596</v>
      </c>
      <c r="C8930">
        <v>165</v>
      </c>
      <c r="D8930">
        <v>225.8</v>
      </c>
      <c r="E8930">
        <v>25.1</v>
      </c>
    </row>
    <row r="8931" spans="1:5" x14ac:dyDescent="0.2">
      <c r="A8931">
        <v>43480</v>
      </c>
      <c r="B8931">
        <v>40604</v>
      </c>
      <c r="C8931">
        <v>164</v>
      </c>
      <c r="D8931">
        <v>227.5</v>
      </c>
      <c r="E8931">
        <v>25.1</v>
      </c>
    </row>
    <row r="8932" spans="1:5" x14ac:dyDescent="0.2">
      <c r="A8932">
        <v>43500</v>
      </c>
      <c r="B8932">
        <v>40610</v>
      </c>
      <c r="C8932">
        <v>165</v>
      </c>
      <c r="D8932">
        <v>229.5</v>
      </c>
      <c r="E8932">
        <v>25.2</v>
      </c>
    </row>
    <row r="8933" spans="1:5" x14ac:dyDescent="0.2">
      <c r="A8933">
        <v>43520</v>
      </c>
      <c r="B8933">
        <v>40612</v>
      </c>
      <c r="C8933">
        <v>165</v>
      </c>
      <c r="D8933">
        <v>232.3</v>
      </c>
      <c r="E8933">
        <v>25.3</v>
      </c>
    </row>
    <row r="8934" spans="1:5" x14ac:dyDescent="0.2">
      <c r="A8934">
        <v>43540</v>
      </c>
      <c r="B8934">
        <v>40609</v>
      </c>
      <c r="C8934">
        <v>164</v>
      </c>
      <c r="D8934">
        <v>235.8</v>
      </c>
      <c r="E8934">
        <v>25.3</v>
      </c>
    </row>
    <row r="8935" spans="1:5" x14ac:dyDescent="0.2">
      <c r="A8935">
        <v>43560</v>
      </c>
      <c r="B8935">
        <v>40603</v>
      </c>
      <c r="C8935">
        <v>164</v>
      </c>
      <c r="D8935">
        <v>239.6</v>
      </c>
      <c r="E8935">
        <v>25.3</v>
      </c>
    </row>
    <row r="8936" spans="1:5" x14ac:dyDescent="0.2">
      <c r="A8936">
        <v>43580</v>
      </c>
      <c r="B8936">
        <v>40595</v>
      </c>
      <c r="C8936">
        <v>165</v>
      </c>
      <c r="D8936">
        <v>243.8</v>
      </c>
      <c r="E8936">
        <v>25.5</v>
      </c>
    </row>
    <row r="8937" spans="1:5" x14ac:dyDescent="0.2">
      <c r="A8937">
        <v>43600</v>
      </c>
      <c r="B8937">
        <v>40586</v>
      </c>
      <c r="C8937">
        <v>165</v>
      </c>
      <c r="D8937">
        <v>248.3</v>
      </c>
      <c r="E8937">
        <v>25.7</v>
      </c>
    </row>
    <row r="8938" spans="1:5" x14ac:dyDescent="0.2">
      <c r="A8938">
        <v>43620</v>
      </c>
      <c r="B8938">
        <v>40578</v>
      </c>
      <c r="C8938">
        <v>166</v>
      </c>
      <c r="D8938">
        <v>252.6</v>
      </c>
      <c r="E8938">
        <v>25.9</v>
      </c>
    </row>
    <row r="8939" spans="1:5" x14ac:dyDescent="0.2">
      <c r="A8939">
        <v>43640</v>
      </c>
      <c r="B8939">
        <v>40571</v>
      </c>
      <c r="C8939">
        <v>166</v>
      </c>
      <c r="D8939">
        <v>256.60000000000002</v>
      </c>
      <c r="E8939">
        <v>25.9</v>
      </c>
    </row>
    <row r="8940" spans="1:5" x14ac:dyDescent="0.2">
      <c r="A8940">
        <v>43660</v>
      </c>
      <c r="B8940">
        <v>40566</v>
      </c>
      <c r="C8940">
        <v>166</v>
      </c>
      <c r="D8940">
        <v>260.60000000000002</v>
      </c>
      <c r="E8940">
        <v>26.1</v>
      </c>
    </row>
    <row r="8941" spans="1:5" x14ac:dyDescent="0.2">
      <c r="A8941">
        <v>43680</v>
      </c>
      <c r="B8941">
        <v>40561</v>
      </c>
      <c r="C8941">
        <v>167</v>
      </c>
      <c r="D8941">
        <v>264.39999999999998</v>
      </c>
      <c r="E8941">
        <v>26.2</v>
      </c>
    </row>
    <row r="8942" spans="1:5" x14ac:dyDescent="0.2">
      <c r="A8942">
        <v>43700</v>
      </c>
      <c r="B8942">
        <v>40558</v>
      </c>
      <c r="C8942">
        <v>169</v>
      </c>
      <c r="D8942">
        <v>268</v>
      </c>
      <c r="E8942">
        <v>26.7</v>
      </c>
    </row>
    <row r="8943" spans="1:5" x14ac:dyDescent="0.2">
      <c r="A8943">
        <v>43720</v>
      </c>
      <c r="B8943">
        <v>40556</v>
      </c>
      <c r="C8943">
        <v>172</v>
      </c>
      <c r="D8943">
        <v>271.3</v>
      </c>
      <c r="E8943">
        <v>27.3</v>
      </c>
    </row>
    <row r="8944" spans="1:5" x14ac:dyDescent="0.2">
      <c r="A8944">
        <v>43740</v>
      </c>
      <c r="B8944">
        <v>40557</v>
      </c>
      <c r="C8944">
        <v>177</v>
      </c>
      <c r="D8944">
        <v>274.3</v>
      </c>
      <c r="E8944">
        <v>28</v>
      </c>
    </row>
    <row r="8945" spans="1:5" x14ac:dyDescent="0.2">
      <c r="A8945">
        <v>43760</v>
      </c>
      <c r="B8945">
        <v>40560</v>
      </c>
      <c r="C8945">
        <v>181</v>
      </c>
      <c r="D8945">
        <v>276.89999999999998</v>
      </c>
      <c r="E8945">
        <v>28.8</v>
      </c>
    </row>
    <row r="8946" spans="1:5" x14ac:dyDescent="0.2">
      <c r="A8946">
        <v>43780</v>
      </c>
      <c r="B8946">
        <v>40565</v>
      </c>
      <c r="C8946">
        <v>185</v>
      </c>
      <c r="D8946">
        <v>279.10000000000002</v>
      </c>
      <c r="E8946">
        <v>29.4</v>
      </c>
    </row>
    <row r="8947" spans="1:5" x14ac:dyDescent="0.2">
      <c r="A8947">
        <v>43800</v>
      </c>
      <c r="B8947">
        <v>40573</v>
      </c>
      <c r="C8947">
        <v>188</v>
      </c>
      <c r="D8947">
        <v>281</v>
      </c>
      <c r="E8947">
        <v>29.9</v>
      </c>
    </row>
    <row r="8948" spans="1:5" x14ac:dyDescent="0.2">
      <c r="A8948">
        <v>43820</v>
      </c>
      <c r="B8948">
        <v>40583</v>
      </c>
      <c r="C8948">
        <v>190</v>
      </c>
      <c r="D8948">
        <v>282.5</v>
      </c>
      <c r="E8948">
        <v>30.3</v>
      </c>
    </row>
    <row r="8949" spans="1:5" x14ac:dyDescent="0.2">
      <c r="A8949">
        <v>43840</v>
      </c>
      <c r="B8949">
        <v>40595</v>
      </c>
      <c r="C8949">
        <v>192</v>
      </c>
      <c r="D8949">
        <v>283.7</v>
      </c>
      <c r="E8949">
        <v>30.7</v>
      </c>
    </row>
    <row r="8950" spans="1:5" x14ac:dyDescent="0.2">
      <c r="A8950">
        <v>43860</v>
      </c>
      <c r="B8950">
        <v>40610</v>
      </c>
      <c r="C8950">
        <v>195</v>
      </c>
      <c r="D8950">
        <v>284.39999999999998</v>
      </c>
      <c r="E8950">
        <v>31.1</v>
      </c>
    </row>
    <row r="8951" spans="1:5" x14ac:dyDescent="0.2">
      <c r="A8951">
        <v>43880</v>
      </c>
      <c r="B8951">
        <v>40626</v>
      </c>
      <c r="C8951">
        <v>198</v>
      </c>
      <c r="D8951">
        <v>285</v>
      </c>
      <c r="E8951">
        <v>31.6</v>
      </c>
    </row>
    <row r="8952" spans="1:5" x14ac:dyDescent="0.2">
      <c r="A8952">
        <v>43900</v>
      </c>
      <c r="B8952">
        <v>40644</v>
      </c>
      <c r="C8952">
        <v>201</v>
      </c>
      <c r="D8952">
        <v>285.2</v>
      </c>
      <c r="E8952">
        <v>32.1</v>
      </c>
    </row>
    <row r="8953" spans="1:5" x14ac:dyDescent="0.2">
      <c r="A8953">
        <v>43920</v>
      </c>
      <c r="B8953">
        <v>40663</v>
      </c>
      <c r="C8953">
        <v>205</v>
      </c>
      <c r="D8953">
        <v>285.3</v>
      </c>
      <c r="E8953">
        <v>32.700000000000003</v>
      </c>
    </row>
    <row r="8954" spans="1:5" x14ac:dyDescent="0.2">
      <c r="A8954">
        <v>43940</v>
      </c>
      <c r="B8954">
        <v>40685</v>
      </c>
      <c r="C8954">
        <v>209</v>
      </c>
      <c r="D8954">
        <v>285</v>
      </c>
      <c r="E8954">
        <v>33.4</v>
      </c>
    </row>
    <row r="8955" spans="1:5" x14ac:dyDescent="0.2">
      <c r="A8955">
        <v>43960</v>
      </c>
      <c r="B8955">
        <v>40707</v>
      </c>
      <c r="C8955">
        <v>213</v>
      </c>
      <c r="D8955">
        <v>284.5</v>
      </c>
      <c r="E8955">
        <v>34</v>
      </c>
    </row>
    <row r="8956" spans="1:5" x14ac:dyDescent="0.2">
      <c r="A8956">
        <v>43980</v>
      </c>
      <c r="B8956">
        <v>40730</v>
      </c>
      <c r="C8956">
        <v>216</v>
      </c>
      <c r="D8956">
        <v>284</v>
      </c>
      <c r="E8956">
        <v>34.4</v>
      </c>
    </row>
    <row r="8957" spans="1:5" x14ac:dyDescent="0.2">
      <c r="A8957">
        <v>44000</v>
      </c>
      <c r="B8957">
        <v>40754</v>
      </c>
      <c r="C8957">
        <v>217</v>
      </c>
      <c r="D8957">
        <v>283.2</v>
      </c>
      <c r="E8957">
        <v>34.6</v>
      </c>
    </row>
    <row r="8958" spans="1:5" x14ac:dyDescent="0.2">
      <c r="A8958">
        <v>44020</v>
      </c>
      <c r="B8958">
        <v>40779</v>
      </c>
      <c r="C8958">
        <v>217</v>
      </c>
      <c r="D8958">
        <v>282.3</v>
      </c>
      <c r="E8958">
        <v>34.6</v>
      </c>
    </row>
    <row r="8959" spans="1:5" x14ac:dyDescent="0.2">
      <c r="A8959">
        <v>44040</v>
      </c>
      <c r="B8959">
        <v>40805</v>
      </c>
      <c r="C8959">
        <v>217</v>
      </c>
      <c r="D8959">
        <v>281.3</v>
      </c>
      <c r="E8959">
        <v>34.6</v>
      </c>
    </row>
    <row r="8960" spans="1:5" x14ac:dyDescent="0.2">
      <c r="A8960">
        <v>44060</v>
      </c>
      <c r="B8960">
        <v>40832</v>
      </c>
      <c r="C8960">
        <v>217</v>
      </c>
      <c r="D8960">
        <v>280.2</v>
      </c>
      <c r="E8960">
        <v>34.5</v>
      </c>
    </row>
    <row r="8961" spans="1:5" x14ac:dyDescent="0.2">
      <c r="A8961">
        <v>44080</v>
      </c>
      <c r="B8961">
        <v>40859</v>
      </c>
      <c r="C8961">
        <v>217</v>
      </c>
      <c r="D8961">
        <v>278.89999999999998</v>
      </c>
      <c r="E8961">
        <v>34.6</v>
      </c>
    </row>
    <row r="8962" spans="1:5" x14ac:dyDescent="0.2">
      <c r="A8962">
        <v>44100</v>
      </c>
      <c r="B8962">
        <v>40887</v>
      </c>
      <c r="C8962">
        <v>219</v>
      </c>
      <c r="D8962">
        <v>277.60000000000002</v>
      </c>
      <c r="E8962">
        <v>34.799999999999997</v>
      </c>
    </row>
    <row r="8963" spans="1:5" x14ac:dyDescent="0.2">
      <c r="A8963">
        <v>44120</v>
      </c>
      <c r="B8963">
        <v>40915</v>
      </c>
      <c r="C8963">
        <v>220</v>
      </c>
      <c r="D8963">
        <v>276.2</v>
      </c>
      <c r="E8963">
        <v>35</v>
      </c>
    </row>
    <row r="8964" spans="1:5" x14ac:dyDescent="0.2">
      <c r="A8964">
        <v>44140</v>
      </c>
      <c r="B8964">
        <v>40943</v>
      </c>
      <c r="C8964">
        <v>221</v>
      </c>
      <c r="D8964">
        <v>274.89999999999998</v>
      </c>
      <c r="E8964">
        <v>35</v>
      </c>
    </row>
    <row r="8965" spans="1:5" x14ac:dyDescent="0.2">
      <c r="A8965">
        <v>44160</v>
      </c>
      <c r="B8965">
        <v>40972</v>
      </c>
      <c r="C8965">
        <v>221</v>
      </c>
      <c r="D8965">
        <v>273.39999999999998</v>
      </c>
      <c r="E8965">
        <v>35</v>
      </c>
    </row>
    <row r="8966" spans="1:5" x14ac:dyDescent="0.2">
      <c r="A8966">
        <v>44180</v>
      </c>
      <c r="B8966">
        <v>41000</v>
      </c>
      <c r="C8966">
        <v>220</v>
      </c>
      <c r="D8966">
        <v>272</v>
      </c>
      <c r="E8966">
        <v>34.799999999999997</v>
      </c>
    </row>
    <row r="8967" spans="1:5" x14ac:dyDescent="0.2">
      <c r="A8967">
        <v>44200</v>
      </c>
      <c r="B8967">
        <v>41028</v>
      </c>
      <c r="C8967">
        <v>218</v>
      </c>
      <c r="D8967">
        <v>270.5</v>
      </c>
      <c r="E8967">
        <v>34.4</v>
      </c>
    </row>
    <row r="8968" spans="1:5" x14ac:dyDescent="0.2">
      <c r="A8968">
        <v>44220</v>
      </c>
      <c r="B8968">
        <v>41058</v>
      </c>
      <c r="C8968">
        <v>216</v>
      </c>
      <c r="D8968">
        <v>269</v>
      </c>
      <c r="E8968">
        <v>34</v>
      </c>
    </row>
    <row r="8969" spans="1:5" x14ac:dyDescent="0.2">
      <c r="A8969">
        <v>44240</v>
      </c>
      <c r="B8969">
        <v>41088</v>
      </c>
      <c r="C8969">
        <v>214</v>
      </c>
      <c r="D8969">
        <v>267.2</v>
      </c>
      <c r="E8969">
        <v>33.6</v>
      </c>
    </row>
    <row r="8970" spans="1:5" x14ac:dyDescent="0.2">
      <c r="A8970">
        <v>44260</v>
      </c>
      <c r="B8970">
        <v>41119</v>
      </c>
      <c r="C8970">
        <v>212</v>
      </c>
      <c r="D8970">
        <v>265.39999999999998</v>
      </c>
      <c r="E8970">
        <v>33.4</v>
      </c>
    </row>
    <row r="8971" spans="1:5" x14ac:dyDescent="0.2">
      <c r="A8971">
        <v>44280</v>
      </c>
      <c r="B8971">
        <v>41152</v>
      </c>
      <c r="C8971">
        <v>211</v>
      </c>
      <c r="D8971">
        <v>263.3</v>
      </c>
      <c r="E8971">
        <v>33.200000000000003</v>
      </c>
    </row>
    <row r="8972" spans="1:5" x14ac:dyDescent="0.2">
      <c r="A8972">
        <v>44300</v>
      </c>
      <c r="B8972">
        <v>41187</v>
      </c>
      <c r="C8972">
        <v>210</v>
      </c>
      <c r="D8972">
        <v>260.8</v>
      </c>
      <c r="E8972">
        <v>33</v>
      </c>
    </row>
    <row r="8973" spans="1:5" x14ac:dyDescent="0.2">
      <c r="A8973">
        <v>44320</v>
      </c>
      <c r="B8973">
        <v>41222</v>
      </c>
      <c r="C8973">
        <v>209</v>
      </c>
      <c r="D8973">
        <v>258.3</v>
      </c>
      <c r="E8973">
        <v>32.700000000000003</v>
      </c>
    </row>
    <row r="8974" spans="1:5" x14ac:dyDescent="0.2">
      <c r="A8974">
        <v>44340</v>
      </c>
      <c r="B8974">
        <v>41261</v>
      </c>
      <c r="C8974">
        <v>207</v>
      </c>
      <c r="D8974">
        <v>255.4</v>
      </c>
      <c r="E8974">
        <v>32.4</v>
      </c>
    </row>
    <row r="8975" spans="1:5" x14ac:dyDescent="0.2">
      <c r="A8975">
        <v>44360</v>
      </c>
      <c r="B8975">
        <v>41301</v>
      </c>
      <c r="C8975">
        <v>205</v>
      </c>
      <c r="D8975">
        <v>252.2</v>
      </c>
      <c r="E8975">
        <v>32</v>
      </c>
    </row>
    <row r="8976" spans="1:5" x14ac:dyDescent="0.2">
      <c r="A8976">
        <v>44380</v>
      </c>
      <c r="B8976">
        <v>41342</v>
      </c>
      <c r="C8976">
        <v>204</v>
      </c>
      <c r="D8976">
        <v>248.8</v>
      </c>
      <c r="E8976">
        <v>31.6</v>
      </c>
    </row>
    <row r="8977" spans="1:5" x14ac:dyDescent="0.2">
      <c r="A8977">
        <v>44400</v>
      </c>
      <c r="B8977">
        <v>41384</v>
      </c>
      <c r="C8977">
        <v>203</v>
      </c>
      <c r="D8977">
        <v>245.3</v>
      </c>
      <c r="E8977">
        <v>31.4</v>
      </c>
    </row>
    <row r="8978" spans="1:5" x14ac:dyDescent="0.2">
      <c r="A8978">
        <v>44420</v>
      </c>
      <c r="B8978">
        <v>41428</v>
      </c>
      <c r="C8978">
        <v>203</v>
      </c>
      <c r="D8978">
        <v>241.5</v>
      </c>
      <c r="E8978">
        <v>31.4</v>
      </c>
    </row>
    <row r="8979" spans="1:5" x14ac:dyDescent="0.2">
      <c r="A8979">
        <v>44440</v>
      </c>
      <c r="B8979">
        <v>41473</v>
      </c>
      <c r="C8979">
        <v>205</v>
      </c>
      <c r="D8979">
        <v>237.5</v>
      </c>
      <c r="E8979">
        <v>31.6</v>
      </c>
    </row>
    <row r="8980" spans="1:5" x14ac:dyDescent="0.2">
      <c r="A8980">
        <v>44460</v>
      </c>
      <c r="B8980">
        <v>41518</v>
      </c>
      <c r="C8980">
        <v>206</v>
      </c>
      <c r="D8980">
        <v>233.5</v>
      </c>
      <c r="E8980">
        <v>31.6</v>
      </c>
    </row>
    <row r="8981" spans="1:5" x14ac:dyDescent="0.2">
      <c r="A8981">
        <v>44480</v>
      </c>
      <c r="B8981">
        <v>41564</v>
      </c>
      <c r="C8981">
        <v>206</v>
      </c>
      <c r="D8981">
        <v>229.4</v>
      </c>
      <c r="E8981">
        <v>31.5</v>
      </c>
    </row>
    <row r="8982" spans="1:5" x14ac:dyDescent="0.2">
      <c r="A8982">
        <v>44500</v>
      </c>
      <c r="B8982">
        <v>41611</v>
      </c>
      <c r="C8982">
        <v>206</v>
      </c>
      <c r="D8982">
        <v>225.3</v>
      </c>
      <c r="E8982">
        <v>31.4</v>
      </c>
    </row>
    <row r="8983" spans="1:5" x14ac:dyDescent="0.2">
      <c r="A8983">
        <v>44520</v>
      </c>
      <c r="B8983">
        <v>41659</v>
      </c>
      <c r="C8983">
        <v>204</v>
      </c>
      <c r="D8983">
        <v>221</v>
      </c>
      <c r="E8983">
        <v>31</v>
      </c>
    </row>
    <row r="8984" spans="1:5" x14ac:dyDescent="0.2">
      <c r="A8984">
        <v>44540</v>
      </c>
      <c r="B8984">
        <v>41705</v>
      </c>
      <c r="C8984">
        <v>202</v>
      </c>
      <c r="D8984">
        <v>216.9</v>
      </c>
      <c r="E8984">
        <v>30.6</v>
      </c>
    </row>
    <row r="8985" spans="1:5" x14ac:dyDescent="0.2">
      <c r="A8985">
        <v>44560</v>
      </c>
      <c r="B8985">
        <v>41753</v>
      </c>
      <c r="C8985">
        <v>201</v>
      </c>
      <c r="D8985">
        <v>212.6</v>
      </c>
      <c r="E8985">
        <v>30.4</v>
      </c>
    </row>
    <row r="8986" spans="1:5" x14ac:dyDescent="0.2">
      <c r="A8986">
        <v>44580</v>
      </c>
      <c r="B8986">
        <v>41798</v>
      </c>
      <c r="C8986">
        <v>202</v>
      </c>
      <c r="D8986">
        <v>208.7</v>
      </c>
      <c r="E8986">
        <v>30.3</v>
      </c>
    </row>
    <row r="8987" spans="1:5" x14ac:dyDescent="0.2">
      <c r="A8987">
        <v>44600</v>
      </c>
      <c r="B8987">
        <v>41845</v>
      </c>
      <c r="C8987">
        <v>202</v>
      </c>
      <c r="D8987">
        <v>204.6</v>
      </c>
      <c r="E8987">
        <v>30.3</v>
      </c>
    </row>
    <row r="8988" spans="1:5" x14ac:dyDescent="0.2">
      <c r="A8988">
        <v>44620</v>
      </c>
      <c r="B8988">
        <v>41889</v>
      </c>
      <c r="C8988">
        <v>205</v>
      </c>
      <c r="D8988">
        <v>200.8</v>
      </c>
      <c r="E8988">
        <v>30.7</v>
      </c>
    </row>
    <row r="8989" spans="1:5" x14ac:dyDescent="0.2">
      <c r="A8989">
        <v>44640</v>
      </c>
      <c r="B8989">
        <v>41933</v>
      </c>
      <c r="C8989">
        <v>209</v>
      </c>
      <c r="D8989">
        <v>197.2</v>
      </c>
      <c r="E8989">
        <v>31.1</v>
      </c>
    </row>
    <row r="8990" spans="1:5" x14ac:dyDescent="0.2">
      <c r="A8990">
        <v>44660</v>
      </c>
      <c r="B8990">
        <v>41975</v>
      </c>
      <c r="C8990">
        <v>212</v>
      </c>
      <c r="D8990">
        <v>193.9</v>
      </c>
      <c r="E8990">
        <v>31.5</v>
      </c>
    </row>
    <row r="8991" spans="1:5" x14ac:dyDescent="0.2">
      <c r="A8991">
        <v>44680</v>
      </c>
      <c r="B8991">
        <v>42015</v>
      </c>
      <c r="C8991">
        <v>215</v>
      </c>
      <c r="D8991">
        <v>190.8</v>
      </c>
      <c r="E8991">
        <v>31.8</v>
      </c>
    </row>
    <row r="8992" spans="1:5" x14ac:dyDescent="0.2">
      <c r="A8992">
        <v>44700</v>
      </c>
      <c r="B8992">
        <v>42054</v>
      </c>
      <c r="C8992">
        <v>216</v>
      </c>
      <c r="D8992">
        <v>187.9</v>
      </c>
      <c r="E8992">
        <v>32</v>
      </c>
    </row>
    <row r="8993" spans="1:5" x14ac:dyDescent="0.2">
      <c r="A8993">
        <v>44720</v>
      </c>
      <c r="B8993">
        <v>42091</v>
      </c>
      <c r="C8993">
        <v>217</v>
      </c>
      <c r="D8993">
        <v>185.4</v>
      </c>
      <c r="E8993">
        <v>32</v>
      </c>
    </row>
    <row r="8994" spans="1:5" x14ac:dyDescent="0.2">
      <c r="A8994">
        <v>44740</v>
      </c>
      <c r="B8994">
        <v>42126</v>
      </c>
      <c r="C8994">
        <v>217</v>
      </c>
      <c r="D8994">
        <v>183.1</v>
      </c>
      <c r="E8994">
        <v>31.9</v>
      </c>
    </row>
    <row r="8995" spans="1:5" x14ac:dyDescent="0.2">
      <c r="A8995">
        <v>44760</v>
      </c>
      <c r="B8995">
        <v>42160</v>
      </c>
      <c r="C8995">
        <v>217</v>
      </c>
      <c r="D8995">
        <v>181</v>
      </c>
      <c r="E8995">
        <v>31.9</v>
      </c>
    </row>
    <row r="8996" spans="1:5" x14ac:dyDescent="0.2">
      <c r="A8996">
        <v>44780</v>
      </c>
      <c r="B8996">
        <v>42192</v>
      </c>
      <c r="C8996">
        <v>218</v>
      </c>
      <c r="D8996">
        <v>179.1</v>
      </c>
      <c r="E8996">
        <v>31.9</v>
      </c>
    </row>
    <row r="8997" spans="1:5" x14ac:dyDescent="0.2">
      <c r="A8997">
        <v>44800</v>
      </c>
      <c r="B8997">
        <v>42223</v>
      </c>
      <c r="C8997">
        <v>219</v>
      </c>
      <c r="D8997">
        <v>177.4</v>
      </c>
      <c r="E8997">
        <v>32.1</v>
      </c>
    </row>
    <row r="8998" spans="1:5" x14ac:dyDescent="0.2">
      <c r="A8998">
        <v>44820</v>
      </c>
      <c r="B8998">
        <v>42253</v>
      </c>
      <c r="C8998">
        <v>221</v>
      </c>
      <c r="D8998">
        <v>175.9</v>
      </c>
      <c r="E8998">
        <v>32.4</v>
      </c>
    </row>
    <row r="8999" spans="1:5" x14ac:dyDescent="0.2">
      <c r="A8999">
        <v>44840</v>
      </c>
      <c r="B8999">
        <v>42282</v>
      </c>
      <c r="C8999">
        <v>223</v>
      </c>
      <c r="D8999">
        <v>174.5</v>
      </c>
      <c r="E8999">
        <v>32.6</v>
      </c>
    </row>
    <row r="9000" spans="1:5" x14ac:dyDescent="0.2">
      <c r="A9000">
        <v>44860</v>
      </c>
      <c r="B9000">
        <v>42310</v>
      </c>
      <c r="C9000">
        <v>226</v>
      </c>
      <c r="D9000">
        <v>173.2</v>
      </c>
      <c r="E9000">
        <v>33</v>
      </c>
    </row>
    <row r="9001" spans="1:5" x14ac:dyDescent="0.2">
      <c r="A9001">
        <v>44880</v>
      </c>
      <c r="B9001">
        <v>42338</v>
      </c>
      <c r="C9001">
        <v>228</v>
      </c>
      <c r="D9001">
        <v>172.1</v>
      </c>
      <c r="E9001">
        <v>33.299999999999997</v>
      </c>
    </row>
    <row r="9002" spans="1:5" x14ac:dyDescent="0.2">
      <c r="A9002">
        <v>44900</v>
      </c>
      <c r="B9002">
        <v>42365</v>
      </c>
      <c r="C9002">
        <v>230</v>
      </c>
      <c r="D9002">
        <v>170.8</v>
      </c>
      <c r="E9002">
        <v>33.5</v>
      </c>
    </row>
    <row r="9003" spans="1:5" x14ac:dyDescent="0.2">
      <c r="A9003">
        <v>44920</v>
      </c>
      <c r="B9003">
        <v>42392</v>
      </c>
      <c r="C9003">
        <v>229</v>
      </c>
      <c r="D9003">
        <v>169.8</v>
      </c>
      <c r="E9003">
        <v>33.299999999999997</v>
      </c>
    </row>
    <row r="9004" spans="1:5" x14ac:dyDescent="0.2">
      <c r="A9004">
        <v>44940</v>
      </c>
      <c r="B9004">
        <v>42419</v>
      </c>
      <c r="C9004">
        <v>227</v>
      </c>
      <c r="D9004">
        <v>168.6</v>
      </c>
      <c r="E9004">
        <v>33</v>
      </c>
    </row>
    <row r="9005" spans="1:5" x14ac:dyDescent="0.2">
      <c r="A9005">
        <v>44960</v>
      </c>
      <c r="B9005">
        <v>42446</v>
      </c>
      <c r="C9005">
        <v>224</v>
      </c>
      <c r="D9005">
        <v>167.6</v>
      </c>
      <c r="E9005">
        <v>32.5</v>
      </c>
    </row>
    <row r="9006" spans="1:5" x14ac:dyDescent="0.2">
      <c r="A9006">
        <v>44980</v>
      </c>
      <c r="B9006">
        <v>42472</v>
      </c>
      <c r="C9006">
        <v>220</v>
      </c>
      <c r="D9006">
        <v>166.7</v>
      </c>
      <c r="E9006">
        <v>32</v>
      </c>
    </row>
    <row r="9007" spans="1:5" x14ac:dyDescent="0.2">
      <c r="A9007">
        <v>45000</v>
      </c>
      <c r="B9007">
        <v>42497</v>
      </c>
      <c r="C9007">
        <v>218</v>
      </c>
      <c r="D9007">
        <v>165.7</v>
      </c>
      <c r="E9007">
        <v>31.5</v>
      </c>
    </row>
    <row r="9008" spans="1:5" x14ac:dyDescent="0.2">
      <c r="A9008">
        <v>45020</v>
      </c>
      <c r="B9008">
        <v>42522</v>
      </c>
      <c r="C9008">
        <v>215</v>
      </c>
      <c r="D9008">
        <v>164.9</v>
      </c>
      <c r="E9008">
        <v>31.1</v>
      </c>
    </row>
    <row r="9009" spans="1:5" x14ac:dyDescent="0.2">
      <c r="A9009">
        <v>45040</v>
      </c>
      <c r="B9009">
        <v>42548</v>
      </c>
      <c r="C9009">
        <v>214</v>
      </c>
      <c r="D9009">
        <v>164.1</v>
      </c>
      <c r="E9009">
        <v>31</v>
      </c>
    </row>
    <row r="9010" spans="1:5" x14ac:dyDescent="0.2">
      <c r="A9010">
        <v>45060</v>
      </c>
      <c r="B9010">
        <v>42572</v>
      </c>
      <c r="C9010">
        <v>213</v>
      </c>
      <c r="D9010">
        <v>163.30000000000001</v>
      </c>
      <c r="E9010">
        <v>30.8</v>
      </c>
    </row>
    <row r="9011" spans="1:5" x14ac:dyDescent="0.2">
      <c r="A9011">
        <v>45080</v>
      </c>
      <c r="B9011">
        <v>42596</v>
      </c>
      <c r="C9011">
        <v>213</v>
      </c>
      <c r="D9011">
        <v>162.69999999999999</v>
      </c>
      <c r="E9011">
        <v>30.8</v>
      </c>
    </row>
    <row r="9012" spans="1:5" x14ac:dyDescent="0.2">
      <c r="A9012">
        <v>45100</v>
      </c>
      <c r="B9012">
        <v>42618</v>
      </c>
      <c r="C9012">
        <v>213</v>
      </c>
      <c r="D9012">
        <v>162.30000000000001</v>
      </c>
      <c r="E9012">
        <v>30.8</v>
      </c>
    </row>
    <row r="9013" spans="1:5" x14ac:dyDescent="0.2">
      <c r="A9013">
        <v>45120</v>
      </c>
      <c r="B9013">
        <v>42641</v>
      </c>
      <c r="C9013">
        <v>214</v>
      </c>
      <c r="D9013">
        <v>161.80000000000001</v>
      </c>
      <c r="E9013">
        <v>30.9</v>
      </c>
    </row>
    <row r="9014" spans="1:5" x14ac:dyDescent="0.2">
      <c r="A9014">
        <v>45140</v>
      </c>
      <c r="B9014">
        <v>42663</v>
      </c>
      <c r="C9014">
        <v>213</v>
      </c>
      <c r="D9014">
        <v>161.4</v>
      </c>
      <c r="E9014">
        <v>30.8</v>
      </c>
    </row>
    <row r="9015" spans="1:5" x14ac:dyDescent="0.2">
      <c r="A9015">
        <v>45160</v>
      </c>
      <c r="B9015">
        <v>42684</v>
      </c>
      <c r="C9015">
        <v>211</v>
      </c>
      <c r="D9015">
        <v>161.1</v>
      </c>
      <c r="E9015">
        <v>30.5</v>
      </c>
    </row>
    <row r="9016" spans="1:5" x14ac:dyDescent="0.2">
      <c r="A9016">
        <v>45180</v>
      </c>
      <c r="B9016">
        <v>42705</v>
      </c>
      <c r="C9016">
        <v>209</v>
      </c>
      <c r="D9016">
        <v>161</v>
      </c>
      <c r="E9016">
        <v>30.2</v>
      </c>
    </row>
    <row r="9017" spans="1:5" x14ac:dyDescent="0.2">
      <c r="A9017">
        <v>45200</v>
      </c>
      <c r="B9017">
        <v>42724</v>
      </c>
      <c r="C9017">
        <v>207</v>
      </c>
      <c r="D9017">
        <v>160.9</v>
      </c>
      <c r="E9017">
        <v>29.8</v>
      </c>
    </row>
    <row r="9018" spans="1:5" x14ac:dyDescent="0.2">
      <c r="A9018">
        <v>45220</v>
      </c>
      <c r="B9018">
        <v>42743</v>
      </c>
      <c r="C9018">
        <v>205</v>
      </c>
      <c r="D9018">
        <v>161</v>
      </c>
      <c r="E9018">
        <v>29.6</v>
      </c>
    </row>
    <row r="9019" spans="1:5" x14ac:dyDescent="0.2">
      <c r="A9019">
        <v>45240</v>
      </c>
      <c r="B9019">
        <v>42764</v>
      </c>
      <c r="C9019">
        <v>204</v>
      </c>
      <c r="D9019">
        <v>160.9</v>
      </c>
      <c r="E9019">
        <v>29.5</v>
      </c>
    </row>
    <row r="9020" spans="1:5" x14ac:dyDescent="0.2">
      <c r="A9020">
        <v>45260</v>
      </c>
      <c r="B9020">
        <v>42784</v>
      </c>
      <c r="C9020">
        <v>206</v>
      </c>
      <c r="D9020">
        <v>160.80000000000001</v>
      </c>
      <c r="E9020">
        <v>29.7</v>
      </c>
    </row>
    <row r="9021" spans="1:5" x14ac:dyDescent="0.2">
      <c r="A9021">
        <v>45280</v>
      </c>
      <c r="B9021">
        <v>42805</v>
      </c>
      <c r="C9021">
        <v>208</v>
      </c>
      <c r="D9021">
        <v>160.5</v>
      </c>
      <c r="E9021">
        <v>30</v>
      </c>
    </row>
    <row r="9022" spans="1:5" x14ac:dyDescent="0.2">
      <c r="A9022">
        <v>45300</v>
      </c>
      <c r="B9022">
        <v>42826</v>
      </c>
      <c r="C9022">
        <v>211</v>
      </c>
      <c r="D9022">
        <v>160.30000000000001</v>
      </c>
      <c r="E9022">
        <v>30.4</v>
      </c>
    </row>
    <row r="9023" spans="1:5" x14ac:dyDescent="0.2">
      <c r="A9023">
        <v>45320</v>
      </c>
      <c r="B9023">
        <v>42850</v>
      </c>
      <c r="C9023">
        <v>215</v>
      </c>
      <c r="D9023">
        <v>159.69999999999999</v>
      </c>
      <c r="E9023">
        <v>30.9</v>
      </c>
    </row>
    <row r="9024" spans="1:5" x14ac:dyDescent="0.2">
      <c r="A9024">
        <v>45340</v>
      </c>
      <c r="B9024">
        <v>42873</v>
      </c>
      <c r="C9024">
        <v>217</v>
      </c>
      <c r="D9024">
        <v>159.19999999999999</v>
      </c>
      <c r="E9024">
        <v>31.3</v>
      </c>
    </row>
    <row r="9025" spans="1:5" x14ac:dyDescent="0.2">
      <c r="A9025">
        <v>45360</v>
      </c>
      <c r="B9025">
        <v>42899</v>
      </c>
      <c r="C9025">
        <v>218</v>
      </c>
      <c r="D9025">
        <v>158.19999999999999</v>
      </c>
      <c r="E9025">
        <v>31.4</v>
      </c>
    </row>
    <row r="9026" spans="1:5" x14ac:dyDescent="0.2">
      <c r="A9026">
        <v>45380</v>
      </c>
      <c r="B9026">
        <v>42927</v>
      </c>
      <c r="C9026">
        <v>218</v>
      </c>
      <c r="D9026">
        <v>157</v>
      </c>
      <c r="E9026">
        <v>31.3</v>
      </c>
    </row>
    <row r="9027" spans="1:5" x14ac:dyDescent="0.2">
      <c r="A9027">
        <v>45400</v>
      </c>
      <c r="B9027">
        <v>42954</v>
      </c>
      <c r="C9027">
        <v>217</v>
      </c>
      <c r="D9027">
        <v>155.9</v>
      </c>
      <c r="E9027">
        <v>31.1</v>
      </c>
    </row>
    <row r="9028" spans="1:5" x14ac:dyDescent="0.2">
      <c r="A9028">
        <v>45420</v>
      </c>
      <c r="B9028">
        <v>42983</v>
      </c>
      <c r="C9028">
        <v>217</v>
      </c>
      <c r="D9028">
        <v>154.6</v>
      </c>
      <c r="E9028">
        <v>31.1</v>
      </c>
    </row>
    <row r="9029" spans="1:5" x14ac:dyDescent="0.2">
      <c r="A9029">
        <v>45440</v>
      </c>
      <c r="B9029">
        <v>43012</v>
      </c>
      <c r="C9029">
        <v>216</v>
      </c>
      <c r="D9029">
        <v>153.1</v>
      </c>
      <c r="E9029">
        <v>31</v>
      </c>
    </row>
    <row r="9030" spans="1:5" x14ac:dyDescent="0.2">
      <c r="A9030">
        <v>45460</v>
      </c>
      <c r="B9030">
        <v>43040</v>
      </c>
      <c r="C9030">
        <v>216</v>
      </c>
      <c r="D9030">
        <v>151.9</v>
      </c>
      <c r="E9030">
        <v>30.9</v>
      </c>
    </row>
    <row r="9031" spans="1:5" x14ac:dyDescent="0.2">
      <c r="A9031">
        <v>45480</v>
      </c>
      <c r="B9031">
        <v>43069</v>
      </c>
      <c r="C9031">
        <v>217</v>
      </c>
      <c r="D9031">
        <v>150.5</v>
      </c>
      <c r="E9031">
        <v>31.1</v>
      </c>
    </row>
    <row r="9032" spans="1:5" x14ac:dyDescent="0.2">
      <c r="A9032">
        <v>45500</v>
      </c>
      <c r="B9032">
        <v>43096</v>
      </c>
      <c r="C9032">
        <v>219</v>
      </c>
      <c r="D9032">
        <v>149.4</v>
      </c>
      <c r="E9032">
        <v>31.2</v>
      </c>
    </row>
    <row r="9033" spans="1:5" x14ac:dyDescent="0.2">
      <c r="A9033">
        <v>45520</v>
      </c>
      <c r="B9033">
        <v>43123</v>
      </c>
      <c r="C9033">
        <v>220</v>
      </c>
      <c r="D9033">
        <v>148.30000000000001</v>
      </c>
      <c r="E9033">
        <v>31.4</v>
      </c>
    </row>
    <row r="9034" spans="1:5" x14ac:dyDescent="0.2">
      <c r="A9034">
        <v>45540</v>
      </c>
      <c r="B9034">
        <v>43150</v>
      </c>
      <c r="C9034">
        <v>221</v>
      </c>
      <c r="D9034">
        <v>147.4</v>
      </c>
      <c r="E9034">
        <v>31.5</v>
      </c>
    </row>
    <row r="9035" spans="1:5" x14ac:dyDescent="0.2">
      <c r="A9035">
        <v>45560</v>
      </c>
      <c r="B9035">
        <v>43172</v>
      </c>
      <c r="C9035">
        <v>221</v>
      </c>
      <c r="D9035">
        <v>146.9</v>
      </c>
      <c r="E9035">
        <v>31.5</v>
      </c>
    </row>
    <row r="9036" spans="1:5" x14ac:dyDescent="0.2">
      <c r="A9036">
        <v>45580</v>
      </c>
      <c r="B9036">
        <v>43194</v>
      </c>
      <c r="C9036">
        <v>220</v>
      </c>
      <c r="D9036">
        <v>146.5</v>
      </c>
      <c r="E9036">
        <v>31.4</v>
      </c>
    </row>
    <row r="9037" spans="1:5" x14ac:dyDescent="0.2">
      <c r="A9037">
        <v>45600</v>
      </c>
      <c r="B9037">
        <v>43215</v>
      </c>
      <c r="C9037">
        <v>219</v>
      </c>
      <c r="D9037">
        <v>146.4</v>
      </c>
      <c r="E9037">
        <v>31.2</v>
      </c>
    </row>
    <row r="9038" spans="1:5" x14ac:dyDescent="0.2">
      <c r="A9038">
        <v>45620</v>
      </c>
      <c r="B9038">
        <v>43233</v>
      </c>
      <c r="C9038">
        <v>217</v>
      </c>
      <c r="D9038">
        <v>146.5</v>
      </c>
      <c r="E9038">
        <v>31</v>
      </c>
    </row>
    <row r="9039" spans="1:5" x14ac:dyDescent="0.2">
      <c r="A9039">
        <v>45640</v>
      </c>
      <c r="B9039">
        <v>43251</v>
      </c>
      <c r="C9039">
        <v>218</v>
      </c>
      <c r="D9039">
        <v>146.80000000000001</v>
      </c>
      <c r="E9039">
        <v>31</v>
      </c>
    </row>
    <row r="9040" spans="1:5" x14ac:dyDescent="0.2">
      <c r="A9040">
        <v>45660</v>
      </c>
      <c r="B9040">
        <v>43268</v>
      </c>
      <c r="C9040">
        <v>218</v>
      </c>
      <c r="D9040">
        <v>147.19999999999999</v>
      </c>
      <c r="E9040">
        <v>31.1</v>
      </c>
    </row>
    <row r="9041" spans="1:5" x14ac:dyDescent="0.2">
      <c r="A9041">
        <v>45680</v>
      </c>
      <c r="B9041">
        <v>43285</v>
      </c>
      <c r="C9041">
        <v>219</v>
      </c>
      <c r="D9041">
        <v>147.5</v>
      </c>
      <c r="E9041">
        <v>31.3</v>
      </c>
    </row>
    <row r="9042" spans="1:5" x14ac:dyDescent="0.2">
      <c r="A9042">
        <v>45700</v>
      </c>
      <c r="B9042">
        <v>43301</v>
      </c>
      <c r="C9042">
        <v>222</v>
      </c>
      <c r="D9042">
        <v>147.9</v>
      </c>
      <c r="E9042">
        <v>31.7</v>
      </c>
    </row>
    <row r="9043" spans="1:5" x14ac:dyDescent="0.2">
      <c r="A9043">
        <v>45720</v>
      </c>
      <c r="B9043">
        <v>43318</v>
      </c>
      <c r="C9043">
        <v>224</v>
      </c>
      <c r="D9043">
        <v>148.30000000000001</v>
      </c>
      <c r="E9043">
        <v>32</v>
      </c>
    </row>
    <row r="9044" spans="1:5" x14ac:dyDescent="0.2">
      <c r="A9044">
        <v>45740</v>
      </c>
      <c r="B9044">
        <v>43336</v>
      </c>
      <c r="C9044">
        <v>225</v>
      </c>
      <c r="D9044">
        <v>148.5</v>
      </c>
      <c r="E9044">
        <v>32.200000000000003</v>
      </c>
    </row>
    <row r="9045" spans="1:5" x14ac:dyDescent="0.2">
      <c r="A9045">
        <v>45760</v>
      </c>
      <c r="B9045">
        <v>43354</v>
      </c>
      <c r="C9045">
        <v>227</v>
      </c>
      <c r="D9045">
        <v>148.69999999999999</v>
      </c>
      <c r="E9045">
        <v>32.4</v>
      </c>
    </row>
    <row r="9046" spans="1:5" x14ac:dyDescent="0.2">
      <c r="A9046">
        <v>45780</v>
      </c>
      <c r="B9046">
        <v>43373</v>
      </c>
      <c r="C9046">
        <v>226</v>
      </c>
      <c r="D9046">
        <v>148.80000000000001</v>
      </c>
      <c r="E9046">
        <v>32.299999999999997</v>
      </c>
    </row>
    <row r="9047" spans="1:5" x14ac:dyDescent="0.2">
      <c r="A9047">
        <v>45800</v>
      </c>
      <c r="B9047">
        <v>43394</v>
      </c>
      <c r="C9047">
        <v>225</v>
      </c>
      <c r="D9047">
        <v>148.6</v>
      </c>
      <c r="E9047">
        <v>32.1</v>
      </c>
    </row>
    <row r="9048" spans="1:5" x14ac:dyDescent="0.2">
      <c r="A9048">
        <v>45820</v>
      </c>
      <c r="B9048">
        <v>43417</v>
      </c>
      <c r="C9048">
        <v>225</v>
      </c>
      <c r="D9048">
        <v>148.1</v>
      </c>
      <c r="E9048">
        <v>32.1</v>
      </c>
    </row>
    <row r="9049" spans="1:5" x14ac:dyDescent="0.2">
      <c r="A9049">
        <v>45840</v>
      </c>
      <c r="B9049">
        <v>43442</v>
      </c>
      <c r="C9049">
        <v>224</v>
      </c>
      <c r="D9049">
        <v>147.30000000000001</v>
      </c>
      <c r="E9049">
        <v>32</v>
      </c>
    </row>
    <row r="9050" spans="1:5" x14ac:dyDescent="0.2">
      <c r="A9050">
        <v>45860</v>
      </c>
      <c r="B9050">
        <v>43469</v>
      </c>
      <c r="C9050">
        <v>226</v>
      </c>
      <c r="D9050">
        <v>146.1</v>
      </c>
      <c r="E9050">
        <v>32.200000000000003</v>
      </c>
    </row>
    <row r="9051" spans="1:5" x14ac:dyDescent="0.2">
      <c r="A9051">
        <v>45880</v>
      </c>
      <c r="B9051">
        <v>43501</v>
      </c>
      <c r="C9051">
        <v>226</v>
      </c>
      <c r="D9051">
        <v>144.4</v>
      </c>
      <c r="E9051">
        <v>32.200000000000003</v>
      </c>
    </row>
    <row r="9052" spans="1:5" x14ac:dyDescent="0.2">
      <c r="A9052">
        <v>45900</v>
      </c>
      <c r="B9052">
        <v>43537</v>
      </c>
      <c r="C9052">
        <v>229</v>
      </c>
      <c r="D9052">
        <v>142.1</v>
      </c>
      <c r="E9052">
        <v>32.5</v>
      </c>
    </row>
    <row r="9053" spans="1:5" x14ac:dyDescent="0.2">
      <c r="A9053">
        <v>45920</v>
      </c>
      <c r="B9053">
        <v>43574</v>
      </c>
      <c r="C9053">
        <v>229</v>
      </c>
      <c r="D9053">
        <v>139.6</v>
      </c>
      <c r="E9053">
        <v>32.4</v>
      </c>
    </row>
    <row r="9054" spans="1:5" x14ac:dyDescent="0.2">
      <c r="A9054">
        <v>45940</v>
      </c>
      <c r="B9054">
        <v>43615</v>
      </c>
      <c r="C9054">
        <v>229</v>
      </c>
      <c r="D9054">
        <v>136.5</v>
      </c>
      <c r="E9054">
        <v>32.4</v>
      </c>
    </row>
    <row r="9055" spans="1:5" x14ac:dyDescent="0.2">
      <c r="A9055">
        <v>45960</v>
      </c>
      <c r="B9055">
        <v>43657</v>
      </c>
      <c r="C9055">
        <v>231</v>
      </c>
      <c r="D9055">
        <v>133.30000000000001</v>
      </c>
      <c r="E9055">
        <v>32.6</v>
      </c>
    </row>
    <row r="9056" spans="1:5" x14ac:dyDescent="0.2">
      <c r="A9056">
        <v>45980</v>
      </c>
      <c r="B9056">
        <v>43701</v>
      </c>
      <c r="C9056">
        <v>234</v>
      </c>
      <c r="D9056">
        <v>129.80000000000001</v>
      </c>
      <c r="E9056">
        <v>32.9</v>
      </c>
    </row>
    <row r="9057" spans="1:5" x14ac:dyDescent="0.2">
      <c r="A9057">
        <v>46000</v>
      </c>
      <c r="B9057">
        <v>43745</v>
      </c>
      <c r="C9057">
        <v>237</v>
      </c>
      <c r="D9057">
        <v>126.5</v>
      </c>
      <c r="E9057">
        <v>33.200000000000003</v>
      </c>
    </row>
    <row r="9058" spans="1:5" x14ac:dyDescent="0.2">
      <c r="A9058">
        <v>46020</v>
      </c>
      <c r="B9058">
        <v>43790</v>
      </c>
      <c r="C9058">
        <v>242</v>
      </c>
      <c r="D9058">
        <v>122.8</v>
      </c>
      <c r="E9058">
        <v>33.799999999999997</v>
      </c>
    </row>
    <row r="9059" spans="1:5" x14ac:dyDescent="0.2">
      <c r="A9059">
        <v>46040</v>
      </c>
      <c r="B9059">
        <v>43834</v>
      </c>
      <c r="C9059">
        <v>247</v>
      </c>
      <c r="D9059">
        <v>119.5</v>
      </c>
      <c r="E9059">
        <v>34.4</v>
      </c>
    </row>
    <row r="9060" spans="1:5" x14ac:dyDescent="0.2">
      <c r="A9060">
        <v>46060</v>
      </c>
      <c r="B9060">
        <v>43876</v>
      </c>
      <c r="C9060">
        <v>251</v>
      </c>
      <c r="D9060">
        <v>116.3</v>
      </c>
      <c r="E9060">
        <v>34.799999999999997</v>
      </c>
    </row>
    <row r="9061" spans="1:5" x14ac:dyDescent="0.2">
      <c r="A9061">
        <v>46080</v>
      </c>
      <c r="B9061">
        <v>43917</v>
      </c>
      <c r="C9061">
        <v>253</v>
      </c>
      <c r="D9061">
        <v>113.3</v>
      </c>
      <c r="E9061">
        <v>35</v>
      </c>
    </row>
    <row r="9062" spans="1:5" x14ac:dyDescent="0.2">
      <c r="A9062">
        <v>46100</v>
      </c>
      <c r="B9062">
        <v>43955</v>
      </c>
      <c r="C9062">
        <v>252</v>
      </c>
      <c r="D9062">
        <v>110.7</v>
      </c>
      <c r="E9062">
        <v>34.799999999999997</v>
      </c>
    </row>
    <row r="9063" spans="1:5" x14ac:dyDescent="0.2">
      <c r="A9063">
        <v>46120</v>
      </c>
      <c r="B9063">
        <v>43992</v>
      </c>
      <c r="C9063">
        <v>250</v>
      </c>
      <c r="D9063">
        <v>108.4</v>
      </c>
      <c r="E9063">
        <v>34.5</v>
      </c>
    </row>
    <row r="9064" spans="1:5" x14ac:dyDescent="0.2">
      <c r="A9064">
        <v>46140</v>
      </c>
      <c r="B9064">
        <v>44025</v>
      </c>
      <c r="C9064">
        <v>249</v>
      </c>
      <c r="D9064">
        <v>106.5</v>
      </c>
      <c r="E9064">
        <v>34.299999999999997</v>
      </c>
    </row>
    <row r="9065" spans="1:5" x14ac:dyDescent="0.2">
      <c r="A9065">
        <v>46160</v>
      </c>
      <c r="B9065">
        <v>44057</v>
      </c>
      <c r="C9065">
        <v>247</v>
      </c>
      <c r="D9065">
        <v>104.7</v>
      </c>
      <c r="E9065">
        <v>33.9</v>
      </c>
    </row>
    <row r="9066" spans="1:5" x14ac:dyDescent="0.2">
      <c r="A9066">
        <v>46180</v>
      </c>
      <c r="B9066">
        <v>44087</v>
      </c>
      <c r="C9066">
        <v>245</v>
      </c>
      <c r="D9066">
        <v>103.3</v>
      </c>
      <c r="E9066">
        <v>33.700000000000003</v>
      </c>
    </row>
    <row r="9067" spans="1:5" x14ac:dyDescent="0.2">
      <c r="A9067">
        <v>46200</v>
      </c>
      <c r="B9067">
        <v>44114</v>
      </c>
      <c r="C9067">
        <v>243</v>
      </c>
      <c r="D9067">
        <v>102.3</v>
      </c>
      <c r="E9067">
        <v>33.4</v>
      </c>
    </row>
    <row r="9068" spans="1:5" x14ac:dyDescent="0.2">
      <c r="A9068">
        <v>46220</v>
      </c>
      <c r="B9068">
        <v>44139</v>
      </c>
      <c r="C9068">
        <v>242</v>
      </c>
      <c r="D9068">
        <v>101.5</v>
      </c>
      <c r="E9068">
        <v>33.200000000000003</v>
      </c>
    </row>
    <row r="9069" spans="1:5" x14ac:dyDescent="0.2">
      <c r="A9069">
        <v>46240</v>
      </c>
      <c r="B9069">
        <v>44162</v>
      </c>
      <c r="C9069">
        <v>241</v>
      </c>
      <c r="D9069">
        <v>101</v>
      </c>
      <c r="E9069">
        <v>33</v>
      </c>
    </row>
    <row r="9070" spans="1:5" x14ac:dyDescent="0.2">
      <c r="A9070">
        <v>46260</v>
      </c>
      <c r="B9070">
        <v>44182</v>
      </c>
      <c r="C9070">
        <v>240</v>
      </c>
      <c r="D9070">
        <v>100.9</v>
      </c>
      <c r="E9070">
        <v>32.799999999999997</v>
      </c>
    </row>
    <row r="9071" spans="1:5" x14ac:dyDescent="0.2">
      <c r="A9071">
        <v>46280</v>
      </c>
      <c r="B9071">
        <v>44200</v>
      </c>
      <c r="C9071">
        <v>237</v>
      </c>
      <c r="D9071">
        <v>101</v>
      </c>
      <c r="E9071">
        <v>32.4</v>
      </c>
    </row>
    <row r="9072" spans="1:5" x14ac:dyDescent="0.2">
      <c r="A9072">
        <v>46300</v>
      </c>
      <c r="B9072">
        <v>44215</v>
      </c>
      <c r="C9072">
        <v>233</v>
      </c>
      <c r="D9072">
        <v>101.6</v>
      </c>
      <c r="E9072">
        <v>32</v>
      </c>
    </row>
    <row r="9073" spans="1:5" x14ac:dyDescent="0.2">
      <c r="A9073">
        <v>46320</v>
      </c>
      <c r="B9073">
        <v>44229</v>
      </c>
      <c r="C9073">
        <v>229</v>
      </c>
      <c r="D9073">
        <v>102.4</v>
      </c>
      <c r="E9073">
        <v>31.4</v>
      </c>
    </row>
    <row r="9074" spans="1:5" x14ac:dyDescent="0.2">
      <c r="A9074">
        <v>46340</v>
      </c>
      <c r="B9074">
        <v>44241</v>
      </c>
      <c r="C9074">
        <v>227</v>
      </c>
      <c r="D9074">
        <v>103.4</v>
      </c>
      <c r="E9074">
        <v>31.1</v>
      </c>
    </row>
    <row r="9075" spans="1:5" x14ac:dyDescent="0.2">
      <c r="A9075">
        <v>46360</v>
      </c>
      <c r="B9075">
        <v>44252</v>
      </c>
      <c r="C9075">
        <v>225</v>
      </c>
      <c r="D9075">
        <v>104.6</v>
      </c>
      <c r="E9075">
        <v>30.9</v>
      </c>
    </row>
    <row r="9076" spans="1:5" x14ac:dyDescent="0.2">
      <c r="A9076">
        <v>46380</v>
      </c>
      <c r="B9076">
        <v>44259</v>
      </c>
      <c r="C9076">
        <v>223</v>
      </c>
      <c r="D9076">
        <v>106.2</v>
      </c>
      <c r="E9076">
        <v>30.7</v>
      </c>
    </row>
    <row r="9077" spans="1:5" x14ac:dyDescent="0.2">
      <c r="A9077">
        <v>46400</v>
      </c>
      <c r="B9077">
        <v>44265</v>
      </c>
      <c r="C9077">
        <v>223</v>
      </c>
      <c r="D9077">
        <v>108.2</v>
      </c>
      <c r="E9077">
        <v>30.8</v>
      </c>
    </row>
    <row r="9078" spans="1:5" x14ac:dyDescent="0.2">
      <c r="A9078">
        <v>46420</v>
      </c>
      <c r="B9078">
        <v>44271</v>
      </c>
      <c r="C9078">
        <v>223</v>
      </c>
      <c r="D9078">
        <v>110</v>
      </c>
      <c r="E9078">
        <v>30.8</v>
      </c>
    </row>
    <row r="9079" spans="1:5" x14ac:dyDescent="0.2">
      <c r="A9079">
        <v>46440</v>
      </c>
      <c r="B9079">
        <v>44275</v>
      </c>
      <c r="C9079">
        <v>223</v>
      </c>
      <c r="D9079">
        <v>112.1</v>
      </c>
      <c r="E9079">
        <v>30.8</v>
      </c>
    </row>
    <row r="9080" spans="1:5" x14ac:dyDescent="0.2">
      <c r="A9080">
        <v>46460</v>
      </c>
      <c r="B9080">
        <v>44278</v>
      </c>
      <c r="C9080">
        <v>221</v>
      </c>
      <c r="D9080">
        <v>114.4</v>
      </c>
      <c r="E9080">
        <v>30.7</v>
      </c>
    </row>
    <row r="9081" spans="1:5" x14ac:dyDescent="0.2">
      <c r="A9081">
        <v>46480</v>
      </c>
      <c r="B9081">
        <v>44281</v>
      </c>
      <c r="C9081">
        <v>221</v>
      </c>
      <c r="D9081">
        <v>116.7</v>
      </c>
      <c r="E9081">
        <v>30.6</v>
      </c>
    </row>
    <row r="9082" spans="1:5" x14ac:dyDescent="0.2">
      <c r="A9082">
        <v>46500</v>
      </c>
      <c r="B9082">
        <v>44283</v>
      </c>
      <c r="C9082">
        <v>222</v>
      </c>
      <c r="D9082">
        <v>119.1</v>
      </c>
      <c r="E9082">
        <v>30.9</v>
      </c>
    </row>
    <row r="9083" spans="1:5" x14ac:dyDescent="0.2">
      <c r="A9083">
        <v>46520</v>
      </c>
      <c r="B9083">
        <v>44286</v>
      </c>
      <c r="C9083">
        <v>223</v>
      </c>
      <c r="D9083">
        <v>121.4</v>
      </c>
      <c r="E9083">
        <v>31.1</v>
      </c>
    </row>
    <row r="9084" spans="1:5" x14ac:dyDescent="0.2">
      <c r="A9084">
        <v>46540</v>
      </c>
      <c r="B9084">
        <v>44291</v>
      </c>
      <c r="C9084">
        <v>224</v>
      </c>
      <c r="D9084">
        <v>123.5</v>
      </c>
      <c r="E9084">
        <v>31.3</v>
      </c>
    </row>
    <row r="9085" spans="1:5" x14ac:dyDescent="0.2">
      <c r="A9085">
        <v>46560</v>
      </c>
      <c r="B9085">
        <v>44296</v>
      </c>
      <c r="C9085">
        <v>224</v>
      </c>
      <c r="D9085">
        <v>125.5</v>
      </c>
      <c r="E9085">
        <v>31.3</v>
      </c>
    </row>
    <row r="9086" spans="1:5" x14ac:dyDescent="0.2">
      <c r="A9086">
        <v>46580</v>
      </c>
      <c r="B9086">
        <v>44303</v>
      </c>
      <c r="C9086">
        <v>222</v>
      </c>
      <c r="D9086">
        <v>127.1</v>
      </c>
      <c r="E9086">
        <v>31.1</v>
      </c>
    </row>
    <row r="9087" spans="1:5" x14ac:dyDescent="0.2">
      <c r="A9087">
        <v>46600</v>
      </c>
      <c r="B9087">
        <v>44312</v>
      </c>
      <c r="C9087">
        <v>223</v>
      </c>
      <c r="D9087">
        <v>128.6</v>
      </c>
      <c r="E9087">
        <v>31.3</v>
      </c>
    </row>
    <row r="9088" spans="1:5" x14ac:dyDescent="0.2">
      <c r="A9088">
        <v>46620</v>
      </c>
      <c r="B9088">
        <v>44324</v>
      </c>
      <c r="C9088">
        <v>223</v>
      </c>
      <c r="D9088">
        <v>129.69999999999999</v>
      </c>
      <c r="E9088">
        <v>31.4</v>
      </c>
    </row>
    <row r="9089" spans="1:5" x14ac:dyDescent="0.2">
      <c r="A9089">
        <v>46640</v>
      </c>
      <c r="B9089">
        <v>44339</v>
      </c>
      <c r="C9089">
        <v>226</v>
      </c>
      <c r="D9089">
        <v>130.30000000000001</v>
      </c>
      <c r="E9089">
        <v>31.8</v>
      </c>
    </row>
    <row r="9090" spans="1:5" x14ac:dyDescent="0.2">
      <c r="A9090">
        <v>46660</v>
      </c>
      <c r="B9090">
        <v>44358</v>
      </c>
      <c r="C9090">
        <v>227</v>
      </c>
      <c r="D9090">
        <v>130.4</v>
      </c>
      <c r="E9090">
        <v>31.9</v>
      </c>
    </row>
    <row r="9091" spans="1:5" x14ac:dyDescent="0.2">
      <c r="A9091">
        <v>46680</v>
      </c>
      <c r="B9091">
        <v>44377</v>
      </c>
      <c r="C9091">
        <v>227</v>
      </c>
      <c r="D9091">
        <v>130.4</v>
      </c>
      <c r="E9091">
        <v>31.9</v>
      </c>
    </row>
    <row r="9092" spans="1:5" x14ac:dyDescent="0.2">
      <c r="A9092">
        <v>46700</v>
      </c>
      <c r="B9092">
        <v>44400</v>
      </c>
      <c r="C9092">
        <v>229</v>
      </c>
      <c r="D9092">
        <v>130</v>
      </c>
      <c r="E9092">
        <v>32.1</v>
      </c>
    </row>
    <row r="9093" spans="1:5" x14ac:dyDescent="0.2">
      <c r="A9093">
        <v>46720</v>
      </c>
      <c r="B9093">
        <v>44424</v>
      </c>
      <c r="C9093">
        <v>229</v>
      </c>
      <c r="D9093">
        <v>129.19999999999999</v>
      </c>
      <c r="E9093">
        <v>32.1</v>
      </c>
    </row>
    <row r="9094" spans="1:5" x14ac:dyDescent="0.2">
      <c r="A9094">
        <v>46740</v>
      </c>
      <c r="B9094">
        <v>44451</v>
      </c>
      <c r="C9094">
        <v>231</v>
      </c>
      <c r="D9094">
        <v>128.19999999999999</v>
      </c>
      <c r="E9094">
        <v>32.4</v>
      </c>
    </row>
    <row r="9095" spans="1:5" x14ac:dyDescent="0.2">
      <c r="A9095">
        <v>46760</v>
      </c>
      <c r="B9095">
        <v>44479</v>
      </c>
      <c r="C9095">
        <v>234</v>
      </c>
      <c r="D9095">
        <v>127</v>
      </c>
      <c r="E9095">
        <v>32.799999999999997</v>
      </c>
    </row>
    <row r="9096" spans="1:5" x14ac:dyDescent="0.2">
      <c r="A9096">
        <v>46780</v>
      </c>
      <c r="B9096">
        <v>44508</v>
      </c>
      <c r="C9096">
        <v>237</v>
      </c>
      <c r="D9096">
        <v>125.7</v>
      </c>
      <c r="E9096">
        <v>33.200000000000003</v>
      </c>
    </row>
    <row r="9097" spans="1:5" x14ac:dyDescent="0.2">
      <c r="A9097">
        <v>46800</v>
      </c>
      <c r="B9097">
        <v>44538</v>
      </c>
      <c r="C9097">
        <v>242</v>
      </c>
      <c r="D9097">
        <v>124.3</v>
      </c>
      <c r="E9097">
        <v>33.799999999999997</v>
      </c>
    </row>
    <row r="9098" spans="1:5" x14ac:dyDescent="0.2">
      <c r="A9098">
        <v>46820</v>
      </c>
      <c r="B9098">
        <v>44568</v>
      </c>
      <c r="C9098">
        <v>246</v>
      </c>
      <c r="D9098">
        <v>122.8</v>
      </c>
      <c r="E9098">
        <v>34.4</v>
      </c>
    </row>
    <row r="9099" spans="1:5" x14ac:dyDescent="0.2">
      <c r="A9099">
        <v>46840</v>
      </c>
      <c r="B9099">
        <v>44599</v>
      </c>
      <c r="C9099">
        <v>251</v>
      </c>
      <c r="D9099">
        <v>121.2</v>
      </c>
      <c r="E9099">
        <v>34.9</v>
      </c>
    </row>
    <row r="9100" spans="1:5" x14ac:dyDescent="0.2">
      <c r="A9100">
        <v>46860</v>
      </c>
      <c r="B9100">
        <v>44630</v>
      </c>
      <c r="C9100">
        <v>254</v>
      </c>
      <c r="D9100">
        <v>119.6</v>
      </c>
      <c r="E9100">
        <v>35.299999999999997</v>
      </c>
    </row>
    <row r="9101" spans="1:5" x14ac:dyDescent="0.2">
      <c r="A9101">
        <v>46880</v>
      </c>
      <c r="B9101">
        <v>44661</v>
      </c>
      <c r="C9101">
        <v>256</v>
      </c>
      <c r="D9101">
        <v>118.1</v>
      </c>
      <c r="E9101">
        <v>35.6</v>
      </c>
    </row>
    <row r="9102" spans="1:5" x14ac:dyDescent="0.2">
      <c r="A9102">
        <v>46900</v>
      </c>
      <c r="B9102">
        <v>44690</v>
      </c>
      <c r="C9102">
        <v>257</v>
      </c>
      <c r="D9102">
        <v>116.6</v>
      </c>
      <c r="E9102">
        <v>35.700000000000003</v>
      </c>
    </row>
    <row r="9103" spans="1:5" x14ac:dyDescent="0.2">
      <c r="A9103">
        <v>46920</v>
      </c>
      <c r="B9103">
        <v>44719</v>
      </c>
      <c r="C9103">
        <v>260</v>
      </c>
      <c r="D9103">
        <v>115.4</v>
      </c>
      <c r="E9103">
        <v>36</v>
      </c>
    </row>
    <row r="9104" spans="1:5" x14ac:dyDescent="0.2">
      <c r="A9104">
        <v>46940</v>
      </c>
      <c r="B9104">
        <v>44747</v>
      </c>
      <c r="C9104">
        <v>261</v>
      </c>
      <c r="D9104">
        <v>114.2</v>
      </c>
      <c r="E9104">
        <v>36.200000000000003</v>
      </c>
    </row>
    <row r="9105" spans="1:5" x14ac:dyDescent="0.2">
      <c r="A9105">
        <v>46960</v>
      </c>
      <c r="B9105">
        <v>44773</v>
      </c>
      <c r="C9105">
        <v>266</v>
      </c>
      <c r="D9105">
        <v>113.2</v>
      </c>
      <c r="E9105">
        <v>36.799999999999997</v>
      </c>
    </row>
    <row r="9106" spans="1:5" x14ac:dyDescent="0.2">
      <c r="A9106">
        <v>46980</v>
      </c>
      <c r="B9106">
        <v>44799</v>
      </c>
      <c r="C9106">
        <v>270</v>
      </c>
      <c r="D9106">
        <v>112.4</v>
      </c>
      <c r="E9106">
        <v>37.299999999999997</v>
      </c>
    </row>
    <row r="9107" spans="1:5" x14ac:dyDescent="0.2">
      <c r="A9107">
        <v>47000</v>
      </c>
      <c r="B9107">
        <v>44822</v>
      </c>
      <c r="C9107">
        <v>276</v>
      </c>
      <c r="D9107">
        <v>111.9</v>
      </c>
      <c r="E9107">
        <v>38.1</v>
      </c>
    </row>
    <row r="9108" spans="1:5" x14ac:dyDescent="0.2">
      <c r="A9108">
        <v>47020</v>
      </c>
      <c r="B9108">
        <v>44844</v>
      </c>
      <c r="C9108">
        <v>283</v>
      </c>
      <c r="D9108">
        <v>111.6</v>
      </c>
      <c r="E9108">
        <v>39</v>
      </c>
    </row>
    <row r="9109" spans="1:5" x14ac:dyDescent="0.2">
      <c r="A9109">
        <v>47040</v>
      </c>
      <c r="B9109">
        <v>44864</v>
      </c>
      <c r="C9109">
        <v>287</v>
      </c>
      <c r="D9109">
        <v>111.5</v>
      </c>
      <c r="E9109">
        <v>39.6</v>
      </c>
    </row>
    <row r="9110" spans="1:5" x14ac:dyDescent="0.2">
      <c r="A9110">
        <v>47060</v>
      </c>
      <c r="B9110">
        <v>44881</v>
      </c>
      <c r="C9110">
        <v>291</v>
      </c>
      <c r="D9110">
        <v>112</v>
      </c>
      <c r="E9110">
        <v>40.299999999999997</v>
      </c>
    </row>
    <row r="9111" spans="1:5" x14ac:dyDescent="0.2">
      <c r="A9111">
        <v>47080</v>
      </c>
      <c r="B9111">
        <v>44896</v>
      </c>
      <c r="C9111">
        <v>294</v>
      </c>
      <c r="D9111">
        <v>112.5</v>
      </c>
      <c r="E9111">
        <v>40.700000000000003</v>
      </c>
    </row>
    <row r="9112" spans="1:5" x14ac:dyDescent="0.2">
      <c r="A9112">
        <v>47100</v>
      </c>
      <c r="B9112">
        <v>44910</v>
      </c>
      <c r="C9112">
        <v>297</v>
      </c>
      <c r="D9112">
        <v>113.4</v>
      </c>
      <c r="E9112">
        <v>41.1</v>
      </c>
    </row>
    <row r="9113" spans="1:5" x14ac:dyDescent="0.2">
      <c r="A9113">
        <v>47120</v>
      </c>
      <c r="B9113">
        <v>44920</v>
      </c>
      <c r="C9113">
        <v>300</v>
      </c>
      <c r="D9113">
        <v>114.6</v>
      </c>
      <c r="E9113">
        <v>41.6</v>
      </c>
    </row>
    <row r="9114" spans="1:5" x14ac:dyDescent="0.2">
      <c r="A9114">
        <v>47140</v>
      </c>
      <c r="B9114">
        <v>44930</v>
      </c>
      <c r="C9114">
        <v>304</v>
      </c>
      <c r="D9114">
        <v>116</v>
      </c>
      <c r="E9114">
        <v>42.2</v>
      </c>
    </row>
    <row r="9115" spans="1:5" x14ac:dyDescent="0.2">
      <c r="A9115">
        <v>47160</v>
      </c>
      <c r="B9115">
        <v>44940</v>
      </c>
      <c r="C9115">
        <v>308</v>
      </c>
      <c r="D9115">
        <v>117.3</v>
      </c>
      <c r="E9115">
        <v>42.8</v>
      </c>
    </row>
    <row r="9116" spans="1:5" x14ac:dyDescent="0.2">
      <c r="A9116">
        <v>47180</v>
      </c>
      <c r="B9116">
        <v>44948</v>
      </c>
      <c r="C9116">
        <v>312</v>
      </c>
      <c r="D9116">
        <v>118.9</v>
      </c>
      <c r="E9116">
        <v>43.4</v>
      </c>
    </row>
    <row r="9117" spans="1:5" x14ac:dyDescent="0.2">
      <c r="A9117">
        <v>47200</v>
      </c>
      <c r="B9117">
        <v>44957</v>
      </c>
      <c r="C9117">
        <v>318</v>
      </c>
      <c r="D9117">
        <v>120.5</v>
      </c>
      <c r="E9117">
        <v>44.3</v>
      </c>
    </row>
    <row r="9118" spans="1:5" x14ac:dyDescent="0.2">
      <c r="A9118">
        <v>47220</v>
      </c>
      <c r="B9118">
        <v>44965</v>
      </c>
      <c r="C9118">
        <v>322</v>
      </c>
      <c r="D9118">
        <v>122</v>
      </c>
      <c r="E9118">
        <v>45</v>
      </c>
    </row>
    <row r="9119" spans="1:5" x14ac:dyDescent="0.2">
      <c r="A9119">
        <v>47240</v>
      </c>
      <c r="B9119">
        <v>44975</v>
      </c>
      <c r="C9119">
        <v>325</v>
      </c>
      <c r="D9119">
        <v>123.3</v>
      </c>
      <c r="E9119">
        <v>45.3</v>
      </c>
    </row>
    <row r="9120" spans="1:5" x14ac:dyDescent="0.2">
      <c r="A9120">
        <v>47260</v>
      </c>
      <c r="B9120">
        <v>44984</v>
      </c>
      <c r="C9120">
        <v>325</v>
      </c>
      <c r="D9120">
        <v>124.8</v>
      </c>
      <c r="E9120">
        <v>45.5</v>
      </c>
    </row>
    <row r="9121" spans="1:5" x14ac:dyDescent="0.2">
      <c r="A9121">
        <v>47280</v>
      </c>
      <c r="B9121">
        <v>44994</v>
      </c>
      <c r="C9121">
        <v>326</v>
      </c>
      <c r="D9121">
        <v>126.1</v>
      </c>
      <c r="E9121">
        <v>45.7</v>
      </c>
    </row>
    <row r="9122" spans="1:5" x14ac:dyDescent="0.2">
      <c r="A9122">
        <v>47300</v>
      </c>
      <c r="B9122">
        <v>45005</v>
      </c>
      <c r="C9122">
        <v>326</v>
      </c>
      <c r="D9122">
        <v>127.4</v>
      </c>
      <c r="E9122">
        <v>45.7</v>
      </c>
    </row>
    <row r="9123" spans="1:5" x14ac:dyDescent="0.2">
      <c r="A9123">
        <v>47320</v>
      </c>
      <c r="B9123">
        <v>45016</v>
      </c>
      <c r="C9123">
        <v>325</v>
      </c>
      <c r="D9123">
        <v>128.5</v>
      </c>
      <c r="E9123">
        <v>45.7</v>
      </c>
    </row>
    <row r="9124" spans="1:5" x14ac:dyDescent="0.2">
      <c r="A9124">
        <v>47340</v>
      </c>
      <c r="B9124">
        <v>45029</v>
      </c>
      <c r="C9124">
        <v>325</v>
      </c>
      <c r="D9124">
        <v>129.5</v>
      </c>
      <c r="E9124">
        <v>45.6</v>
      </c>
    </row>
    <row r="9125" spans="1:5" x14ac:dyDescent="0.2">
      <c r="A9125">
        <v>47360</v>
      </c>
      <c r="B9125">
        <v>45040</v>
      </c>
      <c r="C9125">
        <v>324</v>
      </c>
      <c r="D9125">
        <v>130.6</v>
      </c>
      <c r="E9125">
        <v>45.6</v>
      </c>
    </row>
    <row r="9126" spans="1:5" x14ac:dyDescent="0.2">
      <c r="A9126">
        <v>47380</v>
      </c>
      <c r="B9126">
        <v>45052</v>
      </c>
      <c r="C9126">
        <v>325</v>
      </c>
      <c r="D9126">
        <v>131.69999999999999</v>
      </c>
      <c r="E9126">
        <v>45.7</v>
      </c>
    </row>
    <row r="9127" spans="1:5" x14ac:dyDescent="0.2">
      <c r="A9127">
        <v>47400</v>
      </c>
      <c r="B9127">
        <v>45065</v>
      </c>
      <c r="C9127">
        <v>325</v>
      </c>
      <c r="D9127">
        <v>132.6</v>
      </c>
      <c r="E9127">
        <v>45.8</v>
      </c>
    </row>
    <row r="9128" spans="1:5" x14ac:dyDescent="0.2">
      <c r="A9128">
        <v>47420</v>
      </c>
      <c r="B9128">
        <v>45078</v>
      </c>
      <c r="C9128">
        <v>327</v>
      </c>
      <c r="D9128">
        <v>133.5</v>
      </c>
      <c r="E9128">
        <v>46.2</v>
      </c>
    </row>
    <row r="9129" spans="1:5" x14ac:dyDescent="0.2">
      <c r="A9129">
        <v>47440</v>
      </c>
      <c r="B9129">
        <v>45090</v>
      </c>
      <c r="C9129">
        <v>330</v>
      </c>
      <c r="D9129">
        <v>134.5</v>
      </c>
      <c r="E9129">
        <v>46.6</v>
      </c>
    </row>
    <row r="9130" spans="1:5" x14ac:dyDescent="0.2">
      <c r="A9130">
        <v>47460</v>
      </c>
      <c r="B9130">
        <v>45103</v>
      </c>
      <c r="C9130">
        <v>334</v>
      </c>
      <c r="D9130">
        <v>135.4</v>
      </c>
      <c r="E9130">
        <v>47.2</v>
      </c>
    </row>
    <row r="9131" spans="1:5" x14ac:dyDescent="0.2">
      <c r="A9131">
        <v>47480</v>
      </c>
      <c r="B9131">
        <v>45118</v>
      </c>
      <c r="C9131">
        <v>336</v>
      </c>
      <c r="D9131">
        <v>136.19999999999999</v>
      </c>
      <c r="E9131">
        <v>47.5</v>
      </c>
    </row>
    <row r="9132" spans="1:5" x14ac:dyDescent="0.2">
      <c r="A9132">
        <v>47500</v>
      </c>
      <c r="B9132">
        <v>45131</v>
      </c>
      <c r="C9132">
        <v>340</v>
      </c>
      <c r="D9132">
        <v>137.1</v>
      </c>
      <c r="E9132">
        <v>48.1</v>
      </c>
    </row>
    <row r="9133" spans="1:5" x14ac:dyDescent="0.2">
      <c r="A9133">
        <v>47520</v>
      </c>
      <c r="B9133">
        <v>45145</v>
      </c>
      <c r="C9133">
        <v>340</v>
      </c>
      <c r="D9133">
        <v>137.80000000000001</v>
      </c>
      <c r="E9133">
        <v>48.2</v>
      </c>
    </row>
    <row r="9134" spans="1:5" x14ac:dyDescent="0.2">
      <c r="A9134">
        <v>47540</v>
      </c>
      <c r="B9134">
        <v>45158</v>
      </c>
      <c r="C9134">
        <v>342</v>
      </c>
      <c r="D9134">
        <v>138.69999999999999</v>
      </c>
      <c r="E9134">
        <v>48.4</v>
      </c>
    </row>
    <row r="9135" spans="1:5" x14ac:dyDescent="0.2">
      <c r="A9135">
        <v>47560</v>
      </c>
      <c r="B9135">
        <v>45173</v>
      </c>
      <c r="C9135">
        <v>342</v>
      </c>
      <c r="D9135">
        <v>139.4</v>
      </c>
      <c r="E9135">
        <v>48.4</v>
      </c>
    </row>
    <row r="9136" spans="1:5" x14ac:dyDescent="0.2">
      <c r="A9136">
        <v>47580</v>
      </c>
      <c r="B9136">
        <v>45187</v>
      </c>
      <c r="C9136">
        <v>341</v>
      </c>
      <c r="D9136">
        <v>140.19999999999999</v>
      </c>
      <c r="E9136">
        <v>48.4</v>
      </c>
    </row>
    <row r="9137" spans="1:5" x14ac:dyDescent="0.2">
      <c r="A9137">
        <v>47600</v>
      </c>
      <c r="B9137">
        <v>45201</v>
      </c>
      <c r="C9137">
        <v>340</v>
      </c>
      <c r="D9137">
        <v>140.80000000000001</v>
      </c>
      <c r="E9137">
        <v>48.2</v>
      </c>
    </row>
    <row r="9138" spans="1:5" x14ac:dyDescent="0.2">
      <c r="A9138">
        <v>47620</v>
      </c>
      <c r="B9138">
        <v>45216</v>
      </c>
      <c r="C9138">
        <v>340</v>
      </c>
      <c r="D9138">
        <v>141.6</v>
      </c>
      <c r="E9138">
        <v>48.2</v>
      </c>
    </row>
    <row r="9139" spans="1:5" x14ac:dyDescent="0.2">
      <c r="A9139">
        <v>47640</v>
      </c>
      <c r="B9139">
        <v>45230</v>
      </c>
      <c r="C9139">
        <v>341</v>
      </c>
      <c r="D9139">
        <v>142.19999999999999</v>
      </c>
      <c r="E9139">
        <v>48.3</v>
      </c>
    </row>
    <row r="9140" spans="1:5" x14ac:dyDescent="0.2">
      <c r="A9140">
        <v>47660</v>
      </c>
      <c r="B9140">
        <v>45247</v>
      </c>
      <c r="C9140">
        <v>342</v>
      </c>
      <c r="D9140">
        <v>142.69999999999999</v>
      </c>
      <c r="E9140">
        <v>48.6</v>
      </c>
    </row>
    <row r="9141" spans="1:5" x14ac:dyDescent="0.2">
      <c r="A9141">
        <v>47680</v>
      </c>
      <c r="B9141">
        <v>45263</v>
      </c>
      <c r="C9141">
        <v>345</v>
      </c>
      <c r="D9141">
        <v>143.1</v>
      </c>
      <c r="E9141">
        <v>49</v>
      </c>
    </row>
    <row r="9142" spans="1:5" x14ac:dyDescent="0.2">
      <c r="A9142">
        <v>47700</v>
      </c>
      <c r="B9142">
        <v>45281</v>
      </c>
      <c r="C9142">
        <v>347</v>
      </c>
      <c r="D9142">
        <v>143.4</v>
      </c>
      <c r="E9142">
        <v>49.3</v>
      </c>
    </row>
    <row r="9143" spans="1:5" x14ac:dyDescent="0.2">
      <c r="A9143">
        <v>47720</v>
      </c>
      <c r="B9143">
        <v>45300</v>
      </c>
      <c r="C9143">
        <v>350</v>
      </c>
      <c r="D9143">
        <v>143.5</v>
      </c>
      <c r="E9143">
        <v>49.7</v>
      </c>
    </row>
    <row r="9144" spans="1:5" x14ac:dyDescent="0.2">
      <c r="A9144">
        <v>47740</v>
      </c>
      <c r="B9144">
        <v>45321</v>
      </c>
      <c r="C9144">
        <v>351</v>
      </c>
      <c r="D9144">
        <v>143.30000000000001</v>
      </c>
      <c r="E9144">
        <v>49.9</v>
      </c>
    </row>
    <row r="9145" spans="1:5" x14ac:dyDescent="0.2">
      <c r="A9145">
        <v>47760</v>
      </c>
      <c r="B9145">
        <v>45342</v>
      </c>
      <c r="C9145">
        <v>352</v>
      </c>
      <c r="D9145">
        <v>143.1</v>
      </c>
      <c r="E9145">
        <v>49.9</v>
      </c>
    </row>
    <row r="9146" spans="1:5" x14ac:dyDescent="0.2">
      <c r="A9146">
        <v>47780</v>
      </c>
      <c r="B9146">
        <v>45362</v>
      </c>
      <c r="C9146">
        <v>351</v>
      </c>
      <c r="D9146">
        <v>142.9</v>
      </c>
      <c r="E9146">
        <v>49.9</v>
      </c>
    </row>
    <row r="9147" spans="1:5" x14ac:dyDescent="0.2">
      <c r="A9147">
        <v>47800</v>
      </c>
      <c r="B9147">
        <v>45386</v>
      </c>
      <c r="C9147">
        <v>351</v>
      </c>
      <c r="D9147">
        <v>142.30000000000001</v>
      </c>
      <c r="E9147">
        <v>49.8</v>
      </c>
    </row>
    <row r="9148" spans="1:5" x14ac:dyDescent="0.2">
      <c r="A9148">
        <v>47820</v>
      </c>
      <c r="B9148">
        <v>45411</v>
      </c>
      <c r="C9148">
        <v>351</v>
      </c>
      <c r="D9148">
        <v>141.5</v>
      </c>
      <c r="E9148">
        <v>49.8</v>
      </c>
    </row>
    <row r="9149" spans="1:5" x14ac:dyDescent="0.2">
      <c r="A9149">
        <v>47840</v>
      </c>
      <c r="B9149">
        <v>45435</v>
      </c>
      <c r="C9149">
        <v>351</v>
      </c>
      <c r="D9149">
        <v>140.9</v>
      </c>
      <c r="E9149">
        <v>49.8</v>
      </c>
    </row>
    <row r="9150" spans="1:5" x14ac:dyDescent="0.2">
      <c r="A9150">
        <v>47860</v>
      </c>
      <c r="B9150">
        <v>45461</v>
      </c>
      <c r="C9150">
        <v>353</v>
      </c>
      <c r="D9150">
        <v>140</v>
      </c>
      <c r="E9150">
        <v>50</v>
      </c>
    </row>
    <row r="9151" spans="1:5" x14ac:dyDescent="0.2">
      <c r="A9151">
        <v>47880</v>
      </c>
      <c r="B9151">
        <v>45487</v>
      </c>
      <c r="C9151">
        <v>355</v>
      </c>
      <c r="D9151">
        <v>139</v>
      </c>
      <c r="E9151">
        <v>50.2</v>
      </c>
    </row>
    <row r="9152" spans="1:5" x14ac:dyDescent="0.2">
      <c r="A9152">
        <v>47900</v>
      </c>
      <c r="B9152">
        <v>45514</v>
      </c>
      <c r="C9152">
        <v>358</v>
      </c>
      <c r="D9152">
        <v>138</v>
      </c>
      <c r="E9152">
        <v>50.5</v>
      </c>
    </row>
    <row r="9153" spans="1:5" x14ac:dyDescent="0.2">
      <c r="A9153">
        <v>47920</v>
      </c>
      <c r="B9153">
        <v>45541</v>
      </c>
      <c r="C9153">
        <v>363</v>
      </c>
      <c r="D9153">
        <v>136.9</v>
      </c>
      <c r="E9153">
        <v>51.2</v>
      </c>
    </row>
    <row r="9154" spans="1:5" x14ac:dyDescent="0.2">
      <c r="A9154">
        <v>47940</v>
      </c>
      <c r="B9154">
        <v>45568</v>
      </c>
      <c r="C9154">
        <v>368</v>
      </c>
      <c r="D9154">
        <v>135.80000000000001</v>
      </c>
      <c r="E9154">
        <v>51.8</v>
      </c>
    </row>
    <row r="9155" spans="1:5" x14ac:dyDescent="0.2">
      <c r="A9155">
        <v>47960</v>
      </c>
      <c r="B9155">
        <v>45594</v>
      </c>
      <c r="C9155">
        <v>373</v>
      </c>
      <c r="D9155">
        <v>134.9</v>
      </c>
      <c r="E9155">
        <v>52.6</v>
      </c>
    </row>
    <row r="9156" spans="1:5" x14ac:dyDescent="0.2">
      <c r="A9156">
        <v>47980</v>
      </c>
      <c r="B9156">
        <v>45623</v>
      </c>
      <c r="C9156">
        <v>379</v>
      </c>
      <c r="D9156">
        <v>133.69999999999999</v>
      </c>
      <c r="E9156">
        <v>53.3</v>
      </c>
    </row>
    <row r="9157" spans="1:5" x14ac:dyDescent="0.2">
      <c r="A9157">
        <v>48000</v>
      </c>
      <c r="B9157">
        <v>45650</v>
      </c>
      <c r="C9157">
        <v>383</v>
      </c>
      <c r="D9157">
        <v>132.69999999999999</v>
      </c>
      <c r="E9157">
        <v>53.8</v>
      </c>
    </row>
    <row r="9158" spans="1:5" x14ac:dyDescent="0.2">
      <c r="A9158">
        <v>48020</v>
      </c>
      <c r="B9158">
        <v>45677</v>
      </c>
      <c r="C9158">
        <v>386</v>
      </c>
      <c r="D9158">
        <v>131.6</v>
      </c>
      <c r="E9158">
        <v>54.1</v>
      </c>
    </row>
    <row r="9159" spans="1:5" x14ac:dyDescent="0.2">
      <c r="A9159">
        <v>48040</v>
      </c>
      <c r="B9159">
        <v>45704</v>
      </c>
      <c r="C9159">
        <v>388</v>
      </c>
      <c r="D9159">
        <v>130.6</v>
      </c>
      <c r="E9159">
        <v>54.3</v>
      </c>
    </row>
    <row r="9160" spans="1:5" x14ac:dyDescent="0.2">
      <c r="A9160">
        <v>48060</v>
      </c>
      <c r="B9160">
        <v>45731</v>
      </c>
      <c r="C9160">
        <v>388</v>
      </c>
      <c r="D9160">
        <v>129.5</v>
      </c>
      <c r="E9160">
        <v>54.4</v>
      </c>
    </row>
    <row r="9161" spans="1:5" x14ac:dyDescent="0.2">
      <c r="A9161">
        <v>48080</v>
      </c>
      <c r="B9161">
        <v>45757</v>
      </c>
      <c r="C9161">
        <v>386</v>
      </c>
      <c r="D9161">
        <v>128.6</v>
      </c>
      <c r="E9161">
        <v>54</v>
      </c>
    </row>
    <row r="9162" spans="1:5" x14ac:dyDescent="0.2">
      <c r="A9162">
        <v>48100</v>
      </c>
      <c r="B9162">
        <v>45782</v>
      </c>
      <c r="C9162">
        <v>382</v>
      </c>
      <c r="D9162">
        <v>127.7</v>
      </c>
      <c r="E9162">
        <v>53.4</v>
      </c>
    </row>
    <row r="9163" spans="1:5" x14ac:dyDescent="0.2">
      <c r="A9163">
        <v>48120</v>
      </c>
      <c r="B9163">
        <v>45809</v>
      </c>
      <c r="C9163">
        <v>378</v>
      </c>
      <c r="D9163">
        <v>126.7</v>
      </c>
      <c r="E9163">
        <v>52.9</v>
      </c>
    </row>
    <row r="9164" spans="1:5" x14ac:dyDescent="0.2">
      <c r="A9164">
        <v>48140</v>
      </c>
      <c r="B9164">
        <v>45833</v>
      </c>
      <c r="C9164">
        <v>373</v>
      </c>
      <c r="D9164">
        <v>125.9</v>
      </c>
      <c r="E9164">
        <v>52.1</v>
      </c>
    </row>
    <row r="9165" spans="1:5" x14ac:dyDescent="0.2">
      <c r="A9165">
        <v>48160</v>
      </c>
      <c r="B9165">
        <v>45857</v>
      </c>
      <c r="C9165">
        <v>369</v>
      </c>
      <c r="D9165">
        <v>125.2</v>
      </c>
      <c r="E9165">
        <v>51.5</v>
      </c>
    </row>
    <row r="9166" spans="1:5" x14ac:dyDescent="0.2">
      <c r="A9166">
        <v>48180</v>
      </c>
      <c r="B9166">
        <v>45883</v>
      </c>
      <c r="C9166">
        <v>364</v>
      </c>
      <c r="D9166">
        <v>124.4</v>
      </c>
      <c r="E9166">
        <v>50.9</v>
      </c>
    </row>
    <row r="9167" spans="1:5" x14ac:dyDescent="0.2">
      <c r="A9167">
        <v>48200</v>
      </c>
      <c r="B9167">
        <v>45907</v>
      </c>
      <c r="C9167">
        <v>359</v>
      </c>
      <c r="D9167">
        <v>123.7</v>
      </c>
      <c r="E9167">
        <v>50.2</v>
      </c>
    </row>
    <row r="9168" spans="1:5" x14ac:dyDescent="0.2">
      <c r="A9168">
        <v>48220</v>
      </c>
      <c r="B9168">
        <v>45931</v>
      </c>
      <c r="C9168">
        <v>355</v>
      </c>
      <c r="D9168">
        <v>123.1</v>
      </c>
      <c r="E9168">
        <v>49.6</v>
      </c>
    </row>
    <row r="9169" spans="1:5" x14ac:dyDescent="0.2">
      <c r="A9169">
        <v>48240</v>
      </c>
      <c r="B9169">
        <v>45955</v>
      </c>
      <c r="C9169">
        <v>352</v>
      </c>
      <c r="D9169">
        <v>122.3</v>
      </c>
      <c r="E9169">
        <v>49.1</v>
      </c>
    </row>
    <row r="9170" spans="1:5" x14ac:dyDescent="0.2">
      <c r="A9170">
        <v>48260</v>
      </c>
      <c r="B9170">
        <v>45979</v>
      </c>
      <c r="C9170">
        <v>350</v>
      </c>
      <c r="D9170">
        <v>121.8</v>
      </c>
      <c r="E9170">
        <v>48.9</v>
      </c>
    </row>
    <row r="9171" spans="1:5" x14ac:dyDescent="0.2">
      <c r="A9171">
        <v>48280</v>
      </c>
      <c r="B9171">
        <v>46002</v>
      </c>
      <c r="C9171">
        <v>348</v>
      </c>
      <c r="D9171">
        <v>121.2</v>
      </c>
      <c r="E9171">
        <v>48.6</v>
      </c>
    </row>
    <row r="9172" spans="1:5" x14ac:dyDescent="0.2">
      <c r="A9172">
        <v>48300</v>
      </c>
      <c r="B9172">
        <v>46025</v>
      </c>
      <c r="C9172">
        <v>347</v>
      </c>
      <c r="D9172">
        <v>120.7</v>
      </c>
      <c r="E9172">
        <v>48.4</v>
      </c>
    </row>
    <row r="9173" spans="1:5" x14ac:dyDescent="0.2">
      <c r="A9173">
        <v>48320</v>
      </c>
      <c r="B9173">
        <v>46048</v>
      </c>
      <c r="C9173">
        <v>346</v>
      </c>
      <c r="D9173">
        <v>120.2</v>
      </c>
      <c r="E9173">
        <v>48.3</v>
      </c>
    </row>
    <row r="9174" spans="1:5" x14ac:dyDescent="0.2">
      <c r="A9174">
        <v>48340</v>
      </c>
      <c r="B9174">
        <v>46071</v>
      </c>
      <c r="C9174">
        <v>344</v>
      </c>
      <c r="D9174">
        <v>119.7</v>
      </c>
      <c r="E9174">
        <v>47.9</v>
      </c>
    </row>
    <row r="9175" spans="1:5" x14ac:dyDescent="0.2">
      <c r="A9175">
        <v>48360</v>
      </c>
      <c r="B9175">
        <v>46092</v>
      </c>
      <c r="C9175">
        <v>342</v>
      </c>
      <c r="D9175">
        <v>119.4</v>
      </c>
      <c r="E9175">
        <v>47.6</v>
      </c>
    </row>
    <row r="9176" spans="1:5" x14ac:dyDescent="0.2">
      <c r="A9176">
        <v>48380</v>
      </c>
      <c r="B9176">
        <v>46115</v>
      </c>
      <c r="C9176">
        <v>339</v>
      </c>
      <c r="D9176">
        <v>119</v>
      </c>
      <c r="E9176">
        <v>47.1</v>
      </c>
    </row>
    <row r="9177" spans="1:5" x14ac:dyDescent="0.2">
      <c r="A9177">
        <v>48400</v>
      </c>
      <c r="B9177">
        <v>46137</v>
      </c>
      <c r="C9177">
        <v>335</v>
      </c>
      <c r="D9177">
        <v>118.6</v>
      </c>
      <c r="E9177">
        <v>46.6</v>
      </c>
    </row>
    <row r="9178" spans="1:5" x14ac:dyDescent="0.2">
      <c r="A9178">
        <v>48420</v>
      </c>
      <c r="B9178">
        <v>46158</v>
      </c>
      <c r="C9178">
        <v>330</v>
      </c>
      <c r="D9178">
        <v>118.3</v>
      </c>
      <c r="E9178">
        <v>46</v>
      </c>
    </row>
    <row r="9179" spans="1:5" x14ac:dyDescent="0.2">
      <c r="A9179">
        <v>48440</v>
      </c>
      <c r="B9179">
        <v>46180</v>
      </c>
      <c r="C9179">
        <v>326</v>
      </c>
      <c r="D9179">
        <v>117.9</v>
      </c>
      <c r="E9179">
        <v>45.4</v>
      </c>
    </row>
    <row r="9180" spans="1:5" x14ac:dyDescent="0.2">
      <c r="A9180">
        <v>48460</v>
      </c>
      <c r="B9180">
        <v>46202</v>
      </c>
      <c r="C9180">
        <v>323</v>
      </c>
      <c r="D9180">
        <v>117.6</v>
      </c>
      <c r="E9180">
        <v>44.9</v>
      </c>
    </row>
    <row r="9181" spans="1:5" x14ac:dyDescent="0.2">
      <c r="A9181">
        <v>48480</v>
      </c>
      <c r="B9181">
        <v>46224</v>
      </c>
      <c r="C9181">
        <v>322</v>
      </c>
      <c r="D9181">
        <v>117.2</v>
      </c>
      <c r="E9181">
        <v>44.7</v>
      </c>
    </row>
    <row r="9182" spans="1:5" x14ac:dyDescent="0.2">
      <c r="A9182">
        <v>48500</v>
      </c>
      <c r="B9182">
        <v>46246</v>
      </c>
      <c r="C9182">
        <v>322</v>
      </c>
      <c r="D9182">
        <v>116.9</v>
      </c>
      <c r="E9182">
        <v>44.7</v>
      </c>
    </row>
    <row r="9183" spans="1:5" x14ac:dyDescent="0.2">
      <c r="A9183">
        <v>48520</v>
      </c>
      <c r="B9183">
        <v>46267</v>
      </c>
      <c r="C9183">
        <v>322</v>
      </c>
      <c r="D9183">
        <v>116.6</v>
      </c>
      <c r="E9183">
        <v>44.7</v>
      </c>
    </row>
    <row r="9184" spans="1:5" x14ac:dyDescent="0.2">
      <c r="A9184">
        <v>48540</v>
      </c>
      <c r="B9184">
        <v>46291</v>
      </c>
      <c r="C9184">
        <v>326</v>
      </c>
      <c r="D9184">
        <v>116</v>
      </c>
      <c r="E9184">
        <v>45.2</v>
      </c>
    </row>
    <row r="9185" spans="1:5" x14ac:dyDescent="0.2">
      <c r="A9185">
        <v>48560</v>
      </c>
      <c r="B9185">
        <v>46312</v>
      </c>
      <c r="C9185">
        <v>330</v>
      </c>
      <c r="D9185">
        <v>115.8</v>
      </c>
      <c r="E9185">
        <v>45.8</v>
      </c>
    </row>
    <row r="9186" spans="1:5" x14ac:dyDescent="0.2">
      <c r="A9186">
        <v>48580</v>
      </c>
      <c r="B9186">
        <v>46336</v>
      </c>
      <c r="C9186">
        <v>336</v>
      </c>
      <c r="D9186">
        <v>115.2</v>
      </c>
      <c r="E9186">
        <v>46.5</v>
      </c>
    </row>
    <row r="9187" spans="1:5" x14ac:dyDescent="0.2">
      <c r="A9187">
        <v>48600</v>
      </c>
      <c r="B9187">
        <v>46360</v>
      </c>
      <c r="C9187">
        <v>341</v>
      </c>
      <c r="D9187">
        <v>114.6</v>
      </c>
      <c r="E9187">
        <v>47.2</v>
      </c>
    </row>
    <row r="9188" spans="1:5" x14ac:dyDescent="0.2">
      <c r="A9188">
        <v>48620</v>
      </c>
      <c r="B9188">
        <v>46385</v>
      </c>
      <c r="C9188">
        <v>347</v>
      </c>
      <c r="D9188">
        <v>113.9</v>
      </c>
      <c r="E9188">
        <v>47.9</v>
      </c>
    </row>
    <row r="9189" spans="1:5" x14ac:dyDescent="0.2">
      <c r="A9189">
        <v>48640</v>
      </c>
      <c r="B9189">
        <v>46410</v>
      </c>
      <c r="C9189">
        <v>352</v>
      </c>
      <c r="D9189">
        <v>113.1</v>
      </c>
      <c r="E9189">
        <v>48.6</v>
      </c>
    </row>
    <row r="9190" spans="1:5" x14ac:dyDescent="0.2">
      <c r="A9190">
        <v>48660</v>
      </c>
      <c r="B9190">
        <v>46435</v>
      </c>
      <c r="C9190">
        <v>356</v>
      </c>
      <c r="D9190">
        <v>112.4</v>
      </c>
      <c r="E9190">
        <v>49.2</v>
      </c>
    </row>
    <row r="9191" spans="1:5" x14ac:dyDescent="0.2">
      <c r="A9191">
        <v>48680</v>
      </c>
      <c r="B9191">
        <v>46461</v>
      </c>
      <c r="C9191">
        <v>360</v>
      </c>
      <c r="D9191">
        <v>111.5</v>
      </c>
      <c r="E9191">
        <v>49.7</v>
      </c>
    </row>
    <row r="9192" spans="1:5" x14ac:dyDescent="0.2">
      <c r="A9192">
        <v>48700</v>
      </c>
      <c r="B9192">
        <v>46487</v>
      </c>
      <c r="C9192">
        <v>360</v>
      </c>
      <c r="D9192">
        <v>110.6</v>
      </c>
      <c r="E9192">
        <v>49.7</v>
      </c>
    </row>
    <row r="9193" spans="1:5" x14ac:dyDescent="0.2">
      <c r="A9193">
        <v>48720</v>
      </c>
      <c r="B9193">
        <v>46514</v>
      </c>
      <c r="C9193">
        <v>361</v>
      </c>
      <c r="D9193">
        <v>109.6</v>
      </c>
      <c r="E9193">
        <v>49.9</v>
      </c>
    </row>
    <row r="9194" spans="1:5" x14ac:dyDescent="0.2">
      <c r="A9194">
        <v>48740</v>
      </c>
      <c r="B9194">
        <v>46541</v>
      </c>
      <c r="C9194">
        <v>362</v>
      </c>
      <c r="D9194">
        <v>108.5</v>
      </c>
      <c r="E9194">
        <v>49.9</v>
      </c>
    </row>
    <row r="9195" spans="1:5" x14ac:dyDescent="0.2">
      <c r="A9195">
        <v>48760</v>
      </c>
      <c r="B9195">
        <v>46569</v>
      </c>
      <c r="C9195">
        <v>362</v>
      </c>
      <c r="D9195">
        <v>107.4</v>
      </c>
      <c r="E9195">
        <v>49.8</v>
      </c>
    </row>
    <row r="9196" spans="1:5" x14ac:dyDescent="0.2">
      <c r="A9196">
        <v>48780</v>
      </c>
      <c r="B9196">
        <v>46596</v>
      </c>
      <c r="C9196">
        <v>362</v>
      </c>
      <c r="D9196">
        <v>106.3</v>
      </c>
      <c r="E9196">
        <v>49.8</v>
      </c>
    </row>
    <row r="9197" spans="1:5" x14ac:dyDescent="0.2">
      <c r="A9197">
        <v>48800</v>
      </c>
      <c r="B9197">
        <v>46624</v>
      </c>
      <c r="C9197">
        <v>364</v>
      </c>
      <c r="D9197">
        <v>105.1</v>
      </c>
      <c r="E9197">
        <v>50</v>
      </c>
    </row>
    <row r="9198" spans="1:5" x14ac:dyDescent="0.2">
      <c r="A9198">
        <v>48820</v>
      </c>
      <c r="B9198">
        <v>46651</v>
      </c>
      <c r="C9198">
        <v>365</v>
      </c>
      <c r="D9198">
        <v>104.1</v>
      </c>
      <c r="E9198">
        <v>50.1</v>
      </c>
    </row>
    <row r="9199" spans="1:5" x14ac:dyDescent="0.2">
      <c r="A9199">
        <v>48840</v>
      </c>
      <c r="B9199">
        <v>46678</v>
      </c>
      <c r="C9199">
        <v>368</v>
      </c>
      <c r="D9199">
        <v>103.1</v>
      </c>
      <c r="E9199">
        <v>50.5</v>
      </c>
    </row>
    <row r="9200" spans="1:5" x14ac:dyDescent="0.2">
      <c r="A9200">
        <v>48860</v>
      </c>
      <c r="B9200">
        <v>46706</v>
      </c>
      <c r="C9200">
        <v>371</v>
      </c>
      <c r="D9200">
        <v>101.9</v>
      </c>
      <c r="E9200">
        <v>50.8</v>
      </c>
    </row>
    <row r="9201" spans="1:5" x14ac:dyDescent="0.2">
      <c r="A9201">
        <v>48880</v>
      </c>
      <c r="B9201">
        <v>46733</v>
      </c>
      <c r="C9201">
        <v>374</v>
      </c>
      <c r="D9201">
        <v>100.9</v>
      </c>
      <c r="E9201">
        <v>51.2</v>
      </c>
    </row>
    <row r="9202" spans="1:5" x14ac:dyDescent="0.2">
      <c r="A9202">
        <v>48900</v>
      </c>
      <c r="B9202">
        <v>46757</v>
      </c>
      <c r="C9202">
        <v>377</v>
      </c>
      <c r="D9202">
        <v>100.3</v>
      </c>
      <c r="E9202">
        <v>51.6</v>
      </c>
    </row>
    <row r="9203" spans="1:5" x14ac:dyDescent="0.2">
      <c r="A9203">
        <v>48920</v>
      </c>
      <c r="B9203">
        <v>46782</v>
      </c>
      <c r="C9203">
        <v>381</v>
      </c>
      <c r="D9203">
        <v>99.5</v>
      </c>
      <c r="E9203">
        <v>52.1</v>
      </c>
    </row>
    <row r="9204" spans="1:5" x14ac:dyDescent="0.2">
      <c r="A9204">
        <v>48940</v>
      </c>
      <c r="B9204">
        <v>46805</v>
      </c>
      <c r="C9204">
        <v>384</v>
      </c>
      <c r="D9204">
        <v>99</v>
      </c>
      <c r="E9204">
        <v>52.4</v>
      </c>
    </row>
    <row r="9205" spans="1:5" x14ac:dyDescent="0.2">
      <c r="A9205">
        <v>48960</v>
      </c>
      <c r="B9205">
        <v>46828</v>
      </c>
      <c r="C9205">
        <v>386</v>
      </c>
      <c r="D9205">
        <v>98.7</v>
      </c>
      <c r="E9205">
        <v>52.7</v>
      </c>
    </row>
    <row r="9206" spans="1:5" x14ac:dyDescent="0.2">
      <c r="A9206">
        <v>48980</v>
      </c>
      <c r="B9206">
        <v>46849</v>
      </c>
      <c r="C9206">
        <v>387</v>
      </c>
      <c r="D9206">
        <v>98.3</v>
      </c>
      <c r="E9206">
        <v>52.8</v>
      </c>
    </row>
    <row r="9207" spans="1:5" x14ac:dyDescent="0.2">
      <c r="A9207">
        <v>49000</v>
      </c>
      <c r="B9207">
        <v>46870</v>
      </c>
      <c r="C9207">
        <v>387</v>
      </c>
      <c r="D9207">
        <v>98.2</v>
      </c>
      <c r="E9207">
        <v>52.8</v>
      </c>
    </row>
    <row r="9208" spans="1:5" x14ac:dyDescent="0.2">
      <c r="A9208">
        <v>49020</v>
      </c>
      <c r="B9208">
        <v>46888</v>
      </c>
      <c r="C9208">
        <v>385</v>
      </c>
      <c r="D9208">
        <v>98.4</v>
      </c>
      <c r="E9208">
        <v>52.6</v>
      </c>
    </row>
    <row r="9209" spans="1:5" x14ac:dyDescent="0.2">
      <c r="A9209">
        <v>49040</v>
      </c>
      <c r="B9209">
        <v>46905</v>
      </c>
      <c r="C9209">
        <v>382</v>
      </c>
      <c r="D9209">
        <v>98.7</v>
      </c>
      <c r="E9209">
        <v>52.1</v>
      </c>
    </row>
    <row r="9210" spans="1:5" x14ac:dyDescent="0.2">
      <c r="A9210">
        <v>49060</v>
      </c>
      <c r="B9210">
        <v>46921</v>
      </c>
      <c r="C9210">
        <v>381</v>
      </c>
      <c r="D9210">
        <v>99.1</v>
      </c>
      <c r="E9210">
        <v>52</v>
      </c>
    </row>
    <row r="9211" spans="1:5" x14ac:dyDescent="0.2">
      <c r="A9211">
        <v>49080</v>
      </c>
      <c r="B9211">
        <v>46936</v>
      </c>
      <c r="C9211">
        <v>378</v>
      </c>
      <c r="D9211">
        <v>99.7</v>
      </c>
      <c r="E9211">
        <v>51.7</v>
      </c>
    </row>
    <row r="9212" spans="1:5" x14ac:dyDescent="0.2">
      <c r="A9212">
        <v>49100</v>
      </c>
      <c r="B9212">
        <v>46950</v>
      </c>
      <c r="C9212">
        <v>378</v>
      </c>
      <c r="D9212">
        <v>100.5</v>
      </c>
      <c r="E9212">
        <v>51.8</v>
      </c>
    </row>
    <row r="9213" spans="1:5" x14ac:dyDescent="0.2">
      <c r="A9213">
        <v>49120</v>
      </c>
      <c r="B9213">
        <v>46961</v>
      </c>
      <c r="C9213">
        <v>378</v>
      </c>
      <c r="D9213">
        <v>101.7</v>
      </c>
      <c r="E9213">
        <v>51.7</v>
      </c>
    </row>
    <row r="9214" spans="1:5" x14ac:dyDescent="0.2">
      <c r="A9214">
        <v>49140</v>
      </c>
      <c r="B9214">
        <v>46972</v>
      </c>
      <c r="C9214">
        <v>378</v>
      </c>
      <c r="D9214">
        <v>102.8</v>
      </c>
      <c r="E9214">
        <v>51.8</v>
      </c>
    </row>
    <row r="9215" spans="1:5" x14ac:dyDescent="0.2">
      <c r="A9215">
        <v>49160</v>
      </c>
      <c r="B9215">
        <v>46979</v>
      </c>
      <c r="C9215">
        <v>379</v>
      </c>
      <c r="D9215">
        <v>104.4</v>
      </c>
      <c r="E9215">
        <v>52</v>
      </c>
    </row>
    <row r="9216" spans="1:5" x14ac:dyDescent="0.2">
      <c r="A9216">
        <v>49180</v>
      </c>
      <c r="B9216">
        <v>46989</v>
      </c>
      <c r="C9216">
        <v>379</v>
      </c>
      <c r="D9216">
        <v>105.9</v>
      </c>
      <c r="E9216">
        <v>52.1</v>
      </c>
    </row>
    <row r="9217" spans="1:5" x14ac:dyDescent="0.2">
      <c r="A9217">
        <v>49200</v>
      </c>
      <c r="B9217">
        <v>46994</v>
      </c>
      <c r="C9217">
        <v>381</v>
      </c>
      <c r="D9217">
        <v>107.8</v>
      </c>
      <c r="E9217">
        <v>52.4</v>
      </c>
    </row>
    <row r="9218" spans="1:5" x14ac:dyDescent="0.2">
      <c r="A9218">
        <v>49220</v>
      </c>
      <c r="B9218">
        <v>47001</v>
      </c>
      <c r="C9218">
        <v>381</v>
      </c>
      <c r="D9218">
        <v>109.5</v>
      </c>
      <c r="E9218">
        <v>52.6</v>
      </c>
    </row>
    <row r="9219" spans="1:5" x14ac:dyDescent="0.2">
      <c r="A9219">
        <v>49240</v>
      </c>
      <c r="B9219">
        <v>47004</v>
      </c>
      <c r="C9219">
        <v>381</v>
      </c>
      <c r="D9219">
        <v>111.8</v>
      </c>
      <c r="E9219">
        <v>52.6</v>
      </c>
    </row>
    <row r="9220" spans="1:5" x14ac:dyDescent="0.2">
      <c r="A9220">
        <v>49260</v>
      </c>
      <c r="B9220">
        <v>47007</v>
      </c>
      <c r="C9220">
        <v>379</v>
      </c>
      <c r="D9220">
        <v>114.1</v>
      </c>
      <c r="E9220">
        <v>52.5</v>
      </c>
    </row>
    <row r="9221" spans="1:5" x14ac:dyDescent="0.2">
      <c r="A9221">
        <v>49280</v>
      </c>
      <c r="B9221">
        <v>47009</v>
      </c>
      <c r="C9221">
        <v>377</v>
      </c>
      <c r="D9221">
        <v>116.5</v>
      </c>
      <c r="E9221">
        <v>52.3</v>
      </c>
    </row>
    <row r="9222" spans="1:5" x14ac:dyDescent="0.2">
      <c r="A9222">
        <v>49300</v>
      </c>
      <c r="B9222">
        <v>47010</v>
      </c>
      <c r="C9222">
        <v>374</v>
      </c>
      <c r="D9222">
        <v>119</v>
      </c>
      <c r="E9222">
        <v>52</v>
      </c>
    </row>
    <row r="9223" spans="1:5" x14ac:dyDescent="0.2">
      <c r="A9223">
        <v>49320</v>
      </c>
      <c r="B9223">
        <v>47010</v>
      </c>
      <c r="C9223">
        <v>371</v>
      </c>
      <c r="D9223">
        <v>121.7</v>
      </c>
      <c r="E9223">
        <v>51.7</v>
      </c>
    </row>
    <row r="9224" spans="1:5" x14ac:dyDescent="0.2">
      <c r="A9224">
        <v>49340</v>
      </c>
      <c r="B9224">
        <v>47010</v>
      </c>
      <c r="C9224">
        <v>368</v>
      </c>
      <c r="D9224">
        <v>124.4</v>
      </c>
      <c r="E9224">
        <v>51.5</v>
      </c>
    </row>
    <row r="9225" spans="1:5" x14ac:dyDescent="0.2">
      <c r="A9225">
        <v>49360</v>
      </c>
      <c r="B9225">
        <v>47010</v>
      </c>
      <c r="C9225">
        <v>368</v>
      </c>
      <c r="D9225">
        <v>127.1</v>
      </c>
      <c r="E9225">
        <v>51.5</v>
      </c>
    </row>
    <row r="9226" spans="1:5" x14ac:dyDescent="0.2">
      <c r="A9226">
        <v>49380</v>
      </c>
      <c r="B9226">
        <v>47011</v>
      </c>
      <c r="C9226">
        <v>368</v>
      </c>
      <c r="D9226">
        <v>129.69999999999999</v>
      </c>
      <c r="E9226">
        <v>51.7</v>
      </c>
    </row>
    <row r="9227" spans="1:5" x14ac:dyDescent="0.2">
      <c r="A9227">
        <v>49400</v>
      </c>
      <c r="B9227">
        <v>47013</v>
      </c>
      <c r="C9227">
        <v>369</v>
      </c>
      <c r="D9227">
        <v>132.19999999999999</v>
      </c>
      <c r="E9227">
        <v>51.9</v>
      </c>
    </row>
    <row r="9228" spans="1:5" x14ac:dyDescent="0.2">
      <c r="A9228">
        <v>49420</v>
      </c>
      <c r="B9228">
        <v>47013</v>
      </c>
      <c r="C9228">
        <v>370</v>
      </c>
      <c r="D9228">
        <v>134.9</v>
      </c>
      <c r="E9228">
        <v>52.2</v>
      </c>
    </row>
    <row r="9229" spans="1:5" x14ac:dyDescent="0.2">
      <c r="A9229">
        <v>49440</v>
      </c>
      <c r="B9229">
        <v>47016</v>
      </c>
      <c r="C9229">
        <v>371</v>
      </c>
      <c r="D9229">
        <v>137.30000000000001</v>
      </c>
      <c r="E9229">
        <v>52.4</v>
      </c>
    </row>
    <row r="9230" spans="1:5" x14ac:dyDescent="0.2">
      <c r="A9230">
        <v>49460</v>
      </c>
      <c r="B9230">
        <v>47019</v>
      </c>
      <c r="C9230">
        <v>372</v>
      </c>
      <c r="D9230">
        <v>139.6</v>
      </c>
      <c r="E9230">
        <v>52.7</v>
      </c>
    </row>
    <row r="9231" spans="1:5" x14ac:dyDescent="0.2">
      <c r="A9231">
        <v>49480</v>
      </c>
      <c r="B9231">
        <v>47024</v>
      </c>
      <c r="C9231">
        <v>372</v>
      </c>
      <c r="D9231">
        <v>141.6</v>
      </c>
      <c r="E9231">
        <v>52.8</v>
      </c>
    </row>
    <row r="9232" spans="1:5" x14ac:dyDescent="0.2">
      <c r="A9232">
        <v>49500</v>
      </c>
      <c r="B9232">
        <v>47030</v>
      </c>
      <c r="C9232">
        <v>371</v>
      </c>
      <c r="D9232">
        <v>143.5</v>
      </c>
      <c r="E9232">
        <v>52.7</v>
      </c>
    </row>
    <row r="9233" spans="1:5" x14ac:dyDescent="0.2">
      <c r="A9233">
        <v>49520</v>
      </c>
      <c r="B9233">
        <v>47038</v>
      </c>
      <c r="C9233">
        <v>368</v>
      </c>
      <c r="D9233">
        <v>145.19999999999999</v>
      </c>
      <c r="E9233">
        <v>52.4</v>
      </c>
    </row>
    <row r="9234" spans="1:5" x14ac:dyDescent="0.2">
      <c r="A9234">
        <v>49540</v>
      </c>
      <c r="B9234">
        <v>47046</v>
      </c>
      <c r="C9234">
        <v>365</v>
      </c>
      <c r="D9234">
        <v>146.80000000000001</v>
      </c>
      <c r="E9234">
        <v>52</v>
      </c>
    </row>
    <row r="9235" spans="1:5" x14ac:dyDescent="0.2">
      <c r="A9235">
        <v>49560</v>
      </c>
      <c r="B9235">
        <v>47057</v>
      </c>
      <c r="C9235">
        <v>361</v>
      </c>
      <c r="D9235">
        <v>148</v>
      </c>
      <c r="E9235">
        <v>51.5</v>
      </c>
    </row>
    <row r="9236" spans="1:5" x14ac:dyDescent="0.2">
      <c r="A9236">
        <v>49580</v>
      </c>
      <c r="B9236">
        <v>47067</v>
      </c>
      <c r="C9236">
        <v>356</v>
      </c>
      <c r="D9236">
        <v>149.30000000000001</v>
      </c>
      <c r="E9236">
        <v>50.8</v>
      </c>
    </row>
    <row r="9237" spans="1:5" x14ac:dyDescent="0.2">
      <c r="A9237">
        <v>49600</v>
      </c>
      <c r="B9237">
        <v>47079</v>
      </c>
      <c r="C9237">
        <v>352</v>
      </c>
      <c r="D9237">
        <v>150.4</v>
      </c>
      <c r="E9237">
        <v>50.3</v>
      </c>
    </row>
    <row r="9238" spans="1:5" x14ac:dyDescent="0.2">
      <c r="A9238">
        <v>49620</v>
      </c>
      <c r="B9238">
        <v>47092</v>
      </c>
      <c r="C9238">
        <v>348</v>
      </c>
      <c r="D9238">
        <v>151.19999999999999</v>
      </c>
      <c r="E9238">
        <v>49.8</v>
      </c>
    </row>
    <row r="9239" spans="1:5" x14ac:dyDescent="0.2">
      <c r="A9239">
        <v>49640</v>
      </c>
      <c r="B9239">
        <v>47107</v>
      </c>
      <c r="C9239">
        <v>346</v>
      </c>
      <c r="D9239">
        <v>151.80000000000001</v>
      </c>
      <c r="E9239">
        <v>49.5</v>
      </c>
    </row>
    <row r="9240" spans="1:5" x14ac:dyDescent="0.2">
      <c r="A9240">
        <v>49660</v>
      </c>
      <c r="B9240">
        <v>47122</v>
      </c>
      <c r="C9240">
        <v>344</v>
      </c>
      <c r="D9240">
        <v>152.4</v>
      </c>
      <c r="E9240">
        <v>49.3</v>
      </c>
    </row>
    <row r="9241" spans="1:5" x14ac:dyDescent="0.2">
      <c r="A9241">
        <v>49680</v>
      </c>
      <c r="B9241">
        <v>47139</v>
      </c>
      <c r="C9241">
        <v>343</v>
      </c>
      <c r="D9241">
        <v>152.80000000000001</v>
      </c>
      <c r="E9241">
        <v>49.2</v>
      </c>
    </row>
    <row r="9242" spans="1:5" x14ac:dyDescent="0.2">
      <c r="A9242">
        <v>49700</v>
      </c>
      <c r="B9242">
        <v>47157</v>
      </c>
      <c r="C9242">
        <v>343</v>
      </c>
      <c r="D9242">
        <v>153</v>
      </c>
      <c r="E9242">
        <v>49.2</v>
      </c>
    </row>
    <row r="9243" spans="1:5" x14ac:dyDescent="0.2">
      <c r="A9243">
        <v>49720</v>
      </c>
      <c r="B9243">
        <v>47175</v>
      </c>
      <c r="C9243">
        <v>344</v>
      </c>
      <c r="D9243">
        <v>153.19999999999999</v>
      </c>
      <c r="E9243">
        <v>49.3</v>
      </c>
    </row>
    <row r="9244" spans="1:5" x14ac:dyDescent="0.2">
      <c r="A9244">
        <v>49740</v>
      </c>
      <c r="B9244">
        <v>47196</v>
      </c>
      <c r="C9244">
        <v>346</v>
      </c>
      <c r="D9244">
        <v>153</v>
      </c>
      <c r="E9244">
        <v>49.6</v>
      </c>
    </row>
    <row r="9245" spans="1:5" x14ac:dyDescent="0.2">
      <c r="A9245">
        <v>49760</v>
      </c>
      <c r="B9245">
        <v>47217</v>
      </c>
      <c r="C9245">
        <v>347</v>
      </c>
      <c r="D9245">
        <v>152.69999999999999</v>
      </c>
      <c r="E9245">
        <v>49.8</v>
      </c>
    </row>
    <row r="9246" spans="1:5" x14ac:dyDescent="0.2">
      <c r="A9246">
        <v>49780</v>
      </c>
      <c r="B9246">
        <v>47239</v>
      </c>
      <c r="C9246">
        <v>349</v>
      </c>
      <c r="D9246">
        <v>152.4</v>
      </c>
      <c r="E9246">
        <v>50</v>
      </c>
    </row>
    <row r="9247" spans="1:5" x14ac:dyDescent="0.2">
      <c r="A9247">
        <v>49800</v>
      </c>
      <c r="B9247">
        <v>47262</v>
      </c>
      <c r="C9247">
        <v>350</v>
      </c>
      <c r="D9247">
        <v>152</v>
      </c>
      <c r="E9247">
        <v>50.2</v>
      </c>
    </row>
    <row r="9248" spans="1:5" x14ac:dyDescent="0.2">
      <c r="A9248">
        <v>49820</v>
      </c>
      <c r="B9248">
        <v>47285</v>
      </c>
      <c r="C9248">
        <v>353</v>
      </c>
      <c r="D9248">
        <v>151.4</v>
      </c>
      <c r="E9248">
        <v>50.5</v>
      </c>
    </row>
    <row r="9249" spans="1:5" x14ac:dyDescent="0.2">
      <c r="A9249">
        <v>49840</v>
      </c>
      <c r="B9249">
        <v>47311</v>
      </c>
      <c r="C9249">
        <v>352</v>
      </c>
      <c r="D9249">
        <v>150.5</v>
      </c>
      <c r="E9249">
        <v>50.4</v>
      </c>
    </row>
    <row r="9250" spans="1:5" x14ac:dyDescent="0.2">
      <c r="A9250">
        <v>49860</v>
      </c>
      <c r="B9250">
        <v>47335</v>
      </c>
      <c r="C9250">
        <v>353</v>
      </c>
      <c r="D9250">
        <v>149.80000000000001</v>
      </c>
      <c r="E9250">
        <v>50.5</v>
      </c>
    </row>
    <row r="9251" spans="1:5" x14ac:dyDescent="0.2">
      <c r="A9251">
        <v>49880</v>
      </c>
      <c r="B9251">
        <v>47363</v>
      </c>
      <c r="C9251">
        <v>353</v>
      </c>
      <c r="D9251">
        <v>148.69999999999999</v>
      </c>
      <c r="E9251">
        <v>50.4</v>
      </c>
    </row>
    <row r="9252" spans="1:5" x14ac:dyDescent="0.2">
      <c r="A9252">
        <v>49900</v>
      </c>
      <c r="B9252">
        <v>47390</v>
      </c>
      <c r="C9252">
        <v>352</v>
      </c>
      <c r="D9252">
        <v>147.6</v>
      </c>
      <c r="E9252">
        <v>50.2</v>
      </c>
    </row>
    <row r="9253" spans="1:5" x14ac:dyDescent="0.2">
      <c r="A9253">
        <v>49920</v>
      </c>
      <c r="B9253">
        <v>47417</v>
      </c>
      <c r="C9253">
        <v>351</v>
      </c>
      <c r="D9253">
        <v>146.5</v>
      </c>
      <c r="E9253">
        <v>49.9</v>
      </c>
    </row>
    <row r="9254" spans="1:5" x14ac:dyDescent="0.2">
      <c r="A9254">
        <v>49940</v>
      </c>
      <c r="B9254">
        <v>47446</v>
      </c>
      <c r="C9254">
        <v>350</v>
      </c>
      <c r="D9254">
        <v>145.1</v>
      </c>
      <c r="E9254">
        <v>49.7</v>
      </c>
    </row>
    <row r="9255" spans="1:5" x14ac:dyDescent="0.2">
      <c r="A9255">
        <v>49960</v>
      </c>
      <c r="B9255">
        <v>47473</v>
      </c>
      <c r="C9255">
        <v>350</v>
      </c>
      <c r="D9255">
        <v>143.9</v>
      </c>
      <c r="E9255">
        <v>49.7</v>
      </c>
    </row>
    <row r="9256" spans="1:5" x14ac:dyDescent="0.2">
      <c r="A9256">
        <v>49980</v>
      </c>
      <c r="B9256">
        <v>47502</v>
      </c>
      <c r="C9256">
        <v>352</v>
      </c>
      <c r="D9256">
        <v>142.6</v>
      </c>
      <c r="E9256">
        <v>49.9</v>
      </c>
    </row>
    <row r="9257" spans="1:5" x14ac:dyDescent="0.2">
      <c r="A9257">
        <v>50000</v>
      </c>
      <c r="B9257">
        <v>47531</v>
      </c>
      <c r="C9257">
        <v>354</v>
      </c>
      <c r="D9257">
        <v>141.30000000000001</v>
      </c>
      <c r="E9257">
        <v>50.1</v>
      </c>
    </row>
    <row r="9258" spans="1:5" x14ac:dyDescent="0.2">
      <c r="A9258">
        <v>50020</v>
      </c>
      <c r="B9258">
        <v>47560</v>
      </c>
      <c r="C9258">
        <v>356</v>
      </c>
      <c r="D9258">
        <v>139.9</v>
      </c>
      <c r="E9258">
        <v>50.4</v>
      </c>
    </row>
    <row r="9259" spans="1:5" x14ac:dyDescent="0.2">
      <c r="A9259">
        <v>50040</v>
      </c>
      <c r="B9259">
        <v>47588</v>
      </c>
      <c r="C9259">
        <v>360</v>
      </c>
      <c r="D9259">
        <v>138.69999999999999</v>
      </c>
      <c r="E9259">
        <v>50.8</v>
      </c>
    </row>
    <row r="9260" spans="1:5" x14ac:dyDescent="0.2">
      <c r="A9260">
        <v>50060</v>
      </c>
      <c r="B9260">
        <v>47616</v>
      </c>
      <c r="C9260">
        <v>362</v>
      </c>
      <c r="D9260">
        <v>137.5</v>
      </c>
      <c r="E9260">
        <v>51</v>
      </c>
    </row>
    <row r="9261" spans="1:5" x14ac:dyDescent="0.2">
      <c r="A9261">
        <v>50080</v>
      </c>
      <c r="B9261">
        <v>47643</v>
      </c>
      <c r="C9261">
        <v>362</v>
      </c>
      <c r="D9261">
        <v>136.5</v>
      </c>
      <c r="E9261">
        <v>51.1</v>
      </c>
    </row>
    <row r="9262" spans="1:5" x14ac:dyDescent="0.2">
      <c r="A9262">
        <v>50100</v>
      </c>
      <c r="B9262">
        <v>47669</v>
      </c>
      <c r="C9262">
        <v>364</v>
      </c>
      <c r="D9262">
        <v>135.5</v>
      </c>
      <c r="E9262">
        <v>51.3</v>
      </c>
    </row>
    <row r="9263" spans="1:5" x14ac:dyDescent="0.2">
      <c r="A9263">
        <v>50120</v>
      </c>
      <c r="B9263">
        <v>47695</v>
      </c>
      <c r="C9263">
        <v>362</v>
      </c>
      <c r="D9263">
        <v>134.6</v>
      </c>
      <c r="E9263">
        <v>50.9</v>
      </c>
    </row>
    <row r="9264" spans="1:5" x14ac:dyDescent="0.2">
      <c r="A9264">
        <v>50140</v>
      </c>
      <c r="B9264">
        <v>47719</v>
      </c>
      <c r="C9264">
        <v>360</v>
      </c>
      <c r="D9264">
        <v>133.9</v>
      </c>
      <c r="E9264">
        <v>50.6</v>
      </c>
    </row>
    <row r="9265" spans="1:5" x14ac:dyDescent="0.2">
      <c r="A9265">
        <v>50160</v>
      </c>
      <c r="B9265">
        <v>47743</v>
      </c>
      <c r="C9265">
        <v>358</v>
      </c>
      <c r="D9265">
        <v>133.19999999999999</v>
      </c>
      <c r="E9265">
        <v>50.4</v>
      </c>
    </row>
    <row r="9266" spans="1:5" x14ac:dyDescent="0.2">
      <c r="A9266">
        <v>50180</v>
      </c>
      <c r="B9266">
        <v>47766</v>
      </c>
      <c r="C9266">
        <v>356</v>
      </c>
      <c r="D9266">
        <v>132.80000000000001</v>
      </c>
      <c r="E9266">
        <v>50.1</v>
      </c>
    </row>
    <row r="9267" spans="1:5" x14ac:dyDescent="0.2">
      <c r="A9267">
        <v>50200</v>
      </c>
      <c r="B9267">
        <v>47787</v>
      </c>
      <c r="C9267">
        <v>356</v>
      </c>
      <c r="D9267">
        <v>132.6</v>
      </c>
      <c r="E9267">
        <v>50</v>
      </c>
    </row>
    <row r="9268" spans="1:5" x14ac:dyDescent="0.2">
      <c r="A9268">
        <v>50220</v>
      </c>
      <c r="B9268">
        <v>47808</v>
      </c>
      <c r="C9268">
        <v>357</v>
      </c>
      <c r="D9268">
        <v>132.4</v>
      </c>
      <c r="E9268">
        <v>50.2</v>
      </c>
    </row>
    <row r="9269" spans="1:5" x14ac:dyDescent="0.2">
      <c r="A9269">
        <v>50240</v>
      </c>
      <c r="B9269">
        <v>47828</v>
      </c>
      <c r="C9269">
        <v>357</v>
      </c>
      <c r="D9269">
        <v>132.19999999999999</v>
      </c>
      <c r="E9269">
        <v>50.3</v>
      </c>
    </row>
    <row r="9270" spans="1:5" x14ac:dyDescent="0.2">
      <c r="A9270">
        <v>50260</v>
      </c>
      <c r="B9270">
        <v>47846</v>
      </c>
      <c r="C9270">
        <v>359</v>
      </c>
      <c r="D9270">
        <v>132.5</v>
      </c>
      <c r="E9270">
        <v>50.5</v>
      </c>
    </row>
    <row r="9271" spans="1:5" x14ac:dyDescent="0.2">
      <c r="A9271">
        <v>50280</v>
      </c>
      <c r="B9271">
        <v>47864</v>
      </c>
      <c r="C9271">
        <v>360</v>
      </c>
      <c r="D9271">
        <v>132.69999999999999</v>
      </c>
      <c r="E9271">
        <v>50.6</v>
      </c>
    </row>
    <row r="9272" spans="1:5" x14ac:dyDescent="0.2">
      <c r="A9272">
        <v>50300</v>
      </c>
      <c r="B9272">
        <v>47880</v>
      </c>
      <c r="C9272">
        <v>362</v>
      </c>
      <c r="D9272">
        <v>133.19999999999999</v>
      </c>
      <c r="E9272">
        <v>51</v>
      </c>
    </row>
    <row r="9273" spans="1:5" x14ac:dyDescent="0.2">
      <c r="A9273">
        <v>50320</v>
      </c>
      <c r="B9273">
        <v>47895</v>
      </c>
      <c r="C9273">
        <v>363</v>
      </c>
      <c r="D9273">
        <v>133.9</v>
      </c>
      <c r="E9273">
        <v>51.1</v>
      </c>
    </row>
    <row r="9274" spans="1:5" x14ac:dyDescent="0.2">
      <c r="A9274">
        <v>50340</v>
      </c>
      <c r="B9274">
        <v>47909</v>
      </c>
      <c r="C9274">
        <v>363</v>
      </c>
      <c r="D9274">
        <v>134.5</v>
      </c>
      <c r="E9274">
        <v>51.2</v>
      </c>
    </row>
    <row r="9275" spans="1:5" x14ac:dyDescent="0.2">
      <c r="A9275">
        <v>50360</v>
      </c>
      <c r="B9275">
        <v>47923</v>
      </c>
      <c r="C9275">
        <v>366</v>
      </c>
      <c r="D9275">
        <v>135.4</v>
      </c>
      <c r="E9275">
        <v>51.6</v>
      </c>
    </row>
    <row r="9276" spans="1:5" x14ac:dyDescent="0.2">
      <c r="A9276">
        <v>50380</v>
      </c>
      <c r="B9276">
        <v>47937</v>
      </c>
      <c r="C9276">
        <v>368</v>
      </c>
      <c r="D9276">
        <v>136.1</v>
      </c>
      <c r="E9276">
        <v>51.9</v>
      </c>
    </row>
    <row r="9277" spans="1:5" x14ac:dyDescent="0.2">
      <c r="A9277">
        <v>50400</v>
      </c>
      <c r="B9277">
        <v>47949</v>
      </c>
      <c r="C9277">
        <v>371</v>
      </c>
      <c r="D9277">
        <v>137.19999999999999</v>
      </c>
      <c r="E9277">
        <v>52.4</v>
      </c>
    </row>
    <row r="9278" spans="1:5" x14ac:dyDescent="0.2">
      <c r="A9278">
        <v>50420</v>
      </c>
      <c r="B9278">
        <v>47963</v>
      </c>
      <c r="C9278">
        <v>373</v>
      </c>
      <c r="D9278">
        <v>138.1</v>
      </c>
      <c r="E9278">
        <v>52.8</v>
      </c>
    </row>
    <row r="9279" spans="1:5" x14ac:dyDescent="0.2">
      <c r="A9279">
        <v>50440</v>
      </c>
      <c r="B9279">
        <v>47976</v>
      </c>
      <c r="C9279">
        <v>376</v>
      </c>
      <c r="D9279">
        <v>138.9</v>
      </c>
      <c r="E9279">
        <v>53.1</v>
      </c>
    </row>
    <row r="9280" spans="1:5" x14ac:dyDescent="0.2">
      <c r="A9280">
        <v>50460</v>
      </c>
      <c r="B9280">
        <v>47989</v>
      </c>
      <c r="C9280">
        <v>376</v>
      </c>
      <c r="D9280">
        <v>139.80000000000001</v>
      </c>
      <c r="E9280">
        <v>53.2</v>
      </c>
    </row>
    <row r="9281" spans="1:5" x14ac:dyDescent="0.2">
      <c r="A9281">
        <v>50480</v>
      </c>
      <c r="B9281">
        <v>48003</v>
      </c>
      <c r="C9281">
        <v>375</v>
      </c>
      <c r="D9281">
        <v>140.6</v>
      </c>
      <c r="E9281">
        <v>53.2</v>
      </c>
    </row>
    <row r="9282" spans="1:5" x14ac:dyDescent="0.2">
      <c r="A9282">
        <v>50500</v>
      </c>
      <c r="B9282">
        <v>48016</v>
      </c>
      <c r="C9282">
        <v>375</v>
      </c>
      <c r="D9282">
        <v>141.6</v>
      </c>
      <c r="E9282">
        <v>53.2</v>
      </c>
    </row>
    <row r="9283" spans="1:5" x14ac:dyDescent="0.2">
      <c r="A9283">
        <v>50520</v>
      </c>
      <c r="B9283">
        <v>48030</v>
      </c>
      <c r="C9283">
        <v>376</v>
      </c>
      <c r="D9283">
        <v>142.30000000000001</v>
      </c>
      <c r="E9283">
        <v>53.3</v>
      </c>
    </row>
    <row r="9284" spans="1:5" x14ac:dyDescent="0.2">
      <c r="A9284">
        <v>50540</v>
      </c>
      <c r="B9284">
        <v>48042</v>
      </c>
      <c r="C9284">
        <v>376</v>
      </c>
      <c r="D9284">
        <v>143.30000000000001</v>
      </c>
      <c r="E9284">
        <v>53.4</v>
      </c>
    </row>
    <row r="9285" spans="1:5" x14ac:dyDescent="0.2">
      <c r="A9285">
        <v>50560</v>
      </c>
      <c r="B9285">
        <v>48058</v>
      </c>
      <c r="C9285">
        <v>377</v>
      </c>
      <c r="D9285">
        <v>143.9</v>
      </c>
      <c r="E9285">
        <v>53.6</v>
      </c>
    </row>
    <row r="9286" spans="1:5" x14ac:dyDescent="0.2">
      <c r="A9286">
        <v>50580</v>
      </c>
      <c r="B9286">
        <v>48070</v>
      </c>
      <c r="C9286">
        <v>380</v>
      </c>
      <c r="D9286">
        <v>144.9</v>
      </c>
      <c r="E9286">
        <v>54.1</v>
      </c>
    </row>
    <row r="9287" spans="1:5" x14ac:dyDescent="0.2">
      <c r="A9287">
        <v>50600</v>
      </c>
      <c r="B9287">
        <v>48082</v>
      </c>
      <c r="C9287">
        <v>383</v>
      </c>
      <c r="D9287">
        <v>146</v>
      </c>
      <c r="E9287">
        <v>54.5</v>
      </c>
    </row>
    <row r="9288" spans="1:5" x14ac:dyDescent="0.2">
      <c r="A9288">
        <v>50620</v>
      </c>
      <c r="B9288">
        <v>48095</v>
      </c>
      <c r="C9288">
        <v>387</v>
      </c>
      <c r="D9288">
        <v>147</v>
      </c>
      <c r="E9288">
        <v>55.1</v>
      </c>
    </row>
    <row r="9289" spans="1:5" x14ac:dyDescent="0.2">
      <c r="A9289">
        <v>50640</v>
      </c>
      <c r="B9289">
        <v>48106</v>
      </c>
      <c r="C9289">
        <v>391</v>
      </c>
      <c r="D9289">
        <v>148.30000000000001</v>
      </c>
      <c r="E9289">
        <v>55.7</v>
      </c>
    </row>
    <row r="9290" spans="1:5" x14ac:dyDescent="0.2">
      <c r="A9290">
        <v>50660</v>
      </c>
      <c r="B9290">
        <v>48117</v>
      </c>
      <c r="C9290">
        <v>395</v>
      </c>
      <c r="D9290">
        <v>149.5</v>
      </c>
      <c r="E9290">
        <v>56.3</v>
      </c>
    </row>
    <row r="9291" spans="1:5" x14ac:dyDescent="0.2">
      <c r="A9291">
        <v>50680</v>
      </c>
      <c r="B9291">
        <v>48128</v>
      </c>
      <c r="C9291">
        <v>398</v>
      </c>
      <c r="D9291">
        <v>150.69999999999999</v>
      </c>
      <c r="E9291">
        <v>56.8</v>
      </c>
    </row>
    <row r="9292" spans="1:5" x14ac:dyDescent="0.2">
      <c r="A9292">
        <v>50700</v>
      </c>
      <c r="B9292">
        <v>48137</v>
      </c>
      <c r="C9292">
        <v>400</v>
      </c>
      <c r="D9292">
        <v>152.19999999999999</v>
      </c>
      <c r="E9292">
        <v>57.1</v>
      </c>
    </row>
    <row r="9293" spans="1:5" x14ac:dyDescent="0.2">
      <c r="A9293">
        <v>50720</v>
      </c>
      <c r="B9293">
        <v>48145</v>
      </c>
      <c r="C9293">
        <v>401</v>
      </c>
      <c r="D9293">
        <v>153.80000000000001</v>
      </c>
      <c r="E9293">
        <v>57.4</v>
      </c>
    </row>
    <row r="9294" spans="1:5" x14ac:dyDescent="0.2">
      <c r="A9294">
        <v>50740</v>
      </c>
      <c r="B9294">
        <v>48152</v>
      </c>
      <c r="C9294">
        <v>401</v>
      </c>
      <c r="D9294">
        <v>155.6</v>
      </c>
      <c r="E9294">
        <v>57.4</v>
      </c>
    </row>
    <row r="9295" spans="1:5" x14ac:dyDescent="0.2">
      <c r="A9295">
        <v>50760</v>
      </c>
      <c r="B9295">
        <v>48161</v>
      </c>
      <c r="C9295">
        <v>401</v>
      </c>
      <c r="D9295">
        <v>157</v>
      </c>
      <c r="E9295">
        <v>57.4</v>
      </c>
    </row>
    <row r="9296" spans="1:5" x14ac:dyDescent="0.2">
      <c r="A9296">
        <v>50780</v>
      </c>
      <c r="B9296">
        <v>48168</v>
      </c>
      <c r="C9296">
        <v>399</v>
      </c>
      <c r="D9296">
        <v>159</v>
      </c>
      <c r="E9296">
        <v>57.4</v>
      </c>
    </row>
    <row r="9297" spans="1:5" x14ac:dyDescent="0.2">
      <c r="A9297">
        <v>50800</v>
      </c>
      <c r="B9297">
        <v>48175</v>
      </c>
      <c r="C9297">
        <v>397</v>
      </c>
      <c r="D9297">
        <v>160.69999999999999</v>
      </c>
      <c r="E9297">
        <v>57.2</v>
      </c>
    </row>
    <row r="9298" spans="1:5" x14ac:dyDescent="0.2">
      <c r="A9298">
        <v>50820</v>
      </c>
      <c r="B9298">
        <v>48180</v>
      </c>
      <c r="C9298">
        <v>396</v>
      </c>
      <c r="D9298">
        <v>162.80000000000001</v>
      </c>
      <c r="E9298">
        <v>57.1</v>
      </c>
    </row>
    <row r="9299" spans="1:5" x14ac:dyDescent="0.2">
      <c r="A9299">
        <v>50840</v>
      </c>
      <c r="B9299">
        <v>48186</v>
      </c>
      <c r="C9299">
        <v>394</v>
      </c>
      <c r="D9299">
        <v>164.7</v>
      </c>
      <c r="E9299">
        <v>56.9</v>
      </c>
    </row>
    <row r="9300" spans="1:5" x14ac:dyDescent="0.2">
      <c r="A9300">
        <v>50860</v>
      </c>
      <c r="B9300">
        <v>48191</v>
      </c>
      <c r="C9300">
        <v>393</v>
      </c>
      <c r="D9300">
        <v>166.7</v>
      </c>
      <c r="E9300">
        <v>56.8</v>
      </c>
    </row>
    <row r="9301" spans="1:5" x14ac:dyDescent="0.2">
      <c r="A9301">
        <v>50880</v>
      </c>
      <c r="B9301">
        <v>48195</v>
      </c>
      <c r="C9301">
        <v>393</v>
      </c>
      <c r="D9301">
        <v>168.9</v>
      </c>
      <c r="E9301">
        <v>56.9</v>
      </c>
    </row>
    <row r="9302" spans="1:5" x14ac:dyDescent="0.2">
      <c r="A9302">
        <v>50900</v>
      </c>
      <c r="B9302">
        <v>48201</v>
      </c>
      <c r="C9302">
        <v>392</v>
      </c>
      <c r="D9302">
        <v>171</v>
      </c>
      <c r="E9302">
        <v>56.9</v>
      </c>
    </row>
    <row r="9303" spans="1:5" x14ac:dyDescent="0.2">
      <c r="A9303">
        <v>50920</v>
      </c>
      <c r="B9303">
        <v>48204</v>
      </c>
      <c r="C9303">
        <v>394</v>
      </c>
      <c r="D9303">
        <v>173.3</v>
      </c>
      <c r="E9303">
        <v>57.3</v>
      </c>
    </row>
    <row r="9304" spans="1:5" x14ac:dyDescent="0.2">
      <c r="A9304">
        <v>50940</v>
      </c>
      <c r="B9304">
        <v>48209</v>
      </c>
      <c r="C9304">
        <v>396</v>
      </c>
      <c r="D9304">
        <v>175.5</v>
      </c>
      <c r="E9304">
        <v>57.6</v>
      </c>
    </row>
    <row r="9305" spans="1:5" x14ac:dyDescent="0.2">
      <c r="A9305">
        <v>50960</v>
      </c>
      <c r="B9305">
        <v>48214</v>
      </c>
      <c r="C9305">
        <v>398</v>
      </c>
      <c r="D9305">
        <v>177.7</v>
      </c>
      <c r="E9305">
        <v>58</v>
      </c>
    </row>
    <row r="9306" spans="1:5" x14ac:dyDescent="0.2">
      <c r="A9306">
        <v>50980</v>
      </c>
      <c r="B9306">
        <v>48217</v>
      </c>
      <c r="C9306">
        <v>402</v>
      </c>
      <c r="D9306">
        <v>180</v>
      </c>
      <c r="E9306">
        <v>58.8</v>
      </c>
    </row>
    <row r="9307" spans="1:5" x14ac:dyDescent="0.2">
      <c r="A9307">
        <v>51000</v>
      </c>
      <c r="B9307">
        <v>48221</v>
      </c>
      <c r="C9307">
        <v>407</v>
      </c>
      <c r="D9307">
        <v>182.4</v>
      </c>
      <c r="E9307">
        <v>59.6</v>
      </c>
    </row>
    <row r="9308" spans="1:5" x14ac:dyDescent="0.2">
      <c r="A9308">
        <v>51020</v>
      </c>
      <c r="B9308">
        <v>48225</v>
      </c>
      <c r="C9308">
        <v>413</v>
      </c>
      <c r="D9308">
        <v>184.7</v>
      </c>
      <c r="E9308">
        <v>60.7</v>
      </c>
    </row>
    <row r="9309" spans="1:5" x14ac:dyDescent="0.2">
      <c r="A9309">
        <v>51040</v>
      </c>
      <c r="B9309">
        <v>48228</v>
      </c>
      <c r="C9309">
        <v>419</v>
      </c>
      <c r="D9309">
        <v>187.1</v>
      </c>
      <c r="E9309">
        <v>61.6</v>
      </c>
    </row>
    <row r="9310" spans="1:5" x14ac:dyDescent="0.2">
      <c r="A9310">
        <v>51060</v>
      </c>
      <c r="B9310">
        <v>48232</v>
      </c>
      <c r="C9310">
        <v>425</v>
      </c>
      <c r="D9310">
        <v>189.5</v>
      </c>
      <c r="E9310">
        <v>62.7</v>
      </c>
    </row>
    <row r="9311" spans="1:5" x14ac:dyDescent="0.2">
      <c r="A9311">
        <v>51080</v>
      </c>
      <c r="B9311">
        <v>48235</v>
      </c>
      <c r="C9311">
        <v>432</v>
      </c>
      <c r="D9311">
        <v>192</v>
      </c>
      <c r="E9311">
        <v>63.8</v>
      </c>
    </row>
    <row r="9312" spans="1:5" x14ac:dyDescent="0.2">
      <c r="A9312">
        <v>51100</v>
      </c>
      <c r="B9312">
        <v>48239</v>
      </c>
      <c r="C9312">
        <v>438</v>
      </c>
      <c r="D9312">
        <v>194.4</v>
      </c>
      <c r="E9312">
        <v>64.900000000000006</v>
      </c>
    </row>
    <row r="9313" spans="1:5" x14ac:dyDescent="0.2">
      <c r="A9313">
        <v>51120</v>
      </c>
      <c r="B9313">
        <v>48242</v>
      </c>
      <c r="C9313">
        <v>445</v>
      </c>
      <c r="D9313">
        <v>196.9</v>
      </c>
      <c r="E9313">
        <v>66.099999999999994</v>
      </c>
    </row>
    <row r="9314" spans="1:5" x14ac:dyDescent="0.2">
      <c r="A9314">
        <v>51140</v>
      </c>
      <c r="B9314">
        <v>48246</v>
      </c>
      <c r="C9314">
        <v>451</v>
      </c>
      <c r="D9314">
        <v>199.2</v>
      </c>
      <c r="E9314">
        <v>67</v>
      </c>
    </row>
    <row r="9315" spans="1:5" x14ac:dyDescent="0.2">
      <c r="A9315">
        <v>51160</v>
      </c>
      <c r="B9315">
        <v>48249</v>
      </c>
      <c r="C9315">
        <v>456</v>
      </c>
      <c r="D9315">
        <v>201.7</v>
      </c>
      <c r="E9315">
        <v>68</v>
      </c>
    </row>
    <row r="9316" spans="1:5" x14ac:dyDescent="0.2">
      <c r="A9316">
        <v>51180</v>
      </c>
      <c r="B9316">
        <v>48252</v>
      </c>
      <c r="C9316">
        <v>460</v>
      </c>
      <c r="D9316">
        <v>204.1</v>
      </c>
      <c r="E9316">
        <v>68.7</v>
      </c>
    </row>
    <row r="9317" spans="1:5" x14ac:dyDescent="0.2">
      <c r="A9317">
        <v>51200</v>
      </c>
      <c r="B9317">
        <v>48256</v>
      </c>
      <c r="C9317">
        <v>463</v>
      </c>
      <c r="D9317">
        <v>206.6</v>
      </c>
      <c r="E9317">
        <v>69.3</v>
      </c>
    </row>
    <row r="9318" spans="1:5" x14ac:dyDescent="0.2">
      <c r="A9318">
        <v>51220</v>
      </c>
      <c r="B9318">
        <v>48260</v>
      </c>
      <c r="C9318">
        <v>467</v>
      </c>
      <c r="D9318">
        <v>208.9</v>
      </c>
      <c r="E9318">
        <v>70</v>
      </c>
    </row>
    <row r="9319" spans="1:5" x14ac:dyDescent="0.2">
      <c r="A9319">
        <v>51240</v>
      </c>
      <c r="B9319">
        <v>48263</v>
      </c>
      <c r="C9319">
        <v>468</v>
      </c>
      <c r="D9319">
        <v>211.3</v>
      </c>
      <c r="E9319">
        <v>70.3</v>
      </c>
    </row>
    <row r="9320" spans="1:5" x14ac:dyDescent="0.2">
      <c r="A9320">
        <v>51260</v>
      </c>
      <c r="B9320">
        <v>48268</v>
      </c>
      <c r="C9320">
        <v>469</v>
      </c>
      <c r="D9320">
        <v>213.5</v>
      </c>
      <c r="E9320">
        <v>70.599999999999994</v>
      </c>
    </row>
    <row r="9321" spans="1:5" x14ac:dyDescent="0.2">
      <c r="A9321">
        <v>51280</v>
      </c>
      <c r="B9321">
        <v>48271</v>
      </c>
      <c r="C9321">
        <v>470</v>
      </c>
      <c r="D9321">
        <v>216.1</v>
      </c>
      <c r="E9321">
        <v>70.900000000000006</v>
      </c>
    </row>
    <row r="9322" spans="1:5" x14ac:dyDescent="0.2">
      <c r="A9322">
        <v>51300</v>
      </c>
      <c r="B9322">
        <v>48276</v>
      </c>
      <c r="C9322">
        <v>469</v>
      </c>
      <c r="D9322">
        <v>218.2</v>
      </c>
      <c r="E9322">
        <v>70.900000000000006</v>
      </c>
    </row>
    <row r="9323" spans="1:5" x14ac:dyDescent="0.2">
      <c r="A9323">
        <v>51320</v>
      </c>
      <c r="B9323">
        <v>48282</v>
      </c>
      <c r="C9323">
        <v>468</v>
      </c>
      <c r="D9323">
        <v>220.3</v>
      </c>
      <c r="E9323">
        <v>70.8</v>
      </c>
    </row>
    <row r="9324" spans="1:5" x14ac:dyDescent="0.2">
      <c r="A9324">
        <v>51340</v>
      </c>
      <c r="B9324">
        <v>48287</v>
      </c>
      <c r="C9324">
        <v>467</v>
      </c>
      <c r="D9324">
        <v>222.5</v>
      </c>
      <c r="E9324">
        <v>70.8</v>
      </c>
    </row>
    <row r="9325" spans="1:5" x14ac:dyDescent="0.2">
      <c r="A9325">
        <v>51360</v>
      </c>
      <c r="B9325">
        <v>48290</v>
      </c>
      <c r="C9325">
        <v>465</v>
      </c>
      <c r="D9325">
        <v>224.9</v>
      </c>
      <c r="E9325">
        <v>70.7</v>
      </c>
    </row>
    <row r="9326" spans="1:5" x14ac:dyDescent="0.2">
      <c r="A9326">
        <v>51380</v>
      </c>
      <c r="B9326">
        <v>48295</v>
      </c>
      <c r="C9326">
        <v>462</v>
      </c>
      <c r="D9326">
        <v>227</v>
      </c>
      <c r="E9326">
        <v>70.400000000000006</v>
      </c>
    </row>
    <row r="9327" spans="1:5" x14ac:dyDescent="0.2">
      <c r="A9327">
        <v>51400</v>
      </c>
      <c r="B9327">
        <v>48303</v>
      </c>
      <c r="C9327">
        <v>461</v>
      </c>
      <c r="D9327">
        <v>228.9</v>
      </c>
      <c r="E9327">
        <v>70.3</v>
      </c>
    </row>
    <row r="9328" spans="1:5" x14ac:dyDescent="0.2">
      <c r="A9328">
        <v>51420</v>
      </c>
      <c r="B9328">
        <v>48307</v>
      </c>
      <c r="C9328">
        <v>457</v>
      </c>
      <c r="D9328">
        <v>231.2</v>
      </c>
      <c r="E9328">
        <v>69.900000000000006</v>
      </c>
    </row>
    <row r="9329" spans="1:5" x14ac:dyDescent="0.2">
      <c r="A9329">
        <v>51440</v>
      </c>
      <c r="B9329">
        <v>48313</v>
      </c>
      <c r="C9329">
        <v>455</v>
      </c>
      <c r="D9329">
        <v>233.1</v>
      </c>
      <c r="E9329">
        <v>69.599999999999994</v>
      </c>
    </row>
    <row r="9330" spans="1:5" x14ac:dyDescent="0.2">
      <c r="A9330">
        <v>51460</v>
      </c>
      <c r="B9330">
        <v>48320</v>
      </c>
      <c r="C9330">
        <v>452</v>
      </c>
      <c r="D9330">
        <v>235.1</v>
      </c>
      <c r="E9330">
        <v>69.3</v>
      </c>
    </row>
    <row r="9331" spans="1:5" x14ac:dyDescent="0.2">
      <c r="A9331">
        <v>51480</v>
      </c>
      <c r="B9331">
        <v>48328</v>
      </c>
      <c r="C9331">
        <v>449</v>
      </c>
      <c r="D9331">
        <v>236.8</v>
      </c>
      <c r="E9331">
        <v>69</v>
      </c>
    </row>
    <row r="9332" spans="1:5" x14ac:dyDescent="0.2">
      <c r="A9332">
        <v>51500</v>
      </c>
      <c r="B9332">
        <v>48335</v>
      </c>
      <c r="C9332">
        <v>447</v>
      </c>
      <c r="D9332">
        <v>238.8</v>
      </c>
      <c r="E9332">
        <v>68.8</v>
      </c>
    </row>
    <row r="9333" spans="1:5" x14ac:dyDescent="0.2">
      <c r="A9333">
        <v>51520</v>
      </c>
      <c r="B9333">
        <v>48343</v>
      </c>
      <c r="C9333">
        <v>443</v>
      </c>
      <c r="D9333">
        <v>240.4</v>
      </c>
      <c r="E9333">
        <v>68.3</v>
      </c>
    </row>
    <row r="9334" spans="1:5" x14ac:dyDescent="0.2">
      <c r="A9334">
        <v>51540</v>
      </c>
      <c r="B9334">
        <v>48352</v>
      </c>
      <c r="C9334">
        <v>442</v>
      </c>
      <c r="D9334">
        <v>242</v>
      </c>
      <c r="E9334">
        <v>68.2</v>
      </c>
    </row>
    <row r="9335" spans="1:5" x14ac:dyDescent="0.2">
      <c r="A9335">
        <v>51560</v>
      </c>
      <c r="B9335">
        <v>48361</v>
      </c>
      <c r="C9335">
        <v>440</v>
      </c>
      <c r="D9335">
        <v>243.7</v>
      </c>
      <c r="E9335">
        <v>67.900000000000006</v>
      </c>
    </row>
    <row r="9336" spans="1:5" x14ac:dyDescent="0.2">
      <c r="A9336">
        <v>51580</v>
      </c>
      <c r="B9336">
        <v>48370</v>
      </c>
      <c r="C9336">
        <v>439</v>
      </c>
      <c r="D9336">
        <v>245.3</v>
      </c>
      <c r="E9336">
        <v>68</v>
      </c>
    </row>
    <row r="9337" spans="1:5" x14ac:dyDescent="0.2">
      <c r="A9337">
        <v>51600</v>
      </c>
      <c r="B9337">
        <v>48380</v>
      </c>
      <c r="C9337">
        <v>439</v>
      </c>
      <c r="D9337">
        <v>246.7</v>
      </c>
      <c r="E9337">
        <v>68</v>
      </c>
    </row>
    <row r="9338" spans="1:5" x14ac:dyDescent="0.2">
      <c r="A9338">
        <v>51620</v>
      </c>
      <c r="B9338">
        <v>48390</v>
      </c>
      <c r="C9338">
        <v>437</v>
      </c>
      <c r="D9338">
        <v>248.1</v>
      </c>
      <c r="E9338">
        <v>67.8</v>
      </c>
    </row>
    <row r="9339" spans="1:5" x14ac:dyDescent="0.2">
      <c r="A9339">
        <v>51640</v>
      </c>
      <c r="B9339">
        <v>48403</v>
      </c>
      <c r="C9339">
        <v>438</v>
      </c>
      <c r="D9339">
        <v>249.2</v>
      </c>
      <c r="E9339">
        <v>68</v>
      </c>
    </row>
    <row r="9340" spans="1:5" x14ac:dyDescent="0.2">
      <c r="A9340">
        <v>51660</v>
      </c>
      <c r="B9340">
        <v>48415</v>
      </c>
      <c r="C9340">
        <v>439</v>
      </c>
      <c r="D9340">
        <v>250.3</v>
      </c>
      <c r="E9340">
        <v>68.2</v>
      </c>
    </row>
    <row r="9341" spans="1:5" x14ac:dyDescent="0.2">
      <c r="A9341">
        <v>51680</v>
      </c>
      <c r="B9341">
        <v>48428</v>
      </c>
      <c r="C9341">
        <v>440</v>
      </c>
      <c r="D9341">
        <v>251.4</v>
      </c>
      <c r="E9341">
        <v>68.400000000000006</v>
      </c>
    </row>
    <row r="9342" spans="1:5" x14ac:dyDescent="0.2">
      <c r="A9342">
        <v>51700</v>
      </c>
      <c r="B9342">
        <v>48440</v>
      </c>
      <c r="C9342">
        <v>444</v>
      </c>
      <c r="D9342">
        <v>252.5</v>
      </c>
      <c r="E9342">
        <v>69</v>
      </c>
    </row>
    <row r="9343" spans="1:5" x14ac:dyDescent="0.2">
      <c r="A9343">
        <v>51720</v>
      </c>
      <c r="B9343">
        <v>48454</v>
      </c>
      <c r="C9343">
        <v>445</v>
      </c>
      <c r="D9343">
        <v>253.4</v>
      </c>
      <c r="E9343">
        <v>69.3</v>
      </c>
    </row>
    <row r="9344" spans="1:5" x14ac:dyDescent="0.2">
      <c r="A9344">
        <v>51740</v>
      </c>
      <c r="B9344">
        <v>48468</v>
      </c>
      <c r="C9344">
        <v>449</v>
      </c>
      <c r="D9344">
        <v>254.3</v>
      </c>
      <c r="E9344">
        <v>70</v>
      </c>
    </row>
    <row r="9345" spans="1:5" x14ac:dyDescent="0.2">
      <c r="A9345">
        <v>51760</v>
      </c>
      <c r="B9345">
        <v>48483</v>
      </c>
      <c r="C9345">
        <v>453</v>
      </c>
      <c r="D9345">
        <v>255</v>
      </c>
      <c r="E9345">
        <v>70.5</v>
      </c>
    </row>
    <row r="9346" spans="1:5" x14ac:dyDescent="0.2">
      <c r="A9346">
        <v>51780</v>
      </c>
      <c r="B9346">
        <v>48500</v>
      </c>
      <c r="C9346">
        <v>456</v>
      </c>
      <c r="D9346">
        <v>255.4</v>
      </c>
      <c r="E9346">
        <v>71.099999999999994</v>
      </c>
    </row>
    <row r="9347" spans="1:5" x14ac:dyDescent="0.2">
      <c r="A9347">
        <v>51800</v>
      </c>
      <c r="B9347">
        <v>48516</v>
      </c>
      <c r="C9347">
        <v>461</v>
      </c>
      <c r="D9347">
        <v>255.9</v>
      </c>
      <c r="E9347">
        <v>71.900000000000006</v>
      </c>
    </row>
    <row r="9348" spans="1:5" x14ac:dyDescent="0.2">
      <c r="A9348">
        <v>51820</v>
      </c>
      <c r="B9348">
        <v>48534</v>
      </c>
      <c r="C9348">
        <v>465</v>
      </c>
      <c r="D9348">
        <v>256.2</v>
      </c>
      <c r="E9348">
        <v>72.5</v>
      </c>
    </row>
    <row r="9349" spans="1:5" x14ac:dyDescent="0.2">
      <c r="A9349">
        <v>51840</v>
      </c>
      <c r="B9349">
        <v>48554</v>
      </c>
      <c r="C9349">
        <v>470</v>
      </c>
      <c r="D9349">
        <v>256.2</v>
      </c>
      <c r="E9349">
        <v>73.2</v>
      </c>
    </row>
    <row r="9350" spans="1:5" x14ac:dyDescent="0.2">
      <c r="A9350">
        <v>51860</v>
      </c>
      <c r="B9350">
        <v>48572</v>
      </c>
      <c r="C9350">
        <v>475</v>
      </c>
      <c r="D9350">
        <v>256.5</v>
      </c>
      <c r="E9350">
        <v>74</v>
      </c>
    </row>
    <row r="9351" spans="1:5" x14ac:dyDescent="0.2">
      <c r="A9351">
        <v>51880</v>
      </c>
      <c r="B9351">
        <v>48593</v>
      </c>
      <c r="C9351">
        <v>479</v>
      </c>
      <c r="D9351">
        <v>256.3</v>
      </c>
      <c r="E9351">
        <v>74.599999999999994</v>
      </c>
    </row>
    <row r="9352" spans="1:5" x14ac:dyDescent="0.2">
      <c r="A9352">
        <v>51900</v>
      </c>
      <c r="B9352">
        <v>48613</v>
      </c>
      <c r="C9352">
        <v>484</v>
      </c>
      <c r="D9352">
        <v>256.2</v>
      </c>
      <c r="E9352">
        <v>75.5</v>
      </c>
    </row>
    <row r="9353" spans="1:5" x14ac:dyDescent="0.2">
      <c r="A9353">
        <v>51920</v>
      </c>
      <c r="B9353">
        <v>48636</v>
      </c>
      <c r="C9353">
        <v>488</v>
      </c>
      <c r="D9353">
        <v>255.7</v>
      </c>
      <c r="E9353">
        <v>76</v>
      </c>
    </row>
    <row r="9354" spans="1:5" x14ac:dyDescent="0.2">
      <c r="A9354">
        <v>51940</v>
      </c>
      <c r="B9354">
        <v>48658</v>
      </c>
      <c r="C9354">
        <v>494</v>
      </c>
      <c r="D9354">
        <v>255.3</v>
      </c>
      <c r="E9354">
        <v>76.8</v>
      </c>
    </row>
    <row r="9355" spans="1:5" x14ac:dyDescent="0.2">
      <c r="A9355">
        <v>51960</v>
      </c>
      <c r="B9355">
        <v>48681</v>
      </c>
      <c r="C9355">
        <v>497</v>
      </c>
      <c r="D9355">
        <v>254.9</v>
      </c>
      <c r="E9355">
        <v>77.400000000000006</v>
      </c>
    </row>
    <row r="9356" spans="1:5" x14ac:dyDescent="0.2">
      <c r="A9356">
        <v>51980</v>
      </c>
      <c r="B9356">
        <v>48705</v>
      </c>
      <c r="C9356">
        <v>501</v>
      </c>
      <c r="D9356">
        <v>254.1</v>
      </c>
      <c r="E9356">
        <v>77.900000000000006</v>
      </c>
    </row>
    <row r="9357" spans="1:5" x14ac:dyDescent="0.2">
      <c r="A9357">
        <v>52000</v>
      </c>
      <c r="B9357">
        <v>48730</v>
      </c>
      <c r="C9357">
        <v>504</v>
      </c>
      <c r="D9357">
        <v>253.4</v>
      </c>
      <c r="E9357">
        <v>78.3</v>
      </c>
    </row>
    <row r="9358" spans="1:5" x14ac:dyDescent="0.2">
      <c r="A9358">
        <v>52020</v>
      </c>
      <c r="B9358">
        <v>48757</v>
      </c>
      <c r="C9358">
        <v>507</v>
      </c>
      <c r="D9358">
        <v>252.2</v>
      </c>
      <c r="E9358">
        <v>78.7</v>
      </c>
    </row>
    <row r="9359" spans="1:5" x14ac:dyDescent="0.2">
      <c r="A9359">
        <v>52040</v>
      </c>
      <c r="B9359">
        <v>48784</v>
      </c>
      <c r="C9359">
        <v>509</v>
      </c>
      <c r="D9359">
        <v>251</v>
      </c>
      <c r="E9359">
        <v>78.900000000000006</v>
      </c>
    </row>
    <row r="9360" spans="1:5" x14ac:dyDescent="0.2">
      <c r="A9360">
        <v>52060</v>
      </c>
      <c r="B9360">
        <v>48813</v>
      </c>
      <c r="C9360">
        <v>511</v>
      </c>
      <c r="D9360">
        <v>249.6</v>
      </c>
      <c r="E9360">
        <v>79.2</v>
      </c>
    </row>
    <row r="9361" spans="1:5" x14ac:dyDescent="0.2">
      <c r="A9361">
        <v>52080</v>
      </c>
      <c r="B9361">
        <v>48842</v>
      </c>
      <c r="C9361">
        <v>511</v>
      </c>
      <c r="D9361">
        <v>248.1</v>
      </c>
      <c r="E9361">
        <v>79.099999999999994</v>
      </c>
    </row>
    <row r="9362" spans="1:5" x14ac:dyDescent="0.2">
      <c r="A9362">
        <v>52100</v>
      </c>
      <c r="B9362">
        <v>48873</v>
      </c>
      <c r="C9362">
        <v>512</v>
      </c>
      <c r="D9362">
        <v>246.3</v>
      </c>
      <c r="E9362">
        <v>79.099999999999994</v>
      </c>
    </row>
    <row r="9363" spans="1:5" x14ac:dyDescent="0.2">
      <c r="A9363">
        <v>52120</v>
      </c>
      <c r="B9363">
        <v>48904</v>
      </c>
      <c r="C9363">
        <v>512</v>
      </c>
      <c r="D9363">
        <v>244.5</v>
      </c>
      <c r="E9363">
        <v>79</v>
      </c>
    </row>
    <row r="9364" spans="1:5" x14ac:dyDescent="0.2">
      <c r="A9364">
        <v>52140</v>
      </c>
      <c r="B9364">
        <v>48934</v>
      </c>
      <c r="C9364">
        <v>511</v>
      </c>
      <c r="D9364">
        <v>242.8</v>
      </c>
      <c r="E9364">
        <v>78.7</v>
      </c>
    </row>
    <row r="9365" spans="1:5" x14ac:dyDescent="0.2">
      <c r="A9365">
        <v>52160</v>
      </c>
      <c r="B9365">
        <v>48967</v>
      </c>
      <c r="C9365">
        <v>510</v>
      </c>
      <c r="D9365">
        <v>240.7</v>
      </c>
      <c r="E9365">
        <v>78.400000000000006</v>
      </c>
    </row>
    <row r="9366" spans="1:5" x14ac:dyDescent="0.2">
      <c r="A9366">
        <v>52180</v>
      </c>
      <c r="B9366">
        <v>49000</v>
      </c>
      <c r="C9366">
        <v>509</v>
      </c>
      <c r="D9366">
        <v>238.6</v>
      </c>
      <c r="E9366">
        <v>78.099999999999994</v>
      </c>
    </row>
    <row r="9367" spans="1:5" x14ac:dyDescent="0.2">
      <c r="A9367">
        <v>52200</v>
      </c>
      <c r="B9367">
        <v>49035</v>
      </c>
      <c r="C9367">
        <v>506</v>
      </c>
      <c r="D9367">
        <v>236.2</v>
      </c>
      <c r="E9367">
        <v>77.599999999999994</v>
      </c>
    </row>
    <row r="9368" spans="1:5" x14ac:dyDescent="0.2">
      <c r="A9368">
        <v>52220</v>
      </c>
      <c r="B9368">
        <v>49069</v>
      </c>
      <c r="C9368">
        <v>504</v>
      </c>
      <c r="D9368">
        <v>233.9</v>
      </c>
      <c r="E9368">
        <v>77</v>
      </c>
    </row>
    <row r="9369" spans="1:5" x14ac:dyDescent="0.2">
      <c r="A9369">
        <v>52240</v>
      </c>
      <c r="B9369">
        <v>49103</v>
      </c>
      <c r="C9369">
        <v>501</v>
      </c>
      <c r="D9369">
        <v>231.7</v>
      </c>
      <c r="E9369">
        <v>76.599999999999994</v>
      </c>
    </row>
    <row r="9370" spans="1:5" x14ac:dyDescent="0.2">
      <c r="A9370">
        <v>52260</v>
      </c>
      <c r="B9370">
        <v>49139</v>
      </c>
      <c r="C9370">
        <v>498</v>
      </c>
      <c r="D9370">
        <v>229.1</v>
      </c>
      <c r="E9370">
        <v>75.900000000000006</v>
      </c>
    </row>
    <row r="9371" spans="1:5" x14ac:dyDescent="0.2">
      <c r="A9371">
        <v>52280</v>
      </c>
      <c r="B9371">
        <v>49175</v>
      </c>
      <c r="C9371">
        <v>495</v>
      </c>
      <c r="D9371">
        <v>226.6</v>
      </c>
      <c r="E9371">
        <v>75.3</v>
      </c>
    </row>
    <row r="9372" spans="1:5" x14ac:dyDescent="0.2">
      <c r="A9372">
        <v>52300</v>
      </c>
      <c r="B9372">
        <v>49211</v>
      </c>
      <c r="C9372">
        <v>493</v>
      </c>
      <c r="D9372">
        <v>224</v>
      </c>
      <c r="E9372">
        <v>74.8</v>
      </c>
    </row>
    <row r="9373" spans="1:5" x14ac:dyDescent="0.2">
      <c r="A9373">
        <v>52320</v>
      </c>
      <c r="B9373">
        <v>49248</v>
      </c>
      <c r="C9373">
        <v>490</v>
      </c>
      <c r="D9373">
        <v>221.3</v>
      </c>
      <c r="E9373">
        <v>74.2</v>
      </c>
    </row>
    <row r="9374" spans="1:5" x14ac:dyDescent="0.2">
      <c r="A9374">
        <v>52340</v>
      </c>
      <c r="B9374">
        <v>49285</v>
      </c>
      <c r="C9374">
        <v>488</v>
      </c>
      <c r="D9374">
        <v>218.7</v>
      </c>
      <c r="E9374">
        <v>73.8</v>
      </c>
    </row>
    <row r="9375" spans="1:5" x14ac:dyDescent="0.2">
      <c r="A9375">
        <v>52360</v>
      </c>
      <c r="B9375">
        <v>49322</v>
      </c>
      <c r="C9375">
        <v>484</v>
      </c>
      <c r="D9375">
        <v>215.9</v>
      </c>
      <c r="E9375">
        <v>73.099999999999994</v>
      </c>
    </row>
    <row r="9376" spans="1:5" x14ac:dyDescent="0.2">
      <c r="A9376">
        <v>52380</v>
      </c>
      <c r="B9376">
        <v>49358</v>
      </c>
      <c r="C9376">
        <v>482</v>
      </c>
      <c r="D9376">
        <v>213.4</v>
      </c>
      <c r="E9376">
        <v>72.599999999999994</v>
      </c>
    </row>
    <row r="9377" spans="1:5" x14ac:dyDescent="0.2">
      <c r="A9377">
        <v>52400</v>
      </c>
      <c r="B9377">
        <v>49396</v>
      </c>
      <c r="C9377">
        <v>481</v>
      </c>
      <c r="D9377">
        <v>210.6</v>
      </c>
      <c r="E9377">
        <v>72.2</v>
      </c>
    </row>
    <row r="9378" spans="1:5" x14ac:dyDescent="0.2">
      <c r="A9378">
        <v>52420</v>
      </c>
      <c r="B9378">
        <v>49433</v>
      </c>
      <c r="C9378">
        <v>478</v>
      </c>
      <c r="D9378">
        <v>208</v>
      </c>
      <c r="E9378">
        <v>71.7</v>
      </c>
    </row>
    <row r="9379" spans="1:5" x14ac:dyDescent="0.2">
      <c r="A9379">
        <v>52440</v>
      </c>
      <c r="B9379">
        <v>49469</v>
      </c>
      <c r="C9379">
        <v>477</v>
      </c>
      <c r="D9379">
        <v>205.4</v>
      </c>
      <c r="E9379">
        <v>71.400000000000006</v>
      </c>
    </row>
    <row r="9380" spans="1:5" x14ac:dyDescent="0.2">
      <c r="A9380">
        <v>52460</v>
      </c>
      <c r="B9380">
        <v>49506</v>
      </c>
      <c r="C9380">
        <v>477</v>
      </c>
      <c r="D9380">
        <v>202.7</v>
      </c>
      <c r="E9380">
        <v>71.3</v>
      </c>
    </row>
    <row r="9381" spans="1:5" x14ac:dyDescent="0.2">
      <c r="A9381">
        <v>52480</v>
      </c>
      <c r="B9381">
        <v>49543</v>
      </c>
      <c r="C9381">
        <v>477</v>
      </c>
      <c r="D9381">
        <v>200.2</v>
      </c>
      <c r="E9381">
        <v>71.099999999999994</v>
      </c>
    </row>
    <row r="9382" spans="1:5" x14ac:dyDescent="0.2">
      <c r="A9382">
        <v>52500</v>
      </c>
      <c r="B9382">
        <v>49579</v>
      </c>
      <c r="C9382">
        <v>478</v>
      </c>
      <c r="D9382">
        <v>197.6</v>
      </c>
      <c r="E9382">
        <v>71.099999999999994</v>
      </c>
    </row>
    <row r="9383" spans="1:5" x14ac:dyDescent="0.2">
      <c r="A9383">
        <v>52520</v>
      </c>
      <c r="B9383">
        <v>49616</v>
      </c>
      <c r="C9383">
        <v>479</v>
      </c>
      <c r="D9383">
        <v>195.2</v>
      </c>
      <c r="E9383">
        <v>71.2</v>
      </c>
    </row>
    <row r="9384" spans="1:5" x14ac:dyDescent="0.2">
      <c r="A9384">
        <v>52540</v>
      </c>
      <c r="B9384">
        <v>49651</v>
      </c>
      <c r="C9384">
        <v>481</v>
      </c>
      <c r="D9384">
        <v>192.8</v>
      </c>
      <c r="E9384">
        <v>71.3</v>
      </c>
    </row>
    <row r="9385" spans="1:5" x14ac:dyDescent="0.2">
      <c r="A9385">
        <v>52560</v>
      </c>
      <c r="B9385">
        <v>49686</v>
      </c>
      <c r="C9385">
        <v>484</v>
      </c>
      <c r="D9385">
        <v>190.5</v>
      </c>
      <c r="E9385">
        <v>71.5</v>
      </c>
    </row>
    <row r="9386" spans="1:5" x14ac:dyDescent="0.2">
      <c r="A9386">
        <v>52580</v>
      </c>
      <c r="B9386">
        <v>49720</v>
      </c>
      <c r="C9386">
        <v>486</v>
      </c>
      <c r="D9386">
        <v>188.4</v>
      </c>
      <c r="E9386">
        <v>71.900000000000006</v>
      </c>
    </row>
    <row r="9387" spans="1:5" x14ac:dyDescent="0.2">
      <c r="A9387">
        <v>52600</v>
      </c>
      <c r="B9387">
        <v>49754</v>
      </c>
      <c r="C9387">
        <v>489</v>
      </c>
      <c r="D9387">
        <v>186.2</v>
      </c>
      <c r="E9387">
        <v>72.099999999999994</v>
      </c>
    </row>
    <row r="9388" spans="1:5" x14ac:dyDescent="0.2">
      <c r="A9388">
        <v>52620</v>
      </c>
      <c r="B9388">
        <v>49787</v>
      </c>
      <c r="C9388">
        <v>493</v>
      </c>
      <c r="D9388">
        <v>184.3</v>
      </c>
      <c r="E9388">
        <v>72.599999999999994</v>
      </c>
    </row>
    <row r="9389" spans="1:5" x14ac:dyDescent="0.2">
      <c r="A9389">
        <v>52640</v>
      </c>
      <c r="B9389">
        <v>49819</v>
      </c>
      <c r="C9389">
        <v>498</v>
      </c>
      <c r="D9389">
        <v>182.5</v>
      </c>
      <c r="E9389">
        <v>73.2</v>
      </c>
    </row>
    <row r="9390" spans="1:5" x14ac:dyDescent="0.2">
      <c r="A9390">
        <v>52660</v>
      </c>
      <c r="B9390">
        <v>49851</v>
      </c>
      <c r="C9390">
        <v>503</v>
      </c>
      <c r="D9390">
        <v>180.6</v>
      </c>
      <c r="E9390">
        <v>73.900000000000006</v>
      </c>
    </row>
    <row r="9391" spans="1:5" x14ac:dyDescent="0.2">
      <c r="A9391">
        <v>52680</v>
      </c>
      <c r="B9391">
        <v>49882</v>
      </c>
      <c r="C9391">
        <v>508</v>
      </c>
      <c r="D9391">
        <v>179</v>
      </c>
      <c r="E9391">
        <v>74.5</v>
      </c>
    </row>
    <row r="9392" spans="1:5" x14ac:dyDescent="0.2">
      <c r="A9392">
        <v>52700</v>
      </c>
      <c r="B9392">
        <v>49912</v>
      </c>
      <c r="C9392">
        <v>514</v>
      </c>
      <c r="D9392">
        <v>177.5</v>
      </c>
      <c r="E9392">
        <v>75.2</v>
      </c>
    </row>
    <row r="9393" spans="1:5" x14ac:dyDescent="0.2">
      <c r="A9393">
        <v>52720</v>
      </c>
      <c r="B9393">
        <v>49939</v>
      </c>
      <c r="C9393">
        <v>519</v>
      </c>
      <c r="D9393">
        <v>176.4</v>
      </c>
      <c r="E9393">
        <v>75.900000000000006</v>
      </c>
    </row>
    <row r="9394" spans="1:5" x14ac:dyDescent="0.2">
      <c r="A9394">
        <v>52740</v>
      </c>
      <c r="B9394">
        <v>49968</v>
      </c>
      <c r="C9394">
        <v>525</v>
      </c>
      <c r="D9394">
        <v>175.1</v>
      </c>
      <c r="E9394">
        <v>76.7</v>
      </c>
    </row>
    <row r="9395" spans="1:5" x14ac:dyDescent="0.2">
      <c r="A9395">
        <v>52760</v>
      </c>
      <c r="B9395">
        <v>49993</v>
      </c>
      <c r="C9395">
        <v>532</v>
      </c>
      <c r="D9395">
        <v>174.4</v>
      </c>
      <c r="E9395">
        <v>77.7</v>
      </c>
    </row>
    <row r="9396" spans="1:5" x14ac:dyDescent="0.2">
      <c r="A9396">
        <v>52780</v>
      </c>
      <c r="B9396">
        <v>50019</v>
      </c>
      <c r="C9396">
        <v>538</v>
      </c>
      <c r="D9396">
        <v>173.5</v>
      </c>
      <c r="E9396">
        <v>78.5</v>
      </c>
    </row>
    <row r="9397" spans="1:5" x14ac:dyDescent="0.2">
      <c r="A9397">
        <v>52800</v>
      </c>
      <c r="B9397">
        <v>50042</v>
      </c>
      <c r="C9397">
        <v>543</v>
      </c>
      <c r="D9397">
        <v>173</v>
      </c>
      <c r="E9397">
        <v>79.099999999999994</v>
      </c>
    </row>
    <row r="9398" spans="1:5" x14ac:dyDescent="0.2">
      <c r="A9398">
        <v>52820</v>
      </c>
      <c r="B9398">
        <v>50064</v>
      </c>
      <c r="C9398">
        <v>548</v>
      </c>
      <c r="D9398">
        <v>172.7</v>
      </c>
      <c r="E9398">
        <v>79.900000000000006</v>
      </c>
    </row>
    <row r="9399" spans="1:5" x14ac:dyDescent="0.2">
      <c r="A9399">
        <v>52840</v>
      </c>
      <c r="B9399">
        <v>50085</v>
      </c>
      <c r="C9399">
        <v>553</v>
      </c>
      <c r="D9399">
        <v>172.5</v>
      </c>
      <c r="E9399">
        <v>80.5</v>
      </c>
    </row>
    <row r="9400" spans="1:5" x14ac:dyDescent="0.2">
      <c r="A9400">
        <v>52860</v>
      </c>
      <c r="B9400">
        <v>50103</v>
      </c>
      <c r="C9400">
        <v>559</v>
      </c>
      <c r="D9400">
        <v>172.7</v>
      </c>
      <c r="E9400">
        <v>81.400000000000006</v>
      </c>
    </row>
    <row r="9401" spans="1:5" x14ac:dyDescent="0.2">
      <c r="A9401">
        <v>52880</v>
      </c>
      <c r="B9401">
        <v>50121</v>
      </c>
      <c r="C9401">
        <v>562</v>
      </c>
      <c r="D9401">
        <v>172.9</v>
      </c>
      <c r="E9401">
        <v>82</v>
      </c>
    </row>
    <row r="9402" spans="1:5" x14ac:dyDescent="0.2">
      <c r="A9402">
        <v>52900</v>
      </c>
      <c r="B9402">
        <v>50137</v>
      </c>
      <c r="C9402">
        <v>566</v>
      </c>
      <c r="D9402">
        <v>173.6</v>
      </c>
      <c r="E9402">
        <v>82.6</v>
      </c>
    </row>
    <row r="9403" spans="1:5" x14ac:dyDescent="0.2">
      <c r="A9403">
        <v>52920</v>
      </c>
      <c r="B9403">
        <v>50151</v>
      </c>
      <c r="C9403">
        <v>568</v>
      </c>
      <c r="D9403">
        <v>174.4</v>
      </c>
      <c r="E9403">
        <v>82.9</v>
      </c>
    </row>
    <row r="9404" spans="1:5" x14ac:dyDescent="0.2">
      <c r="A9404">
        <v>52940</v>
      </c>
      <c r="B9404">
        <v>50163</v>
      </c>
      <c r="C9404">
        <v>571</v>
      </c>
      <c r="D9404">
        <v>175.5</v>
      </c>
      <c r="E9404">
        <v>83.3</v>
      </c>
    </row>
    <row r="9405" spans="1:5" x14ac:dyDescent="0.2">
      <c r="A9405">
        <v>52960</v>
      </c>
      <c r="B9405">
        <v>50172</v>
      </c>
      <c r="C9405">
        <v>572</v>
      </c>
      <c r="D9405">
        <v>177</v>
      </c>
      <c r="E9405">
        <v>83.6</v>
      </c>
    </row>
    <row r="9406" spans="1:5" x14ac:dyDescent="0.2">
      <c r="A9406">
        <v>52980</v>
      </c>
      <c r="B9406">
        <v>50180</v>
      </c>
      <c r="C9406">
        <v>573</v>
      </c>
      <c r="D9406">
        <v>178.8</v>
      </c>
      <c r="E9406">
        <v>83.9</v>
      </c>
    </row>
    <row r="9407" spans="1:5" x14ac:dyDescent="0.2">
      <c r="A9407">
        <v>53000</v>
      </c>
      <c r="B9407">
        <v>50187</v>
      </c>
      <c r="C9407">
        <v>573</v>
      </c>
      <c r="D9407">
        <v>180.5</v>
      </c>
      <c r="E9407">
        <v>84</v>
      </c>
    </row>
    <row r="9408" spans="1:5" x14ac:dyDescent="0.2">
      <c r="A9408">
        <v>53020</v>
      </c>
      <c r="B9408">
        <v>50189</v>
      </c>
      <c r="C9408">
        <v>571</v>
      </c>
      <c r="D9408">
        <v>183</v>
      </c>
      <c r="E9408">
        <v>83.9</v>
      </c>
    </row>
    <row r="9409" spans="1:5" x14ac:dyDescent="0.2">
      <c r="A9409">
        <v>53040</v>
      </c>
      <c r="B9409">
        <v>50192</v>
      </c>
      <c r="C9409">
        <v>570</v>
      </c>
      <c r="D9409">
        <v>185.5</v>
      </c>
      <c r="E9409">
        <v>83.9</v>
      </c>
    </row>
    <row r="9410" spans="1:5" x14ac:dyDescent="0.2">
      <c r="A9410">
        <v>53060</v>
      </c>
      <c r="B9410">
        <v>50193</v>
      </c>
      <c r="C9410">
        <v>568</v>
      </c>
      <c r="D9410">
        <v>188.1</v>
      </c>
      <c r="E9410">
        <v>83.7</v>
      </c>
    </row>
    <row r="9411" spans="1:5" x14ac:dyDescent="0.2">
      <c r="A9411">
        <v>53080</v>
      </c>
      <c r="B9411">
        <v>50191</v>
      </c>
      <c r="C9411">
        <v>564</v>
      </c>
      <c r="D9411">
        <v>191.4</v>
      </c>
      <c r="E9411">
        <v>83.5</v>
      </c>
    </row>
    <row r="9412" spans="1:5" x14ac:dyDescent="0.2">
      <c r="A9412">
        <v>53100</v>
      </c>
      <c r="B9412">
        <v>50188</v>
      </c>
      <c r="C9412">
        <v>561</v>
      </c>
      <c r="D9412">
        <v>194.6</v>
      </c>
      <c r="E9412">
        <v>83.2</v>
      </c>
    </row>
    <row r="9413" spans="1:5" x14ac:dyDescent="0.2">
      <c r="A9413">
        <v>53120</v>
      </c>
      <c r="B9413">
        <v>50184</v>
      </c>
      <c r="C9413">
        <v>556</v>
      </c>
      <c r="D9413">
        <v>198</v>
      </c>
      <c r="E9413">
        <v>82.7</v>
      </c>
    </row>
    <row r="9414" spans="1:5" x14ac:dyDescent="0.2">
      <c r="A9414">
        <v>53140</v>
      </c>
      <c r="B9414">
        <v>50178</v>
      </c>
      <c r="C9414">
        <v>552</v>
      </c>
      <c r="D9414">
        <v>201.8</v>
      </c>
      <c r="E9414">
        <v>82.3</v>
      </c>
    </row>
    <row r="9415" spans="1:5" x14ac:dyDescent="0.2">
      <c r="A9415">
        <v>53160</v>
      </c>
      <c r="B9415">
        <v>50171</v>
      </c>
      <c r="C9415">
        <v>548</v>
      </c>
      <c r="D9415">
        <v>205.7</v>
      </c>
      <c r="E9415">
        <v>82</v>
      </c>
    </row>
    <row r="9416" spans="1:5" x14ac:dyDescent="0.2">
      <c r="A9416">
        <v>53180</v>
      </c>
      <c r="B9416">
        <v>50164</v>
      </c>
      <c r="C9416">
        <v>543</v>
      </c>
      <c r="D9416">
        <v>209.7</v>
      </c>
      <c r="E9416">
        <v>81.5</v>
      </c>
    </row>
    <row r="9417" spans="1:5" x14ac:dyDescent="0.2">
      <c r="A9417">
        <v>53200</v>
      </c>
      <c r="B9417">
        <v>50154</v>
      </c>
      <c r="C9417">
        <v>537</v>
      </c>
      <c r="D9417">
        <v>214.1</v>
      </c>
      <c r="E9417">
        <v>81.099999999999994</v>
      </c>
    </row>
    <row r="9418" spans="1:5" x14ac:dyDescent="0.2">
      <c r="A9418">
        <v>53220</v>
      </c>
      <c r="B9418">
        <v>50143</v>
      </c>
      <c r="C9418">
        <v>533</v>
      </c>
      <c r="D9418">
        <v>218.7</v>
      </c>
      <c r="E9418">
        <v>80.7</v>
      </c>
    </row>
    <row r="9419" spans="1:5" x14ac:dyDescent="0.2">
      <c r="A9419">
        <v>53240</v>
      </c>
      <c r="B9419">
        <v>50132</v>
      </c>
      <c r="C9419">
        <v>528</v>
      </c>
      <c r="D9419">
        <v>223.2</v>
      </c>
      <c r="E9419">
        <v>80.3</v>
      </c>
    </row>
    <row r="9420" spans="1:5" x14ac:dyDescent="0.2">
      <c r="A9420">
        <v>53260</v>
      </c>
      <c r="B9420">
        <v>50120</v>
      </c>
      <c r="C9420">
        <v>524</v>
      </c>
      <c r="D9420">
        <v>227.9</v>
      </c>
      <c r="E9420">
        <v>79.900000000000006</v>
      </c>
    </row>
    <row r="9421" spans="1:5" x14ac:dyDescent="0.2">
      <c r="A9421">
        <v>53280</v>
      </c>
      <c r="B9421">
        <v>50107</v>
      </c>
      <c r="C9421">
        <v>519</v>
      </c>
      <c r="D9421">
        <v>232.9</v>
      </c>
      <c r="E9421">
        <v>79.5</v>
      </c>
    </row>
    <row r="9422" spans="1:5" x14ac:dyDescent="0.2">
      <c r="A9422">
        <v>53300</v>
      </c>
      <c r="B9422">
        <v>50094</v>
      </c>
      <c r="C9422">
        <v>515</v>
      </c>
      <c r="D9422">
        <v>237.8</v>
      </c>
      <c r="E9422">
        <v>79.2</v>
      </c>
    </row>
    <row r="9423" spans="1:5" x14ac:dyDescent="0.2">
      <c r="A9423">
        <v>53320</v>
      </c>
      <c r="B9423">
        <v>50078</v>
      </c>
      <c r="C9423">
        <v>512</v>
      </c>
      <c r="D9423">
        <v>243.2</v>
      </c>
      <c r="E9423">
        <v>79.099999999999994</v>
      </c>
    </row>
    <row r="9424" spans="1:5" x14ac:dyDescent="0.2">
      <c r="A9424">
        <v>53340</v>
      </c>
      <c r="B9424">
        <v>50064</v>
      </c>
      <c r="C9424">
        <v>509</v>
      </c>
      <c r="D9424">
        <v>248.4</v>
      </c>
      <c r="E9424">
        <v>79</v>
      </c>
    </row>
    <row r="9425" spans="1:5" x14ac:dyDescent="0.2">
      <c r="A9425">
        <v>53360</v>
      </c>
      <c r="B9425">
        <v>50048</v>
      </c>
      <c r="C9425">
        <v>505</v>
      </c>
      <c r="D9425">
        <v>253.8</v>
      </c>
      <c r="E9425">
        <v>78.7</v>
      </c>
    </row>
    <row r="9426" spans="1:5" x14ac:dyDescent="0.2">
      <c r="A9426">
        <v>53380</v>
      </c>
      <c r="B9426">
        <v>50033</v>
      </c>
      <c r="C9426">
        <v>505</v>
      </c>
      <c r="D9426">
        <v>259.3</v>
      </c>
      <c r="E9426">
        <v>79</v>
      </c>
    </row>
    <row r="9427" spans="1:5" x14ac:dyDescent="0.2">
      <c r="A9427">
        <v>53400</v>
      </c>
      <c r="B9427">
        <v>50016</v>
      </c>
      <c r="C9427">
        <v>504</v>
      </c>
      <c r="D9427">
        <v>265</v>
      </c>
      <c r="E9427">
        <v>79.2</v>
      </c>
    </row>
    <row r="9428" spans="1:5" x14ac:dyDescent="0.2">
      <c r="A9428">
        <v>53420</v>
      </c>
      <c r="B9428">
        <v>49999</v>
      </c>
      <c r="C9428">
        <v>502</v>
      </c>
      <c r="D9428">
        <v>270.7</v>
      </c>
      <c r="E9428">
        <v>79.3</v>
      </c>
    </row>
    <row r="9429" spans="1:5" x14ac:dyDescent="0.2">
      <c r="A9429">
        <v>53440</v>
      </c>
      <c r="B9429">
        <v>49982</v>
      </c>
      <c r="C9429">
        <v>503</v>
      </c>
      <c r="D9429">
        <v>276.5</v>
      </c>
      <c r="E9429">
        <v>79.8</v>
      </c>
    </row>
    <row r="9430" spans="1:5" x14ac:dyDescent="0.2">
      <c r="A9430">
        <v>53460</v>
      </c>
      <c r="B9430">
        <v>49965</v>
      </c>
      <c r="C9430">
        <v>505</v>
      </c>
      <c r="D9430">
        <v>282.3</v>
      </c>
      <c r="E9430">
        <v>80.400000000000006</v>
      </c>
    </row>
    <row r="9431" spans="1:5" x14ac:dyDescent="0.2">
      <c r="A9431">
        <v>53480</v>
      </c>
      <c r="B9431">
        <v>49948</v>
      </c>
      <c r="C9431">
        <v>506</v>
      </c>
      <c r="D9431">
        <v>288.10000000000002</v>
      </c>
      <c r="E9431">
        <v>81</v>
      </c>
    </row>
    <row r="9432" spans="1:5" x14ac:dyDescent="0.2">
      <c r="A9432">
        <v>53500</v>
      </c>
      <c r="B9432">
        <v>49931</v>
      </c>
      <c r="C9432">
        <v>509</v>
      </c>
      <c r="D9432">
        <v>294</v>
      </c>
      <c r="E9432">
        <v>81.900000000000006</v>
      </c>
    </row>
    <row r="9433" spans="1:5" x14ac:dyDescent="0.2">
      <c r="A9433">
        <v>53520</v>
      </c>
      <c r="B9433">
        <v>49914</v>
      </c>
      <c r="C9433">
        <v>512</v>
      </c>
      <c r="D9433">
        <v>300</v>
      </c>
      <c r="E9433">
        <v>82.7</v>
      </c>
    </row>
    <row r="9434" spans="1:5" x14ac:dyDescent="0.2">
      <c r="A9434">
        <v>53540</v>
      </c>
      <c r="B9434">
        <v>49898</v>
      </c>
      <c r="C9434">
        <v>516</v>
      </c>
      <c r="D9434">
        <v>305.8</v>
      </c>
      <c r="E9434">
        <v>83.7</v>
      </c>
    </row>
    <row r="9435" spans="1:5" x14ac:dyDescent="0.2">
      <c r="A9435">
        <v>53560</v>
      </c>
      <c r="B9435">
        <v>49880</v>
      </c>
      <c r="C9435">
        <v>521</v>
      </c>
      <c r="D9435">
        <v>311.8</v>
      </c>
      <c r="E9435">
        <v>84.9</v>
      </c>
    </row>
    <row r="9436" spans="1:5" x14ac:dyDescent="0.2">
      <c r="A9436">
        <v>53580</v>
      </c>
      <c r="B9436">
        <v>49864</v>
      </c>
      <c r="C9436">
        <v>527</v>
      </c>
      <c r="D9436">
        <v>317.8</v>
      </c>
      <c r="E9436">
        <v>86.3</v>
      </c>
    </row>
    <row r="9437" spans="1:5" x14ac:dyDescent="0.2">
      <c r="A9437">
        <v>53600</v>
      </c>
      <c r="B9437">
        <v>49848</v>
      </c>
      <c r="C9437">
        <v>533</v>
      </c>
      <c r="D9437">
        <v>323.7</v>
      </c>
      <c r="E9437">
        <v>87.6</v>
      </c>
    </row>
    <row r="9438" spans="1:5" x14ac:dyDescent="0.2">
      <c r="A9438">
        <v>53620</v>
      </c>
      <c r="B9438">
        <v>49831</v>
      </c>
      <c r="C9438">
        <v>539</v>
      </c>
      <c r="D9438">
        <v>329.7</v>
      </c>
      <c r="E9438">
        <v>89.1</v>
      </c>
    </row>
    <row r="9439" spans="1:5" x14ac:dyDescent="0.2">
      <c r="A9439">
        <v>53640</v>
      </c>
      <c r="B9439">
        <v>49816</v>
      </c>
      <c r="C9439">
        <v>548</v>
      </c>
      <c r="D9439">
        <v>335.5</v>
      </c>
      <c r="E9439">
        <v>91</v>
      </c>
    </row>
    <row r="9440" spans="1:5" x14ac:dyDescent="0.2">
      <c r="A9440">
        <v>53660</v>
      </c>
      <c r="B9440">
        <v>49801</v>
      </c>
      <c r="C9440">
        <v>554</v>
      </c>
      <c r="D9440">
        <v>341.3</v>
      </c>
      <c r="E9440">
        <v>92.4</v>
      </c>
    </row>
    <row r="9441" spans="1:5" x14ac:dyDescent="0.2">
      <c r="A9441">
        <v>53680</v>
      </c>
      <c r="B9441">
        <v>49786</v>
      </c>
      <c r="C9441">
        <v>564</v>
      </c>
      <c r="D9441">
        <v>347.2</v>
      </c>
      <c r="E9441">
        <v>94.3</v>
      </c>
    </row>
    <row r="9442" spans="1:5" x14ac:dyDescent="0.2">
      <c r="A9442">
        <v>53700</v>
      </c>
      <c r="B9442">
        <v>49773</v>
      </c>
      <c r="C9442">
        <v>572</v>
      </c>
      <c r="D9442">
        <v>352.8</v>
      </c>
      <c r="E9442">
        <v>96.1</v>
      </c>
    </row>
    <row r="9443" spans="1:5" x14ac:dyDescent="0.2">
      <c r="A9443">
        <v>53720</v>
      </c>
      <c r="B9443">
        <v>49758</v>
      </c>
      <c r="C9443">
        <v>580</v>
      </c>
      <c r="D9443">
        <v>358.6</v>
      </c>
      <c r="E9443">
        <v>98</v>
      </c>
    </row>
    <row r="9444" spans="1:5" x14ac:dyDescent="0.2">
      <c r="A9444">
        <v>53740</v>
      </c>
      <c r="B9444">
        <v>49746</v>
      </c>
      <c r="C9444">
        <v>589</v>
      </c>
      <c r="D9444">
        <v>364.1</v>
      </c>
      <c r="E9444">
        <v>99.9</v>
      </c>
    </row>
    <row r="9445" spans="1:5" x14ac:dyDescent="0.2">
      <c r="A9445">
        <v>53760</v>
      </c>
      <c r="B9445">
        <v>49735</v>
      </c>
      <c r="C9445">
        <v>598</v>
      </c>
      <c r="D9445">
        <v>369.4</v>
      </c>
      <c r="E9445">
        <v>101.7</v>
      </c>
    </row>
    <row r="9446" spans="1:5" x14ac:dyDescent="0.2">
      <c r="A9446">
        <v>53780</v>
      </c>
      <c r="B9446">
        <v>49723</v>
      </c>
      <c r="C9446">
        <v>607</v>
      </c>
      <c r="D9446">
        <v>375</v>
      </c>
      <c r="E9446">
        <v>103.7</v>
      </c>
    </row>
    <row r="9447" spans="1:5" x14ac:dyDescent="0.2">
      <c r="A9447">
        <v>53800</v>
      </c>
      <c r="B9447">
        <v>49713</v>
      </c>
      <c r="C9447">
        <v>617</v>
      </c>
      <c r="D9447">
        <v>380.1</v>
      </c>
      <c r="E9447">
        <v>105.6</v>
      </c>
    </row>
    <row r="9448" spans="1:5" x14ac:dyDescent="0.2">
      <c r="A9448">
        <v>53820</v>
      </c>
      <c r="B9448">
        <v>49703</v>
      </c>
      <c r="C9448">
        <v>627</v>
      </c>
      <c r="D9448">
        <v>385.3</v>
      </c>
      <c r="E9448">
        <v>107.7</v>
      </c>
    </row>
    <row r="9449" spans="1:5" x14ac:dyDescent="0.2">
      <c r="A9449">
        <v>53840</v>
      </c>
      <c r="B9449">
        <v>49694</v>
      </c>
      <c r="C9449">
        <v>636</v>
      </c>
      <c r="D9449">
        <v>390.3</v>
      </c>
      <c r="E9449">
        <v>109.7</v>
      </c>
    </row>
    <row r="9450" spans="1:5" x14ac:dyDescent="0.2">
      <c r="A9450">
        <v>53860</v>
      </c>
      <c r="B9450">
        <v>49685</v>
      </c>
      <c r="C9450">
        <v>646</v>
      </c>
      <c r="D9450">
        <v>395.3</v>
      </c>
      <c r="E9450">
        <v>111.7</v>
      </c>
    </row>
    <row r="9451" spans="1:5" x14ac:dyDescent="0.2">
      <c r="A9451">
        <v>53880</v>
      </c>
      <c r="B9451">
        <v>49678</v>
      </c>
      <c r="C9451">
        <v>655</v>
      </c>
      <c r="D9451">
        <v>400.1</v>
      </c>
      <c r="E9451">
        <v>113.8</v>
      </c>
    </row>
    <row r="9452" spans="1:5" x14ac:dyDescent="0.2">
      <c r="A9452">
        <v>53900</v>
      </c>
      <c r="B9452">
        <v>49671</v>
      </c>
      <c r="C9452">
        <v>664</v>
      </c>
      <c r="D9452">
        <v>404.9</v>
      </c>
      <c r="E9452">
        <v>115.7</v>
      </c>
    </row>
    <row r="9453" spans="1:5" x14ac:dyDescent="0.2">
      <c r="A9453">
        <v>53920</v>
      </c>
      <c r="B9453">
        <v>49664</v>
      </c>
      <c r="C9453">
        <v>674</v>
      </c>
      <c r="D9453">
        <v>409.6</v>
      </c>
      <c r="E9453">
        <v>117.7</v>
      </c>
    </row>
    <row r="9454" spans="1:5" x14ac:dyDescent="0.2">
      <c r="A9454">
        <v>53940</v>
      </c>
      <c r="B9454">
        <v>49659</v>
      </c>
      <c r="C9454">
        <v>682</v>
      </c>
      <c r="D9454">
        <v>414</v>
      </c>
      <c r="E9454">
        <v>119.6</v>
      </c>
    </row>
    <row r="9455" spans="1:5" x14ac:dyDescent="0.2">
      <c r="A9455">
        <v>53960</v>
      </c>
      <c r="B9455">
        <v>49654</v>
      </c>
      <c r="C9455">
        <v>691</v>
      </c>
      <c r="D9455">
        <v>418.4</v>
      </c>
      <c r="E9455">
        <v>121.4</v>
      </c>
    </row>
    <row r="9456" spans="1:5" x14ac:dyDescent="0.2">
      <c r="A9456">
        <v>53980</v>
      </c>
      <c r="B9456">
        <v>49650</v>
      </c>
      <c r="C9456">
        <v>701</v>
      </c>
      <c r="D9456">
        <v>422.8</v>
      </c>
      <c r="E9456">
        <v>123.5</v>
      </c>
    </row>
    <row r="9457" spans="1:5" x14ac:dyDescent="0.2">
      <c r="A9457">
        <v>54000</v>
      </c>
      <c r="B9457">
        <v>49647</v>
      </c>
      <c r="C9457">
        <v>710</v>
      </c>
      <c r="D9457">
        <v>426.9</v>
      </c>
      <c r="E9457">
        <v>125.5</v>
      </c>
    </row>
    <row r="9458" spans="1:5" x14ac:dyDescent="0.2">
      <c r="A9458">
        <v>54020</v>
      </c>
      <c r="B9458">
        <v>49644</v>
      </c>
      <c r="C9458">
        <v>718</v>
      </c>
      <c r="D9458">
        <v>431.1</v>
      </c>
      <c r="E9458">
        <v>127.3</v>
      </c>
    </row>
    <row r="9459" spans="1:5" x14ac:dyDescent="0.2">
      <c r="A9459">
        <v>54040</v>
      </c>
      <c r="B9459">
        <v>49642</v>
      </c>
      <c r="C9459">
        <v>727</v>
      </c>
      <c r="D9459">
        <v>435</v>
      </c>
      <c r="E9459">
        <v>129.1</v>
      </c>
    </row>
    <row r="9460" spans="1:5" x14ac:dyDescent="0.2">
      <c r="A9460">
        <v>54060</v>
      </c>
      <c r="B9460">
        <v>49640</v>
      </c>
      <c r="C9460">
        <v>736</v>
      </c>
      <c r="D9460">
        <v>439</v>
      </c>
      <c r="E9460">
        <v>131</v>
      </c>
    </row>
    <row r="9461" spans="1:5" x14ac:dyDescent="0.2">
      <c r="A9461">
        <v>54080</v>
      </c>
      <c r="B9461">
        <v>49638</v>
      </c>
      <c r="C9461">
        <v>743</v>
      </c>
      <c r="D9461">
        <v>442.9</v>
      </c>
      <c r="E9461">
        <v>132.69999999999999</v>
      </c>
    </row>
    <row r="9462" spans="1:5" x14ac:dyDescent="0.2">
      <c r="A9462">
        <v>54100</v>
      </c>
      <c r="B9462">
        <v>49639</v>
      </c>
      <c r="C9462">
        <v>752</v>
      </c>
      <c r="D9462">
        <v>446.4</v>
      </c>
      <c r="E9462">
        <v>134.5</v>
      </c>
    </row>
    <row r="9463" spans="1:5" x14ac:dyDescent="0.2">
      <c r="A9463">
        <v>54120</v>
      </c>
      <c r="B9463">
        <v>49639</v>
      </c>
      <c r="C9463">
        <v>760</v>
      </c>
      <c r="D9463">
        <v>450.1</v>
      </c>
      <c r="E9463">
        <v>136.19999999999999</v>
      </c>
    </row>
    <row r="9464" spans="1:5" x14ac:dyDescent="0.2">
      <c r="A9464">
        <v>54140</v>
      </c>
      <c r="B9464">
        <v>49639</v>
      </c>
      <c r="C9464">
        <v>768</v>
      </c>
      <c r="D9464">
        <v>453.7</v>
      </c>
      <c r="E9464">
        <v>138</v>
      </c>
    </row>
    <row r="9465" spans="1:5" x14ac:dyDescent="0.2">
      <c r="A9465">
        <v>54160</v>
      </c>
      <c r="B9465">
        <v>49640</v>
      </c>
      <c r="C9465">
        <v>776</v>
      </c>
      <c r="D9465">
        <v>457.2</v>
      </c>
      <c r="E9465">
        <v>139.69999999999999</v>
      </c>
    </row>
    <row r="9466" spans="1:5" x14ac:dyDescent="0.2">
      <c r="A9466">
        <v>54180</v>
      </c>
      <c r="B9466">
        <v>49642</v>
      </c>
      <c r="C9466">
        <v>783</v>
      </c>
      <c r="D9466">
        <v>460.4</v>
      </c>
      <c r="E9466">
        <v>141.4</v>
      </c>
    </row>
    <row r="9467" spans="1:5" x14ac:dyDescent="0.2">
      <c r="A9467">
        <v>54200</v>
      </c>
      <c r="B9467">
        <v>49644</v>
      </c>
      <c r="C9467">
        <v>792</v>
      </c>
      <c r="D9467">
        <v>463.7</v>
      </c>
      <c r="E9467">
        <v>143.19999999999999</v>
      </c>
    </row>
    <row r="9468" spans="1:5" x14ac:dyDescent="0.2">
      <c r="A9468">
        <v>54220</v>
      </c>
      <c r="B9468">
        <v>49647</v>
      </c>
      <c r="C9468">
        <v>799</v>
      </c>
      <c r="D9468">
        <v>466.9</v>
      </c>
      <c r="E9468">
        <v>144.69999999999999</v>
      </c>
    </row>
    <row r="9469" spans="1:5" x14ac:dyDescent="0.2">
      <c r="A9469">
        <v>54240</v>
      </c>
      <c r="B9469">
        <v>49650</v>
      </c>
      <c r="C9469">
        <v>806</v>
      </c>
      <c r="D9469">
        <v>470.1</v>
      </c>
      <c r="E9469">
        <v>146.4</v>
      </c>
    </row>
    <row r="9470" spans="1:5" x14ac:dyDescent="0.2">
      <c r="A9470">
        <v>54260</v>
      </c>
      <c r="B9470">
        <v>49654</v>
      </c>
      <c r="C9470">
        <v>811</v>
      </c>
      <c r="D9470">
        <v>472.9</v>
      </c>
      <c r="E9470">
        <v>147.6</v>
      </c>
    </row>
    <row r="9471" spans="1:5" x14ac:dyDescent="0.2">
      <c r="A9471">
        <v>54280</v>
      </c>
      <c r="B9471">
        <v>49658</v>
      </c>
      <c r="C9471">
        <v>820</v>
      </c>
      <c r="D9471">
        <v>476</v>
      </c>
      <c r="E9471">
        <v>149.4</v>
      </c>
    </row>
    <row r="9472" spans="1:5" x14ac:dyDescent="0.2">
      <c r="A9472">
        <v>54300</v>
      </c>
      <c r="B9472">
        <v>49663</v>
      </c>
      <c r="C9472">
        <v>827</v>
      </c>
      <c r="D9472">
        <v>478.7</v>
      </c>
      <c r="E9472">
        <v>151</v>
      </c>
    </row>
    <row r="9473" spans="1:5" x14ac:dyDescent="0.2">
      <c r="A9473">
        <v>54320</v>
      </c>
      <c r="B9473">
        <v>49668</v>
      </c>
      <c r="C9473">
        <v>833</v>
      </c>
      <c r="D9473">
        <v>481.4</v>
      </c>
      <c r="E9473">
        <v>152.5</v>
      </c>
    </row>
    <row r="9474" spans="1:5" x14ac:dyDescent="0.2">
      <c r="A9474">
        <v>54340</v>
      </c>
      <c r="B9474">
        <v>49674</v>
      </c>
      <c r="C9474">
        <v>839</v>
      </c>
      <c r="D9474">
        <v>484.1</v>
      </c>
      <c r="E9474">
        <v>153.80000000000001</v>
      </c>
    </row>
    <row r="9475" spans="1:5" x14ac:dyDescent="0.2">
      <c r="A9475">
        <v>54360</v>
      </c>
      <c r="B9475">
        <v>49681</v>
      </c>
      <c r="C9475">
        <v>847</v>
      </c>
      <c r="D9475">
        <v>486.5</v>
      </c>
      <c r="E9475">
        <v>155.5</v>
      </c>
    </row>
    <row r="9476" spans="1:5" x14ac:dyDescent="0.2">
      <c r="A9476">
        <v>54380</v>
      </c>
      <c r="B9476">
        <v>49688</v>
      </c>
      <c r="C9476">
        <v>853</v>
      </c>
      <c r="D9476">
        <v>489</v>
      </c>
      <c r="E9476">
        <v>156.80000000000001</v>
      </c>
    </row>
    <row r="9477" spans="1:5" x14ac:dyDescent="0.2">
      <c r="A9477">
        <v>54400</v>
      </c>
      <c r="B9477">
        <v>49695</v>
      </c>
      <c r="C9477">
        <v>859</v>
      </c>
      <c r="D9477">
        <v>491.3</v>
      </c>
      <c r="E9477">
        <v>158.19999999999999</v>
      </c>
    </row>
    <row r="9478" spans="1:5" x14ac:dyDescent="0.2">
      <c r="A9478">
        <v>54420</v>
      </c>
      <c r="B9478">
        <v>49702</v>
      </c>
      <c r="C9478">
        <v>865</v>
      </c>
      <c r="D9478">
        <v>493.8</v>
      </c>
      <c r="E9478">
        <v>159.5</v>
      </c>
    </row>
    <row r="9479" spans="1:5" x14ac:dyDescent="0.2">
      <c r="A9479">
        <v>54440</v>
      </c>
      <c r="B9479">
        <v>49711</v>
      </c>
      <c r="C9479">
        <v>872</v>
      </c>
      <c r="D9479">
        <v>495.9</v>
      </c>
      <c r="E9479">
        <v>160.9</v>
      </c>
    </row>
    <row r="9480" spans="1:5" x14ac:dyDescent="0.2">
      <c r="A9480">
        <v>54460</v>
      </c>
      <c r="B9480">
        <v>49719</v>
      </c>
      <c r="C9480">
        <v>876</v>
      </c>
      <c r="D9480">
        <v>498</v>
      </c>
      <c r="E9480">
        <v>162</v>
      </c>
    </row>
    <row r="9481" spans="1:5" x14ac:dyDescent="0.2">
      <c r="A9481">
        <v>54480</v>
      </c>
      <c r="B9481">
        <v>49728</v>
      </c>
      <c r="C9481">
        <v>883</v>
      </c>
      <c r="D9481">
        <v>500.1</v>
      </c>
      <c r="E9481">
        <v>163.5</v>
      </c>
    </row>
    <row r="9482" spans="1:5" x14ac:dyDescent="0.2">
      <c r="A9482">
        <v>54500</v>
      </c>
      <c r="B9482">
        <v>49738</v>
      </c>
      <c r="C9482">
        <v>889</v>
      </c>
      <c r="D9482">
        <v>502</v>
      </c>
      <c r="E9482">
        <v>164.7</v>
      </c>
    </row>
    <row r="9483" spans="1:5" x14ac:dyDescent="0.2">
      <c r="A9483">
        <v>54520</v>
      </c>
      <c r="B9483">
        <v>49747</v>
      </c>
      <c r="C9483">
        <v>895</v>
      </c>
      <c r="D9483">
        <v>504.1</v>
      </c>
      <c r="E9483">
        <v>166.1</v>
      </c>
    </row>
    <row r="9484" spans="1:5" x14ac:dyDescent="0.2">
      <c r="A9484">
        <v>54540</v>
      </c>
      <c r="B9484">
        <v>49758</v>
      </c>
      <c r="C9484">
        <v>900</v>
      </c>
      <c r="D9484">
        <v>505.8</v>
      </c>
      <c r="E9484">
        <v>167.3</v>
      </c>
    </row>
    <row r="9485" spans="1:5" x14ac:dyDescent="0.2">
      <c r="A9485">
        <v>54560</v>
      </c>
      <c r="B9485">
        <v>49769</v>
      </c>
      <c r="C9485">
        <v>907</v>
      </c>
      <c r="D9485">
        <v>507.5</v>
      </c>
      <c r="E9485">
        <v>168.7</v>
      </c>
    </row>
    <row r="9486" spans="1:5" x14ac:dyDescent="0.2">
      <c r="A9486">
        <v>54580</v>
      </c>
      <c r="B9486">
        <v>49781</v>
      </c>
      <c r="C9486">
        <v>911</v>
      </c>
      <c r="D9486">
        <v>509.1</v>
      </c>
      <c r="E9486">
        <v>169.8</v>
      </c>
    </row>
    <row r="9487" spans="1:5" x14ac:dyDescent="0.2">
      <c r="A9487">
        <v>54600</v>
      </c>
      <c r="B9487">
        <v>49792</v>
      </c>
      <c r="C9487">
        <v>917</v>
      </c>
      <c r="D9487">
        <v>510.8</v>
      </c>
      <c r="E9487">
        <v>171</v>
      </c>
    </row>
    <row r="9488" spans="1:5" x14ac:dyDescent="0.2">
      <c r="A9488">
        <v>54620</v>
      </c>
      <c r="B9488">
        <v>49804</v>
      </c>
      <c r="C9488">
        <v>924</v>
      </c>
      <c r="D9488">
        <v>512.4</v>
      </c>
      <c r="E9488">
        <v>172.4</v>
      </c>
    </row>
    <row r="9489" spans="1:5" x14ac:dyDescent="0.2">
      <c r="A9489">
        <v>54640</v>
      </c>
      <c r="B9489">
        <v>49816</v>
      </c>
      <c r="C9489">
        <v>928</v>
      </c>
      <c r="D9489">
        <v>513.79999999999995</v>
      </c>
      <c r="E9489">
        <v>173.5</v>
      </c>
    </row>
    <row r="9490" spans="1:5" x14ac:dyDescent="0.2">
      <c r="A9490">
        <v>54660</v>
      </c>
      <c r="B9490">
        <v>49828</v>
      </c>
      <c r="C9490">
        <v>934</v>
      </c>
      <c r="D9490">
        <v>515.20000000000005</v>
      </c>
      <c r="E9490">
        <v>174.7</v>
      </c>
    </row>
    <row r="9491" spans="1:5" x14ac:dyDescent="0.2">
      <c r="A9491">
        <v>54680</v>
      </c>
      <c r="B9491">
        <v>49841</v>
      </c>
      <c r="C9491">
        <v>940</v>
      </c>
      <c r="D9491">
        <v>516.70000000000005</v>
      </c>
      <c r="E9491">
        <v>176.1</v>
      </c>
    </row>
    <row r="9492" spans="1:5" x14ac:dyDescent="0.2">
      <c r="A9492">
        <v>54700</v>
      </c>
      <c r="B9492">
        <v>49854</v>
      </c>
      <c r="C9492">
        <v>945</v>
      </c>
      <c r="D9492">
        <v>518</v>
      </c>
      <c r="E9492">
        <v>177.2</v>
      </c>
    </row>
    <row r="9493" spans="1:5" x14ac:dyDescent="0.2">
      <c r="A9493">
        <v>54720</v>
      </c>
      <c r="B9493">
        <v>49868</v>
      </c>
      <c r="C9493">
        <v>949</v>
      </c>
      <c r="D9493">
        <v>519</v>
      </c>
      <c r="E9493">
        <v>178.1</v>
      </c>
    </row>
    <row r="9494" spans="1:5" x14ac:dyDescent="0.2">
      <c r="A9494">
        <v>54740</v>
      </c>
      <c r="B9494">
        <v>49884</v>
      </c>
      <c r="C9494">
        <v>955</v>
      </c>
      <c r="D9494">
        <v>520</v>
      </c>
      <c r="E9494">
        <v>179.3</v>
      </c>
    </row>
    <row r="9495" spans="1:5" x14ac:dyDescent="0.2">
      <c r="A9495">
        <v>54760</v>
      </c>
      <c r="B9495">
        <v>49897</v>
      </c>
      <c r="C9495">
        <v>960</v>
      </c>
      <c r="D9495">
        <v>521.1</v>
      </c>
      <c r="E9495">
        <v>180.4</v>
      </c>
    </row>
    <row r="9496" spans="1:5" x14ac:dyDescent="0.2">
      <c r="A9496">
        <v>54780</v>
      </c>
      <c r="B9496">
        <v>49913</v>
      </c>
      <c r="C9496">
        <v>966</v>
      </c>
      <c r="D9496">
        <v>521.9</v>
      </c>
      <c r="E9496">
        <v>181.6</v>
      </c>
    </row>
    <row r="9497" spans="1:5" x14ac:dyDescent="0.2">
      <c r="A9497">
        <v>54800</v>
      </c>
      <c r="B9497">
        <v>49928</v>
      </c>
      <c r="C9497">
        <v>971</v>
      </c>
      <c r="D9497">
        <v>522.9</v>
      </c>
      <c r="E9497">
        <v>182.7</v>
      </c>
    </row>
    <row r="9498" spans="1:5" x14ac:dyDescent="0.2">
      <c r="A9498">
        <v>54820</v>
      </c>
      <c r="B9498">
        <v>49943</v>
      </c>
      <c r="C9498">
        <v>976</v>
      </c>
      <c r="D9498">
        <v>523.9</v>
      </c>
      <c r="E9498">
        <v>184</v>
      </c>
    </row>
    <row r="9499" spans="1:5" x14ac:dyDescent="0.2">
      <c r="A9499">
        <v>54840</v>
      </c>
      <c r="B9499">
        <v>49959</v>
      </c>
      <c r="C9499">
        <v>982</v>
      </c>
      <c r="D9499">
        <v>524.70000000000005</v>
      </c>
      <c r="E9499">
        <v>185</v>
      </c>
    </row>
    <row r="9500" spans="1:5" x14ac:dyDescent="0.2">
      <c r="A9500">
        <v>54860</v>
      </c>
      <c r="B9500">
        <v>49976</v>
      </c>
      <c r="C9500">
        <v>987</v>
      </c>
      <c r="D9500">
        <v>525.29999999999995</v>
      </c>
      <c r="E9500">
        <v>186.2</v>
      </c>
    </row>
    <row r="9501" spans="1:5" x14ac:dyDescent="0.2">
      <c r="A9501">
        <v>54880</v>
      </c>
      <c r="B9501">
        <v>49992</v>
      </c>
      <c r="C9501">
        <v>991</v>
      </c>
      <c r="D9501">
        <v>526</v>
      </c>
      <c r="E9501">
        <v>187.1</v>
      </c>
    </row>
    <row r="9502" spans="1:5" x14ac:dyDescent="0.2">
      <c r="A9502">
        <v>54900</v>
      </c>
      <c r="B9502">
        <v>50009</v>
      </c>
      <c r="C9502">
        <v>997</v>
      </c>
      <c r="D9502">
        <v>526.6</v>
      </c>
      <c r="E9502">
        <v>188.4</v>
      </c>
    </row>
    <row r="9503" spans="1:5" x14ac:dyDescent="0.2">
      <c r="A9503">
        <v>54920</v>
      </c>
      <c r="B9503">
        <v>50027</v>
      </c>
      <c r="C9503">
        <v>1003</v>
      </c>
      <c r="D9503">
        <v>527</v>
      </c>
      <c r="E9503">
        <v>189.5</v>
      </c>
    </row>
    <row r="9504" spans="1:5" x14ac:dyDescent="0.2">
      <c r="A9504">
        <v>54940</v>
      </c>
      <c r="B9504">
        <v>50043</v>
      </c>
      <c r="C9504">
        <v>1007</v>
      </c>
      <c r="D9504">
        <v>527.79999999999995</v>
      </c>
      <c r="E9504">
        <v>190.6</v>
      </c>
    </row>
    <row r="9505" spans="1:5" x14ac:dyDescent="0.2">
      <c r="A9505">
        <v>54960</v>
      </c>
      <c r="B9505">
        <v>50063</v>
      </c>
      <c r="C9505">
        <v>1013</v>
      </c>
      <c r="D9505">
        <v>527.9</v>
      </c>
      <c r="E9505">
        <v>191.7</v>
      </c>
    </row>
    <row r="9506" spans="1:5" x14ac:dyDescent="0.2">
      <c r="A9506">
        <v>54980</v>
      </c>
      <c r="B9506">
        <v>50081</v>
      </c>
      <c r="C9506">
        <v>1018</v>
      </c>
      <c r="D9506">
        <v>528.29999999999995</v>
      </c>
      <c r="E9506">
        <v>192.7</v>
      </c>
    </row>
    <row r="9507" spans="1:5" x14ac:dyDescent="0.2">
      <c r="A9507">
        <v>55000</v>
      </c>
      <c r="B9507">
        <v>50100</v>
      </c>
      <c r="C9507">
        <v>1024</v>
      </c>
      <c r="D9507">
        <v>528.5</v>
      </c>
      <c r="E9507">
        <v>193.9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14C</vt:lpstr>
      <vt:lpstr>d11B</vt:lpstr>
      <vt:lpstr>MOT</vt:lpstr>
      <vt:lpstr>pKB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Ryan Green</cp:lastModifiedBy>
  <dcterms:created xsi:type="dcterms:W3CDTF">2024-05-30T17:31:53Z</dcterms:created>
  <dcterms:modified xsi:type="dcterms:W3CDTF">2025-01-24T02:45:28Z</dcterms:modified>
</cp:coreProperties>
</file>