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rafter/Documents/!ResearchData/datasets-submitted/"/>
    </mc:Choice>
  </mc:AlternateContent>
  <xr:revisionPtr revIDLastSave="0" documentId="13_ncr:1_{3C88A62A-4F4E-6D42-9601-7541F498CABB}" xr6:coauthVersionLast="47" xr6:coauthVersionMax="47" xr10:uidLastSave="{00000000-0000-0000-0000-000000000000}"/>
  <bookViews>
    <workbookView xWindow="180" yWindow="760" windowWidth="18600" windowHeight="18880" xr2:uid="{72DE881B-E489-8546-9C69-6052CF175625}"/>
  </bookViews>
  <sheets>
    <sheet name="14C" sheetId="1" r:id="rId1"/>
    <sheet name="age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K117" i="1" l="1"/>
  <c r="L117" i="1" s="1"/>
  <c r="K118" i="1"/>
  <c r="L118" i="1" s="1"/>
  <c r="D129" i="1"/>
  <c r="E129" i="1" l="1"/>
  <c r="K129" i="1" l="1"/>
  <c r="L129" i="1"/>
  <c r="F127" i="1"/>
  <c r="E127" i="1"/>
  <c r="F131" i="1"/>
  <c r="E131" i="1"/>
  <c r="K131" i="1" s="1"/>
  <c r="L131" i="1" s="1"/>
  <c r="E132" i="1"/>
  <c r="F116" i="1"/>
  <c r="E116" i="1"/>
  <c r="F115" i="1"/>
  <c r="E115" i="1"/>
  <c r="E6" i="1"/>
  <c r="E20" i="1"/>
  <c r="F20" i="1"/>
  <c r="E21" i="1"/>
  <c r="F21" i="1"/>
  <c r="E22" i="1"/>
  <c r="F22" i="1"/>
  <c r="F58" i="1"/>
  <c r="E68" i="1"/>
  <c r="F68" i="1"/>
  <c r="E69" i="1"/>
  <c r="E70" i="1"/>
  <c r="F70" i="1"/>
  <c r="E95" i="1"/>
  <c r="F95" i="1"/>
  <c r="E96" i="1"/>
  <c r="F96" i="1"/>
  <c r="F131" i="2"/>
  <c r="F3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F129" i="1" s="1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F132" i="1" s="1"/>
  <c r="N132" i="2"/>
  <c r="N133" i="2"/>
  <c r="N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6" i="1" s="1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69" i="1" s="1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K115" i="1" l="1"/>
  <c r="L115" i="1" s="1"/>
  <c r="K68" i="1"/>
  <c r="L68" i="1"/>
  <c r="K116" i="1"/>
  <c r="L116" i="1" s="1"/>
  <c r="K58" i="1"/>
  <c r="L58" i="1" s="1"/>
  <c r="K132" i="1"/>
  <c r="L132" i="1" s="1"/>
  <c r="K96" i="1"/>
  <c r="L96" i="1" s="1"/>
  <c r="K22" i="1"/>
  <c r="L22" i="1" s="1"/>
  <c r="K95" i="1"/>
  <c r="L95" i="1"/>
  <c r="K21" i="1"/>
  <c r="L21" i="1"/>
  <c r="K127" i="1"/>
  <c r="L127" i="1"/>
  <c r="K20" i="1"/>
  <c r="L20" i="1"/>
  <c r="K70" i="1"/>
  <c r="L70" i="1"/>
  <c r="K69" i="1"/>
  <c r="L69" i="1" s="1"/>
  <c r="K6" i="1"/>
  <c r="L6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30" i="1"/>
  <c r="D131" i="1"/>
  <c r="D1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3" i="1"/>
  <c r="D2" i="1"/>
  <c r="E100" i="1" l="1"/>
  <c r="F100" i="1"/>
  <c r="E99" i="1"/>
  <c r="F99" i="1"/>
  <c r="E101" i="1"/>
  <c r="F101" i="1"/>
  <c r="E10" i="1"/>
  <c r="F10" i="1"/>
  <c r="E45" i="1"/>
  <c r="F45" i="1"/>
  <c r="E32" i="1"/>
  <c r="F32" i="1"/>
  <c r="F124" i="1"/>
  <c r="E124" i="1"/>
  <c r="K124" i="1" s="1"/>
  <c r="L124" i="1" s="1"/>
  <c r="F79" i="1"/>
  <c r="E79" i="1"/>
  <c r="F43" i="1"/>
  <c r="E43" i="1"/>
  <c r="E31" i="1"/>
  <c r="F31" i="1"/>
  <c r="F19" i="1"/>
  <c r="E19" i="1"/>
  <c r="F123" i="1"/>
  <c r="E123" i="1"/>
  <c r="E42" i="1"/>
  <c r="F42" i="1"/>
  <c r="E30" i="1"/>
  <c r="F30" i="1"/>
  <c r="E18" i="1"/>
  <c r="F18" i="1"/>
  <c r="F122" i="1"/>
  <c r="E122" i="1"/>
  <c r="F110" i="1"/>
  <c r="E110" i="1"/>
  <c r="F97" i="1"/>
  <c r="E97" i="1"/>
  <c r="E34" i="1"/>
  <c r="F34" i="1"/>
  <c r="E11" i="1"/>
  <c r="F11" i="1"/>
  <c r="E9" i="1"/>
  <c r="F9" i="1"/>
  <c r="E112" i="1"/>
  <c r="K112" i="1" s="1"/>
  <c r="L112" i="1" s="1"/>
  <c r="F112" i="1"/>
  <c r="E91" i="1"/>
  <c r="F91" i="1"/>
  <c r="F7" i="1"/>
  <c r="E7" i="1"/>
  <c r="K7" i="1" s="1"/>
  <c r="L7" i="1" s="1"/>
  <c r="E66" i="1"/>
  <c r="F66" i="1"/>
  <c r="E89" i="1"/>
  <c r="F89" i="1"/>
  <c r="E65" i="1"/>
  <c r="F65" i="1"/>
  <c r="E41" i="1"/>
  <c r="F41" i="1"/>
  <c r="E29" i="1"/>
  <c r="F29" i="1"/>
  <c r="E17" i="1"/>
  <c r="F17" i="1"/>
  <c r="E5" i="1"/>
  <c r="F5" i="1"/>
  <c r="E121" i="1"/>
  <c r="F121" i="1"/>
  <c r="F109" i="1"/>
  <c r="E109" i="1"/>
  <c r="E88" i="1"/>
  <c r="F88" i="1"/>
  <c r="E76" i="1"/>
  <c r="F76" i="1"/>
  <c r="E64" i="1"/>
  <c r="F64" i="1"/>
  <c r="E40" i="1"/>
  <c r="F40" i="1"/>
  <c r="E28" i="1"/>
  <c r="F28" i="1"/>
  <c r="E16" i="1"/>
  <c r="F16" i="1"/>
  <c r="E4" i="1"/>
  <c r="F4" i="1"/>
  <c r="E120" i="1"/>
  <c r="F120" i="1"/>
  <c r="F108" i="1"/>
  <c r="E108" i="1"/>
  <c r="E102" i="1"/>
  <c r="F102" i="1"/>
  <c r="E94" i="1"/>
  <c r="F94" i="1"/>
  <c r="E71" i="1"/>
  <c r="F71" i="1"/>
  <c r="E35" i="1"/>
  <c r="F35" i="1"/>
  <c r="E2" i="1"/>
  <c r="F2" i="1"/>
  <c r="E114" i="1"/>
  <c r="F114" i="1"/>
  <c r="E113" i="1"/>
  <c r="K113" i="1" s="1"/>
  <c r="L113" i="1" s="1"/>
  <c r="F113" i="1"/>
  <c r="E8" i="1"/>
  <c r="K8" i="1" s="1"/>
  <c r="L8" i="1" s="1"/>
  <c r="F8" i="1"/>
  <c r="E98" i="1"/>
  <c r="F98" i="1"/>
  <c r="E78" i="1"/>
  <c r="F78" i="1"/>
  <c r="E77" i="1"/>
  <c r="F77" i="1"/>
  <c r="E75" i="1"/>
  <c r="F75" i="1"/>
  <c r="E63" i="1"/>
  <c r="F63" i="1"/>
  <c r="E107" i="1"/>
  <c r="K107" i="1" s="1"/>
  <c r="L107" i="1" s="1"/>
  <c r="F107" i="1"/>
  <c r="E86" i="1"/>
  <c r="F86" i="1"/>
  <c r="E74" i="1"/>
  <c r="F74" i="1"/>
  <c r="E62" i="1"/>
  <c r="F62" i="1"/>
  <c r="E38" i="1"/>
  <c r="F38" i="1"/>
  <c r="E26" i="1"/>
  <c r="F26" i="1"/>
  <c r="E14" i="1"/>
  <c r="F14" i="1"/>
  <c r="E105" i="1"/>
  <c r="F105" i="1"/>
  <c r="E93" i="1"/>
  <c r="F93" i="1"/>
  <c r="E83" i="1"/>
  <c r="F83" i="1"/>
  <c r="E59" i="1"/>
  <c r="F59" i="1"/>
  <c r="E46" i="1"/>
  <c r="F46" i="1"/>
  <c r="E3" i="1"/>
  <c r="F3" i="1"/>
  <c r="E33" i="1"/>
  <c r="F33" i="1"/>
  <c r="E92" i="1"/>
  <c r="F92" i="1"/>
  <c r="E27" i="1"/>
  <c r="F27" i="1"/>
  <c r="F85" i="1"/>
  <c r="E85" i="1"/>
  <c r="E73" i="1"/>
  <c r="F73" i="1"/>
  <c r="E61" i="1"/>
  <c r="F61" i="1"/>
  <c r="F37" i="1"/>
  <c r="E37" i="1"/>
  <c r="F25" i="1"/>
  <c r="E25" i="1"/>
  <c r="E13" i="1"/>
  <c r="F13" i="1"/>
  <c r="E130" i="1"/>
  <c r="K130" i="1" s="1"/>
  <c r="L130" i="1" s="1"/>
  <c r="F130" i="1"/>
  <c r="E104" i="1"/>
  <c r="F104" i="1"/>
  <c r="E23" i="1"/>
  <c r="F23" i="1"/>
  <c r="E82" i="1"/>
  <c r="F82" i="1"/>
  <c r="F126" i="1"/>
  <c r="E126" i="1"/>
  <c r="E81" i="1"/>
  <c r="F81" i="1"/>
  <c r="F125" i="1"/>
  <c r="E125" i="1"/>
  <c r="K125" i="1" s="1"/>
  <c r="L125" i="1" s="1"/>
  <c r="E80" i="1"/>
  <c r="F80" i="1"/>
  <c r="E44" i="1"/>
  <c r="F44" i="1"/>
  <c r="F67" i="1"/>
  <c r="E67" i="1"/>
  <c r="F111" i="1"/>
  <c r="E111" i="1"/>
  <c r="E90" i="1"/>
  <c r="F90" i="1"/>
  <c r="E87" i="1"/>
  <c r="F87" i="1"/>
  <c r="E39" i="1"/>
  <c r="F39" i="1"/>
  <c r="E15" i="1"/>
  <c r="F15" i="1"/>
  <c r="E119" i="1"/>
  <c r="K119" i="1" s="1"/>
  <c r="L119" i="1" s="1"/>
  <c r="F119" i="1"/>
  <c r="E84" i="1"/>
  <c r="F84" i="1"/>
  <c r="E72" i="1"/>
  <c r="F72" i="1"/>
  <c r="E60" i="1"/>
  <c r="F60" i="1"/>
  <c r="E36" i="1"/>
  <c r="F36" i="1"/>
  <c r="E24" i="1"/>
  <c r="F24" i="1"/>
  <c r="E12" i="1"/>
  <c r="F12" i="1"/>
  <c r="F128" i="1"/>
  <c r="E128" i="1"/>
  <c r="E103" i="1"/>
  <c r="F103" i="1"/>
  <c r="K33" i="1" l="1"/>
  <c r="L33" i="1"/>
  <c r="K89" i="1"/>
  <c r="L89" i="1" s="1"/>
  <c r="K39" i="1"/>
  <c r="L39" i="1" s="1"/>
  <c r="K80" i="1"/>
  <c r="L80" i="1" s="1"/>
  <c r="K104" i="1"/>
  <c r="L104" i="1" s="1"/>
  <c r="K61" i="1"/>
  <c r="L61" i="1"/>
  <c r="K3" i="1"/>
  <c r="L3" i="1"/>
  <c r="K14" i="1"/>
  <c r="L14" i="1" s="1"/>
  <c r="K86" i="1"/>
  <c r="L86" i="1" s="1"/>
  <c r="K77" i="1"/>
  <c r="L77" i="1" s="1"/>
  <c r="K2" i="1"/>
  <c r="L2" i="1" s="1"/>
  <c r="K52" i="1"/>
  <c r="L52" i="1" s="1"/>
  <c r="K5" i="1"/>
  <c r="L5" i="1" s="1"/>
  <c r="K66" i="1"/>
  <c r="L66" i="1" s="1"/>
  <c r="K9" i="1"/>
  <c r="L9" i="1" s="1"/>
  <c r="K45" i="1"/>
  <c r="L45" i="1" s="1"/>
  <c r="K114" i="1"/>
  <c r="L114" i="1"/>
  <c r="K36" i="1"/>
  <c r="L36" i="1" s="1"/>
  <c r="K74" i="1"/>
  <c r="L74" i="1"/>
  <c r="K121" i="1"/>
  <c r="L121" i="1" s="1"/>
  <c r="K122" i="1"/>
  <c r="L122" i="1" s="1"/>
  <c r="K87" i="1"/>
  <c r="L87" i="1" s="1"/>
  <c r="K73" i="1"/>
  <c r="L73" i="1" s="1"/>
  <c r="K46" i="1"/>
  <c r="L46" i="1"/>
  <c r="K26" i="1"/>
  <c r="L26" i="1"/>
  <c r="K78" i="1"/>
  <c r="L78" i="1" s="1"/>
  <c r="K35" i="1"/>
  <c r="L35" i="1" s="1"/>
  <c r="K120" i="1"/>
  <c r="L120" i="1" s="1"/>
  <c r="K64" i="1"/>
  <c r="L64" i="1"/>
  <c r="K17" i="1"/>
  <c r="L17" i="1"/>
  <c r="K57" i="1"/>
  <c r="L57" i="1" s="1"/>
  <c r="K18" i="1"/>
  <c r="L18" i="1" s="1"/>
  <c r="K31" i="1"/>
  <c r="L31" i="1" s="1"/>
  <c r="K10" i="1"/>
  <c r="L10" i="1" s="1"/>
  <c r="K23" i="1"/>
  <c r="L23" i="1"/>
  <c r="K56" i="1"/>
  <c r="L56" i="1" s="1"/>
  <c r="K108" i="1"/>
  <c r="L108" i="1"/>
  <c r="K85" i="1"/>
  <c r="L85" i="1" s="1"/>
  <c r="K55" i="1"/>
  <c r="L55" i="1" s="1"/>
  <c r="K43" i="1"/>
  <c r="L43" i="1" s="1"/>
  <c r="K44" i="1"/>
  <c r="L44" i="1" s="1"/>
  <c r="K48" i="1"/>
  <c r="L48" i="1" s="1"/>
  <c r="K103" i="1"/>
  <c r="L103" i="1"/>
  <c r="K90" i="1"/>
  <c r="L90" i="1" s="1"/>
  <c r="K81" i="1"/>
  <c r="L81" i="1" s="1"/>
  <c r="K13" i="1"/>
  <c r="L13" i="1" s="1"/>
  <c r="K59" i="1"/>
  <c r="L59" i="1" s="1"/>
  <c r="K38" i="1"/>
  <c r="L38" i="1"/>
  <c r="K51" i="1"/>
  <c r="L51" i="1" s="1"/>
  <c r="K98" i="1"/>
  <c r="L98" i="1" s="1"/>
  <c r="K71" i="1"/>
  <c r="L71" i="1" s="1"/>
  <c r="K4" i="1"/>
  <c r="L4" i="1" s="1"/>
  <c r="K76" i="1"/>
  <c r="L76" i="1" s="1"/>
  <c r="K29" i="1"/>
  <c r="L29" i="1"/>
  <c r="K11" i="1"/>
  <c r="L11" i="1"/>
  <c r="K30" i="1"/>
  <c r="L30" i="1" s="1"/>
  <c r="K101" i="1"/>
  <c r="L101" i="1" s="1"/>
  <c r="K49" i="1"/>
  <c r="L49" i="1" s="1"/>
  <c r="K19" i="1"/>
  <c r="L19" i="1" s="1"/>
  <c r="K60" i="1"/>
  <c r="L60" i="1" s="1"/>
  <c r="K72" i="1"/>
  <c r="L72" i="1" s="1"/>
  <c r="K126" i="1"/>
  <c r="L126" i="1" s="1"/>
  <c r="K79" i="1"/>
  <c r="L79" i="1" s="1"/>
  <c r="K123" i="1"/>
  <c r="L123" i="1" s="1"/>
  <c r="K105" i="1"/>
  <c r="L105" i="1" s="1"/>
  <c r="K47" i="1"/>
  <c r="L47" i="1" s="1"/>
  <c r="K128" i="1"/>
  <c r="L128" i="1"/>
  <c r="K111" i="1"/>
  <c r="L111" i="1" s="1"/>
  <c r="K25" i="1"/>
  <c r="L25" i="1" s="1"/>
  <c r="K12" i="1"/>
  <c r="L12" i="1" s="1"/>
  <c r="K84" i="1"/>
  <c r="L84" i="1" s="1"/>
  <c r="K27" i="1"/>
  <c r="L27" i="1"/>
  <c r="K83" i="1"/>
  <c r="L83" i="1"/>
  <c r="K50" i="1"/>
  <c r="L50" i="1" s="1"/>
  <c r="K63" i="1"/>
  <c r="L63" i="1" s="1"/>
  <c r="K94" i="1"/>
  <c r="L94" i="1" s="1"/>
  <c r="K16" i="1"/>
  <c r="L16" i="1" s="1"/>
  <c r="K88" i="1"/>
  <c r="L88" i="1"/>
  <c r="K41" i="1"/>
  <c r="L41" i="1"/>
  <c r="K91" i="1"/>
  <c r="L91" i="1" s="1"/>
  <c r="K34" i="1"/>
  <c r="L34" i="1" s="1"/>
  <c r="K42" i="1"/>
  <c r="L42" i="1" s="1"/>
  <c r="K99" i="1"/>
  <c r="L99" i="1" s="1"/>
  <c r="K40" i="1"/>
  <c r="L40" i="1"/>
  <c r="K109" i="1"/>
  <c r="L109" i="1"/>
  <c r="K97" i="1"/>
  <c r="L97" i="1" s="1"/>
  <c r="K110" i="1"/>
  <c r="L110" i="1" s="1"/>
  <c r="K15" i="1"/>
  <c r="L15" i="1" s="1"/>
  <c r="K53" i="1"/>
  <c r="L53" i="1" s="1"/>
  <c r="K32" i="1"/>
  <c r="L32" i="1" s="1"/>
  <c r="K67" i="1"/>
  <c r="L67" i="1"/>
  <c r="K37" i="1"/>
  <c r="L37" i="1" s="1"/>
  <c r="L24" i="1"/>
  <c r="K24" i="1"/>
  <c r="K82" i="1"/>
  <c r="L82" i="1" s="1"/>
  <c r="K92" i="1"/>
  <c r="L92" i="1" s="1"/>
  <c r="K93" i="1"/>
  <c r="L93" i="1" s="1"/>
  <c r="K62" i="1"/>
  <c r="L62" i="1" s="1"/>
  <c r="L75" i="1"/>
  <c r="K75" i="1"/>
  <c r="L102" i="1"/>
  <c r="K102" i="1"/>
  <c r="K28" i="1"/>
  <c r="L28" i="1" s="1"/>
  <c r="K65" i="1"/>
  <c r="L65" i="1" s="1"/>
  <c r="K54" i="1"/>
  <c r="L54" i="1" s="1"/>
  <c r="K100" i="1"/>
  <c r="L100" i="1"/>
</calcChain>
</file>

<file path=xl/sharedStrings.xml><?xml version="1.0" encoding="utf-8"?>
<sst xmlns="http://schemas.openxmlformats.org/spreadsheetml/2006/main" count="295" uniqueCount="32">
  <si>
    <t>Labcode</t>
  </si>
  <si>
    <t>depth_top</t>
  </si>
  <si>
    <t>depth_bottom</t>
  </si>
  <si>
    <t>mat.dated</t>
  </si>
  <si>
    <t>14C.raw</t>
  </si>
  <si>
    <t>14C.raw_err</t>
  </si>
  <si>
    <t>Planulina ariminensis</t>
  </si>
  <si>
    <t>178194, 181540</t>
  </si>
  <si>
    <t>157540, 157542, 157543</t>
  </si>
  <si>
    <t>Uvigerina peregrina</t>
  </si>
  <si>
    <t>160293, 176715</t>
  </si>
  <si>
    <t>176284, 181565</t>
  </si>
  <si>
    <t>162170, 161631.00</t>
  </si>
  <si>
    <t>176318 &amp; 160286</t>
  </si>
  <si>
    <t>terrestrial wood</t>
  </si>
  <si>
    <t>core</t>
  </si>
  <si>
    <t>LPAZ-21P</t>
  </si>
  <si>
    <t>15130, 15530, 16390</t>
  </si>
  <si>
    <t>ET97-7T</t>
  </si>
  <si>
    <t>cal.age</t>
  </si>
  <si>
    <t>cal.age.err</t>
  </si>
  <si>
    <t>depth_mid</t>
  </si>
  <si>
    <t>LPAZ21P_0to131B.csv (YEARS BP)</t>
  </si>
  <si>
    <t>depth</t>
  </si>
  <si>
    <t>min</t>
  </si>
  <si>
    <t>max</t>
  </si>
  <si>
    <t>median</t>
  </si>
  <si>
    <t>wmean</t>
  </si>
  <si>
    <t>stdev</t>
  </si>
  <si>
    <t>183781, 183782</t>
  </si>
  <si>
    <t>D14C</t>
  </si>
  <si>
    <t>D14C.err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</si>
</sst>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'14C'!$E$2:$E$105</c:f>
              <c:numCache>
                <c:formatCode>General</c:formatCode>
                <c:ptCount val="104"/>
                <c:pt idx="0">
                  <c:v>11738.5</c:v>
                </c:pt>
                <c:pt idx="1">
                  <c:v>12821</c:v>
                </c:pt>
                <c:pt idx="2">
                  <c:v>13096.2</c:v>
                </c:pt>
                <c:pt idx="3">
                  <c:v>13276.9</c:v>
                </c:pt>
                <c:pt idx="4">
                  <c:v>13690.9</c:v>
                </c:pt>
                <c:pt idx="5">
                  <c:v>13791.5</c:v>
                </c:pt>
                <c:pt idx="6">
                  <c:v>14001.9</c:v>
                </c:pt>
                <c:pt idx="7">
                  <c:v>14108.9</c:v>
                </c:pt>
                <c:pt idx="8">
                  <c:v>14314.9</c:v>
                </c:pt>
                <c:pt idx="9">
                  <c:v>14629.5</c:v>
                </c:pt>
                <c:pt idx="10">
                  <c:v>14734.3</c:v>
                </c:pt>
                <c:pt idx="11">
                  <c:v>15156.9</c:v>
                </c:pt>
                <c:pt idx="12">
                  <c:v>15258.4</c:v>
                </c:pt>
                <c:pt idx="13">
                  <c:v>15363.7</c:v>
                </c:pt>
                <c:pt idx="14">
                  <c:v>15687.2</c:v>
                </c:pt>
                <c:pt idx="15">
                  <c:v>15796.1</c:v>
                </c:pt>
                <c:pt idx="16">
                  <c:v>16311.5</c:v>
                </c:pt>
                <c:pt idx="17">
                  <c:v>16724.2</c:v>
                </c:pt>
                <c:pt idx="18">
                  <c:v>17125.400000000001</c:v>
                </c:pt>
                <c:pt idx="19">
                  <c:v>17231.5</c:v>
                </c:pt>
                <c:pt idx="20">
                  <c:v>17343.8</c:v>
                </c:pt>
                <c:pt idx="21">
                  <c:v>17549.2</c:v>
                </c:pt>
                <c:pt idx="22">
                  <c:v>17922.400000000001</c:v>
                </c:pt>
                <c:pt idx="23">
                  <c:v>18266.8</c:v>
                </c:pt>
                <c:pt idx="24">
                  <c:v>18611.8</c:v>
                </c:pt>
                <c:pt idx="25">
                  <c:v>18977.8</c:v>
                </c:pt>
                <c:pt idx="26">
                  <c:v>19161.2</c:v>
                </c:pt>
                <c:pt idx="27">
                  <c:v>19326.3</c:v>
                </c:pt>
                <c:pt idx="28">
                  <c:v>19670</c:v>
                </c:pt>
                <c:pt idx="29">
                  <c:v>21733.8</c:v>
                </c:pt>
                <c:pt idx="30">
                  <c:v>22709.200000000001</c:v>
                </c:pt>
                <c:pt idx="31">
                  <c:v>22809.200000000001</c:v>
                </c:pt>
                <c:pt idx="32">
                  <c:v>22898.9</c:v>
                </c:pt>
                <c:pt idx="33">
                  <c:v>23072.9</c:v>
                </c:pt>
                <c:pt idx="34">
                  <c:v>23256</c:v>
                </c:pt>
                <c:pt idx="35">
                  <c:v>23438.1</c:v>
                </c:pt>
                <c:pt idx="36">
                  <c:v>24297.8</c:v>
                </c:pt>
                <c:pt idx="37">
                  <c:v>25927.599999999999</c:v>
                </c:pt>
                <c:pt idx="38">
                  <c:v>27223.4</c:v>
                </c:pt>
                <c:pt idx="39">
                  <c:v>27573.8</c:v>
                </c:pt>
                <c:pt idx="40">
                  <c:v>27914.6</c:v>
                </c:pt>
                <c:pt idx="41">
                  <c:v>28090</c:v>
                </c:pt>
                <c:pt idx="42">
                  <c:v>28278.799999999999</c:v>
                </c:pt>
                <c:pt idx="43">
                  <c:v>28982</c:v>
                </c:pt>
                <c:pt idx="44">
                  <c:v>30259.7</c:v>
                </c:pt>
                <c:pt idx="45">
                  <c:v>5428.3</c:v>
                </c:pt>
                <c:pt idx="46">
                  <c:v>6803.4</c:v>
                </c:pt>
                <c:pt idx="47">
                  <c:v>7987.6</c:v>
                </c:pt>
                <c:pt idx="48">
                  <c:v>8175.2</c:v>
                </c:pt>
                <c:pt idx="49">
                  <c:v>8263.2000000000007</c:v>
                </c:pt>
                <c:pt idx="50">
                  <c:v>8465.7999999999993</c:v>
                </c:pt>
                <c:pt idx="51">
                  <c:v>8665.5</c:v>
                </c:pt>
                <c:pt idx="52">
                  <c:v>9401.5</c:v>
                </c:pt>
                <c:pt idx="53">
                  <c:v>12405</c:v>
                </c:pt>
                <c:pt idx="54">
                  <c:v>12997.5</c:v>
                </c:pt>
                <c:pt idx="55">
                  <c:v>13234.5</c:v>
                </c:pt>
                <c:pt idx="56">
                  <c:v>13690.9</c:v>
                </c:pt>
                <c:pt idx="57">
                  <c:v>13791.5</c:v>
                </c:pt>
                <c:pt idx="58">
                  <c:v>14001.9</c:v>
                </c:pt>
                <c:pt idx="59">
                  <c:v>14108.9</c:v>
                </c:pt>
                <c:pt idx="60">
                  <c:v>14314.9</c:v>
                </c:pt>
                <c:pt idx="61">
                  <c:v>14629.5</c:v>
                </c:pt>
                <c:pt idx="62">
                  <c:v>15258.4</c:v>
                </c:pt>
                <c:pt idx="63">
                  <c:v>15687.2</c:v>
                </c:pt>
                <c:pt idx="64">
                  <c:v>16311.5</c:v>
                </c:pt>
                <c:pt idx="65">
                  <c:v>16724.2</c:v>
                </c:pt>
                <c:pt idx="66">
                  <c:v>17125.400000000001</c:v>
                </c:pt>
                <c:pt idx="67">
                  <c:v>17231.5</c:v>
                </c:pt>
                <c:pt idx="68">
                  <c:v>17343.8</c:v>
                </c:pt>
                <c:pt idx="69">
                  <c:v>17549.2</c:v>
                </c:pt>
                <c:pt idx="70">
                  <c:v>17922.400000000001</c:v>
                </c:pt>
                <c:pt idx="71">
                  <c:v>18266.8</c:v>
                </c:pt>
                <c:pt idx="72">
                  <c:v>18438.3</c:v>
                </c:pt>
                <c:pt idx="73">
                  <c:v>18611.8</c:v>
                </c:pt>
                <c:pt idx="74">
                  <c:v>18977.8</c:v>
                </c:pt>
                <c:pt idx="75">
                  <c:v>19161.2</c:v>
                </c:pt>
                <c:pt idx="76">
                  <c:v>19326.3</c:v>
                </c:pt>
                <c:pt idx="77">
                  <c:v>19670</c:v>
                </c:pt>
                <c:pt idx="78">
                  <c:v>21733.8</c:v>
                </c:pt>
                <c:pt idx="79">
                  <c:v>22709.200000000001</c:v>
                </c:pt>
                <c:pt idx="80">
                  <c:v>22809.200000000001</c:v>
                </c:pt>
                <c:pt idx="81">
                  <c:v>22898.9</c:v>
                </c:pt>
                <c:pt idx="82">
                  <c:v>23072.9</c:v>
                </c:pt>
                <c:pt idx="83">
                  <c:v>23256</c:v>
                </c:pt>
                <c:pt idx="84">
                  <c:v>23438.1</c:v>
                </c:pt>
                <c:pt idx="85">
                  <c:v>23701.1</c:v>
                </c:pt>
                <c:pt idx="86">
                  <c:v>24297.8</c:v>
                </c:pt>
                <c:pt idx="87">
                  <c:v>26231.1</c:v>
                </c:pt>
                <c:pt idx="88">
                  <c:v>28090</c:v>
                </c:pt>
                <c:pt idx="89">
                  <c:v>28982</c:v>
                </c:pt>
                <c:pt idx="90">
                  <c:v>30259.7</c:v>
                </c:pt>
                <c:pt idx="91">
                  <c:v>11738.5</c:v>
                </c:pt>
                <c:pt idx="92">
                  <c:v>12821</c:v>
                </c:pt>
                <c:pt idx="93">
                  <c:v>17231.5</c:v>
                </c:pt>
                <c:pt idx="94">
                  <c:v>17343.8</c:v>
                </c:pt>
                <c:pt idx="95">
                  <c:v>18977.8</c:v>
                </c:pt>
                <c:pt idx="96">
                  <c:v>19670</c:v>
                </c:pt>
                <c:pt idx="97">
                  <c:v>21733.8</c:v>
                </c:pt>
                <c:pt idx="98">
                  <c:v>22809.200000000001</c:v>
                </c:pt>
                <c:pt idx="99">
                  <c:v>23701.1</c:v>
                </c:pt>
                <c:pt idx="100">
                  <c:v>24297.8</c:v>
                </c:pt>
                <c:pt idx="101">
                  <c:v>25927.599999999999</c:v>
                </c:pt>
                <c:pt idx="102">
                  <c:v>28090</c:v>
                </c:pt>
                <c:pt idx="103">
                  <c:v>33326.199999999997</c:v>
                </c:pt>
              </c:numCache>
            </c:numRef>
          </c:xVal>
          <c:yVal>
            <c:numRef>
              <c:f>'14C'!$K$2:$K$105</c:f>
              <c:numCache>
                <c:formatCode>0</c:formatCode>
                <c:ptCount val="104"/>
                <c:pt idx="0">
                  <c:v>-408.18218728758683</c:v>
                </c:pt>
                <c:pt idx="1">
                  <c:v>-423.31963205411461</c:v>
                </c:pt>
                <c:pt idx="2">
                  <c:v>-379.18368535142423</c:v>
                </c:pt>
                <c:pt idx="3">
                  <c:v>-162.95679706689103</c:v>
                </c:pt>
                <c:pt idx="4">
                  <c:v>-202.39779611734477</c:v>
                </c:pt>
                <c:pt idx="5">
                  <c:v>-217.85918851319087</c:v>
                </c:pt>
                <c:pt idx="6">
                  <c:v>-199.69280558446422</c:v>
                </c:pt>
                <c:pt idx="7">
                  <c:v>-342.67476107918293</c:v>
                </c:pt>
                <c:pt idx="8">
                  <c:v>-239.59652475498982</c:v>
                </c:pt>
                <c:pt idx="9">
                  <c:v>-195.71423145115341</c:v>
                </c:pt>
                <c:pt idx="10">
                  <c:v>-153.93183625269691</c:v>
                </c:pt>
                <c:pt idx="11">
                  <c:v>-224.95864073243277</c:v>
                </c:pt>
                <c:pt idx="12">
                  <c:v>-213.91775617796625</c:v>
                </c:pt>
                <c:pt idx="13">
                  <c:v>-229.19738875156392</c:v>
                </c:pt>
                <c:pt idx="14">
                  <c:v>-150.13929235962598</c:v>
                </c:pt>
                <c:pt idx="15">
                  <c:v>-68.61585340880427</c:v>
                </c:pt>
                <c:pt idx="16">
                  <c:v>-187.72603342353301</c:v>
                </c:pt>
                <c:pt idx="17">
                  <c:v>-47.293226304914839</c:v>
                </c:pt>
                <c:pt idx="18">
                  <c:v>-130.07013149845048</c:v>
                </c:pt>
                <c:pt idx="19">
                  <c:v>-102.78340499780769</c:v>
                </c:pt>
                <c:pt idx="20">
                  <c:v>-60.008954377579805</c:v>
                </c:pt>
                <c:pt idx="21">
                  <c:v>-67.051842990817349</c:v>
                </c:pt>
                <c:pt idx="22">
                  <c:v>-86.288265291556087</c:v>
                </c:pt>
                <c:pt idx="23">
                  <c:v>-53.330137060623059</c:v>
                </c:pt>
                <c:pt idx="24">
                  <c:v>-131.76577820969248</c:v>
                </c:pt>
                <c:pt idx="25">
                  <c:v>226.58754736529986</c:v>
                </c:pt>
                <c:pt idx="26">
                  <c:v>253.32261754633078</c:v>
                </c:pt>
                <c:pt idx="27">
                  <c:v>323.13361424248097</c:v>
                </c:pt>
                <c:pt idx="28">
                  <c:v>307.41070193546369</c:v>
                </c:pt>
                <c:pt idx="29">
                  <c:v>115.5818190562603</c:v>
                </c:pt>
                <c:pt idx="30">
                  <c:v>362.77674576469951</c:v>
                </c:pt>
                <c:pt idx="31">
                  <c:v>277.43474136588134</c:v>
                </c:pt>
                <c:pt idx="32">
                  <c:v>284.4234144515334</c:v>
                </c:pt>
                <c:pt idx="33">
                  <c:v>271.54898187486884</c:v>
                </c:pt>
                <c:pt idx="34">
                  <c:v>277.565123972332</c:v>
                </c:pt>
                <c:pt idx="35">
                  <c:v>306.01871017559847</c:v>
                </c:pt>
                <c:pt idx="36">
                  <c:v>297.16634741731565</c:v>
                </c:pt>
                <c:pt idx="37">
                  <c:v>370.82510746347964</c:v>
                </c:pt>
                <c:pt idx="38">
                  <c:v>127.33870943317305</c:v>
                </c:pt>
                <c:pt idx="39">
                  <c:v>161.59779753574787</c:v>
                </c:pt>
                <c:pt idx="40">
                  <c:v>13.089859768592449</c:v>
                </c:pt>
                <c:pt idx="41">
                  <c:v>98.532645963092861</c:v>
                </c:pt>
                <c:pt idx="42">
                  <c:v>173.96087251524861</c:v>
                </c:pt>
                <c:pt idx="43">
                  <c:v>98.088517668698302</c:v>
                </c:pt>
                <c:pt idx="44">
                  <c:v>127.38875332784794</c:v>
                </c:pt>
                <c:pt idx="45">
                  <c:v>-66.991545091665046</c:v>
                </c:pt>
                <c:pt idx="46">
                  <c:v>-72.452522272839488</c:v>
                </c:pt>
                <c:pt idx="47">
                  <c:v>-79.27670688444644</c:v>
                </c:pt>
                <c:pt idx="48">
                  <c:v>-143.16750206293406</c:v>
                </c:pt>
                <c:pt idx="49">
                  <c:v>-98.803920946812667</c:v>
                </c:pt>
                <c:pt idx="50">
                  <c:v>-100.27625114114936</c:v>
                </c:pt>
                <c:pt idx="51">
                  <c:v>-78.564446376015454</c:v>
                </c:pt>
                <c:pt idx="52">
                  <c:v>-28.783696415862092</c:v>
                </c:pt>
                <c:pt idx="53">
                  <c:v>-225.34511145875825</c:v>
                </c:pt>
                <c:pt idx="54">
                  <c:v>-274.73975633691816</c:v>
                </c:pt>
                <c:pt idx="55">
                  <c:v>-170.34308051667836</c:v>
                </c:pt>
                <c:pt idx="56">
                  <c:v>-177.18482141199087</c:v>
                </c:pt>
                <c:pt idx="57">
                  <c:v>-249.33892816422011</c:v>
                </c:pt>
                <c:pt idx="58">
                  <c:v>-264.65128300223319</c:v>
                </c:pt>
                <c:pt idx="59">
                  <c:v>-300.02500604948534</c:v>
                </c:pt>
                <c:pt idx="60">
                  <c:v>-304.78656038682306</c:v>
                </c:pt>
                <c:pt idx="61">
                  <c:v>-355.16716408061842</c:v>
                </c:pt>
                <c:pt idx="62">
                  <c:v>-295.48240313657135</c:v>
                </c:pt>
                <c:pt idx="63">
                  <c:v>-57.631627202143321</c:v>
                </c:pt>
                <c:pt idx="64">
                  <c:v>-197.77506895316444</c:v>
                </c:pt>
                <c:pt idx="65">
                  <c:v>-81.645342473001151</c:v>
                </c:pt>
                <c:pt idx="66">
                  <c:v>-186.62692498783161</c:v>
                </c:pt>
                <c:pt idx="67">
                  <c:v>-89.279833670443224</c:v>
                </c:pt>
                <c:pt idx="68">
                  <c:v>12.259067610130625</c:v>
                </c:pt>
                <c:pt idx="69">
                  <c:v>-157.58673366199915</c:v>
                </c:pt>
                <c:pt idx="70">
                  <c:v>208.32128828584496</c:v>
                </c:pt>
                <c:pt idx="71">
                  <c:v>-76.608670583839469</c:v>
                </c:pt>
                <c:pt idx="72">
                  <c:v>-31.679771177379635</c:v>
                </c:pt>
                <c:pt idx="73">
                  <c:v>-100.96880176657996</c:v>
                </c:pt>
                <c:pt idx="74">
                  <c:v>87.067891187689213</c:v>
                </c:pt>
                <c:pt idx="75">
                  <c:v>144.44863417214205</c:v>
                </c:pt>
                <c:pt idx="76">
                  <c:v>104.61566308110947</c:v>
                </c:pt>
                <c:pt idx="77">
                  <c:v>248.55716337957801</c:v>
                </c:pt>
                <c:pt idx="78">
                  <c:v>203.5949144596978</c:v>
                </c:pt>
                <c:pt idx="79">
                  <c:v>285.33025264505073</c:v>
                </c:pt>
                <c:pt idx="80">
                  <c:v>264.25129370618674</c:v>
                </c:pt>
                <c:pt idx="81">
                  <c:v>353.36521167451917</c:v>
                </c:pt>
                <c:pt idx="82">
                  <c:v>260.51677216455226</c:v>
                </c:pt>
                <c:pt idx="83">
                  <c:v>296.79313633078743</c:v>
                </c:pt>
                <c:pt idx="84">
                  <c:v>310.90527985405726</c:v>
                </c:pt>
                <c:pt idx="85">
                  <c:v>282.74458973638718</c:v>
                </c:pt>
                <c:pt idx="86">
                  <c:v>206.80936271485484</c:v>
                </c:pt>
                <c:pt idx="87">
                  <c:v>407.99419753601086</c:v>
                </c:pt>
                <c:pt idx="88">
                  <c:v>60.901600359566153</c:v>
                </c:pt>
                <c:pt idx="89">
                  <c:v>36.974325127039577</c:v>
                </c:pt>
                <c:pt idx="90">
                  <c:v>58.696507793048134</c:v>
                </c:pt>
                <c:pt idx="91">
                  <c:v>127.81664893899891</c:v>
                </c:pt>
                <c:pt idx="92">
                  <c:v>189.36771864812107</c:v>
                </c:pt>
                <c:pt idx="93">
                  <c:v>480.82617017839624</c:v>
                </c:pt>
                <c:pt idx="94">
                  <c:v>358.79066903896819</c:v>
                </c:pt>
                <c:pt idx="95">
                  <c:v>384.01384453352216</c:v>
                </c:pt>
                <c:pt idx="96">
                  <c:v>442.52196665223511</c:v>
                </c:pt>
                <c:pt idx="97">
                  <c:v>331.28800709016559</c:v>
                </c:pt>
                <c:pt idx="98">
                  <c:v>460.65419832543841</c:v>
                </c:pt>
                <c:pt idx="99">
                  <c:v>542.24940465364989</c:v>
                </c:pt>
                <c:pt idx="100">
                  <c:v>438.36340364269222</c:v>
                </c:pt>
                <c:pt idx="101">
                  <c:v>566.13903086368737</c:v>
                </c:pt>
                <c:pt idx="102">
                  <c:v>503.32796513684406</c:v>
                </c:pt>
                <c:pt idx="103">
                  <c:v>279.97841926152824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8-5445-9A2E-39E54DEE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9808"/>
        <c:axId val="1446927616"/>
      </c:scatterChart>
      <c:valAx>
        <c:axId val="14470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7616"/>
        <c:crosses val="autoZero"/>
        <c:crossBetween val="midCat"/>
      </c:valAx>
      <c:valAx>
        <c:axId val="14469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39</xdr:row>
      <xdr:rowOff>25406</xdr:rowOff>
    </xdr:from>
    <xdr:to>
      <xdr:col>13</xdr:col>
      <xdr:colOff>552450</xdr:colOff>
      <xdr:row>52</xdr:row>
      <xdr:rowOff>127006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CB95C-30BE-DFBA-6B77-57AB71401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6A12-B73C-194D-A9A3-1E672B41BF7A}">
  <dimension ref="A1:L132"/>
  <sheetViews>
    <sheetView tabSelected="1" workbookViewId="0">
      <pane xSplit="1" ySplit="1" topLeftCell="D26" activePane="bottomRight" state="frozen"/>
      <selection pane="topRight" activeCell="C1" sqref="C1"/>
      <selection pane="bottomLeft" activeCell="A2" sqref="A2"/>
      <selection pane="bottomRight" activeCell="H35" sqref="H35"/>
    </sheetView>
  </sheetViews>
  <sheetFormatPr baseColWidth="10" defaultRowHeight="16" x14ac:dyDescent="0.2"/>
  <cols>
    <col min="1" max="1" width="8.6640625" bestFit="1" customWidth="1"/>
    <col min="2" max="2" width="9.33203125" bestFit="1" customWidth="1"/>
    <col min="3" max="3" width="12.5" bestFit="1" customWidth="1"/>
    <col min="4" max="6" width="12.5" customWidth="1"/>
    <col min="7" max="7" width="18.83203125" bestFit="1" customWidth="1"/>
    <col min="8" max="9" width="12.1640625" style="4" bestFit="1" customWidth="1"/>
    <col min="10" max="10" width="21" bestFit="1" customWidth="1"/>
  </cols>
  <sheetData>
    <row r="1" spans="1:12" x14ac:dyDescent="0.2">
      <c r="A1" t="s">
        <v>15</v>
      </c>
      <c r="B1" t="s">
        <v>1</v>
      </c>
      <c r="C1" t="s">
        <v>2</v>
      </c>
      <c r="D1" t="s">
        <v>21</v>
      </c>
      <c r="E1" t="s">
        <v>19</v>
      </c>
      <c r="F1" t="s">
        <v>20</v>
      </c>
      <c r="G1" t="s">
        <v>3</v>
      </c>
      <c r="H1" s="4" t="s">
        <v>4</v>
      </c>
      <c r="I1" s="4" t="s">
        <v>5</v>
      </c>
      <c r="J1" t="s">
        <v>0</v>
      </c>
      <c r="K1" t="s">
        <v>30</v>
      </c>
      <c r="L1" t="s">
        <v>31</v>
      </c>
    </row>
    <row r="2" spans="1:12" x14ac:dyDescent="0.2">
      <c r="A2" t="s">
        <v>16</v>
      </c>
      <c r="B2">
        <v>63</v>
      </c>
      <c r="C2">
        <v>65</v>
      </c>
      <c r="D2">
        <f>AVERAGE(B2:C2)</f>
        <v>64</v>
      </c>
      <c r="E2">
        <f>VLOOKUP(D2,agemodels!$A$3:$E$265,4,0)</f>
        <v>11738.5</v>
      </c>
      <c r="F2" s="4">
        <f>VLOOKUP(D2,agemodels!$A$3:$F$265,6,0)</f>
        <v>586.22448979591843</v>
      </c>
      <c r="G2" t="s">
        <v>6</v>
      </c>
      <c r="H2" s="4">
        <v>15620</v>
      </c>
      <c r="I2" s="4">
        <v>100</v>
      </c>
      <c r="J2">
        <v>162173</v>
      </c>
      <c r="K2" s="10">
        <f>((EXP(-(H2)/8033)/EXP(-($E2)/8267))-1)*1000</f>
        <v>-408.18218728758683</v>
      </c>
      <c r="L2" s="11">
        <f>((EXP(-(H2-I2)/8033)/EXP(-($E2)/8267))-1)*1000-K2</f>
        <v>7.4133799597267966</v>
      </c>
    </row>
    <row r="3" spans="1:12" x14ac:dyDescent="0.2">
      <c r="A3" t="s">
        <v>16</v>
      </c>
      <c r="B3">
        <v>66</v>
      </c>
      <c r="C3">
        <v>67</v>
      </c>
      <c r="D3">
        <f>AVERAGE(B3:C3)</f>
        <v>66.5</v>
      </c>
      <c r="E3">
        <f>VLOOKUP(D3,agemodels!$A$3:$E$265,4,0)</f>
        <v>12821</v>
      </c>
      <c r="F3" s="4">
        <f>VLOOKUP(D3,agemodels!$A$3:$F$265,6,0)</f>
        <v>187.19387755102022</v>
      </c>
      <c r="G3" t="s">
        <v>6</v>
      </c>
      <c r="H3" s="4">
        <v>16880</v>
      </c>
      <c r="I3" s="4">
        <v>650</v>
      </c>
      <c r="J3">
        <v>178177</v>
      </c>
      <c r="K3" s="10">
        <f t="shared" ref="K3:K66" si="0">((EXP(-(H3)/8033)/EXP(-($E3)/8267))-1)*1000</f>
        <v>-423.31963205411461</v>
      </c>
      <c r="L3" s="11">
        <f t="shared" ref="L3:L66" si="1">((EXP(-(H3-I3)/8033)/EXP(-($E3)/8267))-1)*1000-K3</f>
        <v>48.602651639132262</v>
      </c>
    </row>
    <row r="4" spans="1:12" x14ac:dyDescent="0.2">
      <c r="A4" t="s">
        <v>16</v>
      </c>
      <c r="B4">
        <v>67</v>
      </c>
      <c r="C4">
        <v>68</v>
      </c>
      <c r="D4">
        <f t="shared" ref="D4:D67" si="2">AVERAGE(B4:C4)</f>
        <v>67.5</v>
      </c>
      <c r="E4">
        <f>VLOOKUP(D4,agemodels!$A$3:$E$265,4,0)</f>
        <v>13096.2</v>
      </c>
      <c r="F4" s="4">
        <f>VLOOKUP(D4,agemodels!$A$3:$F$265,6,0)</f>
        <v>125.7908163265307</v>
      </c>
      <c r="G4" t="s">
        <v>6</v>
      </c>
      <c r="H4" s="4">
        <v>16555</v>
      </c>
      <c r="I4" s="4">
        <v>45</v>
      </c>
      <c r="J4">
        <v>206073</v>
      </c>
      <c r="K4" s="10">
        <f t="shared" si="0"/>
        <v>-379.18368535142423</v>
      </c>
      <c r="L4" s="11">
        <f t="shared" si="1"/>
        <v>3.4875052614527249</v>
      </c>
    </row>
    <row r="5" spans="1:12" x14ac:dyDescent="0.2">
      <c r="A5" t="s">
        <v>16</v>
      </c>
      <c r="B5">
        <v>68</v>
      </c>
      <c r="C5">
        <v>69</v>
      </c>
      <c r="D5">
        <f t="shared" si="2"/>
        <v>68.5</v>
      </c>
      <c r="E5">
        <f>VLOOKUP(D5,agemodels!$A$3:$E$265,4,0)</f>
        <v>13276.9</v>
      </c>
      <c r="F5" s="4">
        <f>VLOOKUP(D5,agemodels!$A$3:$F$265,6,0)</f>
        <v>202.57653061224499</v>
      </c>
      <c r="G5" t="s">
        <v>6</v>
      </c>
      <c r="H5" s="4">
        <v>14330</v>
      </c>
      <c r="I5" s="4">
        <v>60</v>
      </c>
      <c r="J5">
        <v>206075</v>
      </c>
      <c r="K5" s="10">
        <f t="shared" si="0"/>
        <v>-162.95679706689103</v>
      </c>
      <c r="L5" s="11">
        <f t="shared" si="1"/>
        <v>6.2754414361985198</v>
      </c>
    </row>
    <row r="6" spans="1:12" x14ac:dyDescent="0.2">
      <c r="A6" t="s">
        <v>16</v>
      </c>
      <c r="B6">
        <v>69</v>
      </c>
      <c r="C6">
        <v>70.5</v>
      </c>
      <c r="D6">
        <f t="shared" si="2"/>
        <v>69.75</v>
      </c>
      <c r="E6">
        <f>VLOOKUP(C6,agemodels!$A$3:$E$265,4,0)</f>
        <v>13690.9</v>
      </c>
      <c r="F6" s="4">
        <f>VLOOKUP(C6,agemodels!$A$3:$F$265,6,0)</f>
        <v>297.83163265306121</v>
      </c>
      <c r="G6" t="s">
        <v>6</v>
      </c>
      <c r="H6" s="4">
        <v>15120</v>
      </c>
      <c r="I6" s="4">
        <v>90</v>
      </c>
      <c r="J6">
        <v>175820</v>
      </c>
      <c r="K6" s="10">
        <f t="shared" si="0"/>
        <v>-202.39779611734477</v>
      </c>
      <c r="L6" s="11">
        <f t="shared" si="1"/>
        <v>8.9864100197191306</v>
      </c>
    </row>
    <row r="7" spans="1:12" x14ac:dyDescent="0.2">
      <c r="A7" t="s">
        <v>16</v>
      </c>
      <c r="B7">
        <v>70.5</v>
      </c>
      <c r="C7">
        <v>71.5</v>
      </c>
      <c r="D7">
        <f t="shared" si="2"/>
        <v>71</v>
      </c>
      <c r="E7">
        <f>VLOOKUP(D7,agemodels!$A$3:$E$265,4,0)</f>
        <v>13791.5</v>
      </c>
      <c r="F7" s="4">
        <f>VLOOKUP(D7,agemodels!$A$3:$F$265,6,0)</f>
        <v>325.20408163265336</v>
      </c>
      <c r="G7" t="s">
        <v>6</v>
      </c>
      <c r="H7" s="4">
        <v>15375</v>
      </c>
      <c r="I7" s="4">
        <v>45</v>
      </c>
      <c r="J7">
        <v>203474</v>
      </c>
      <c r="K7" s="10">
        <f t="shared" si="0"/>
        <v>-217.85918851319087</v>
      </c>
      <c r="L7" s="11">
        <f t="shared" si="1"/>
        <v>4.3937637122201352</v>
      </c>
    </row>
    <row r="8" spans="1:12" x14ac:dyDescent="0.2">
      <c r="A8" t="s">
        <v>16</v>
      </c>
      <c r="B8">
        <v>71.5</v>
      </c>
      <c r="C8">
        <v>72.5</v>
      </c>
      <c r="D8">
        <f t="shared" si="2"/>
        <v>72</v>
      </c>
      <c r="E8">
        <f>VLOOKUP(D8,agemodels!$A$3:$E$265,4,0)</f>
        <v>14001.9</v>
      </c>
      <c r="F8" s="4">
        <f>VLOOKUP(D8,agemodels!$A$3:$F$265,6,0)</f>
        <v>344.61734693877543</v>
      </c>
      <c r="G8" t="s">
        <v>6</v>
      </c>
      <c r="H8" s="4">
        <v>15395</v>
      </c>
      <c r="I8" s="4">
        <v>40</v>
      </c>
      <c r="J8">
        <v>203476</v>
      </c>
      <c r="K8" s="10">
        <f t="shared" si="0"/>
        <v>-199.69280558446422</v>
      </c>
      <c r="L8" s="11">
        <f t="shared" si="1"/>
        <v>3.9950357501872134</v>
      </c>
    </row>
    <row r="9" spans="1:12" x14ac:dyDescent="0.2">
      <c r="A9" t="s">
        <v>16</v>
      </c>
      <c r="B9">
        <v>72</v>
      </c>
      <c r="C9">
        <v>73</v>
      </c>
      <c r="D9">
        <f t="shared" si="2"/>
        <v>72.5</v>
      </c>
      <c r="E9">
        <f>VLOOKUP(D9,agemodels!$A$3:$E$265,4,0)</f>
        <v>14108.9</v>
      </c>
      <c r="F9" s="4">
        <f>VLOOKUP(D9,agemodels!$A$3:$F$265,6,0)</f>
        <v>350.73979591836724</v>
      </c>
      <c r="G9" t="s">
        <v>6</v>
      </c>
      <c r="H9" s="4">
        <v>17080</v>
      </c>
      <c r="I9" s="4">
        <v>330</v>
      </c>
      <c r="J9">
        <v>203478</v>
      </c>
      <c r="K9" s="10">
        <f t="shared" si="0"/>
        <v>-342.67476107918293</v>
      </c>
      <c r="L9" s="11">
        <f t="shared" si="1"/>
        <v>27.56560605530467</v>
      </c>
    </row>
    <row r="10" spans="1:12" x14ac:dyDescent="0.2">
      <c r="A10" t="s">
        <v>16</v>
      </c>
      <c r="B10">
        <v>73</v>
      </c>
      <c r="C10">
        <v>74</v>
      </c>
      <c r="D10">
        <f t="shared" si="2"/>
        <v>73.5</v>
      </c>
      <c r="E10">
        <f>VLOOKUP(D10,agemodels!$A$3:$E$265,4,0)</f>
        <v>14314.9</v>
      </c>
      <c r="F10" s="4">
        <f>VLOOKUP(D10,agemodels!$A$3:$F$265,6,0)</f>
        <v>368.41836734693851</v>
      </c>
      <c r="G10" t="s">
        <v>6</v>
      </c>
      <c r="H10" s="4">
        <v>16110</v>
      </c>
      <c r="I10" s="4">
        <v>70</v>
      </c>
      <c r="J10">
        <v>203480</v>
      </c>
      <c r="K10" s="10">
        <f t="shared" si="0"/>
        <v>-239.59652475498982</v>
      </c>
      <c r="L10" s="11">
        <f t="shared" si="1"/>
        <v>6.6551519096020684</v>
      </c>
    </row>
    <row r="11" spans="1:12" x14ac:dyDescent="0.2">
      <c r="A11" t="s">
        <v>16</v>
      </c>
      <c r="B11">
        <v>74</v>
      </c>
      <c r="C11">
        <v>76</v>
      </c>
      <c r="D11">
        <f t="shared" si="2"/>
        <v>75</v>
      </c>
      <c r="E11">
        <f>VLOOKUP(D11,agemodels!$A$3:$E$265,4,0)</f>
        <v>14629.5</v>
      </c>
      <c r="F11" s="4">
        <f>VLOOKUP(D11,agemodels!$A$3:$F$265,6,0)</f>
        <v>399.20918367346928</v>
      </c>
      <c r="G11" t="s">
        <v>6</v>
      </c>
      <c r="H11" s="4">
        <v>15965</v>
      </c>
      <c r="I11" s="4">
        <v>45</v>
      </c>
      <c r="J11">
        <v>181567</v>
      </c>
      <c r="K11" s="10">
        <f t="shared" si="0"/>
        <v>-195.71423145115341</v>
      </c>
      <c r="L11" s="11">
        <f t="shared" si="1"/>
        <v>4.5181654916939351</v>
      </c>
    </row>
    <row r="12" spans="1:12" x14ac:dyDescent="0.2">
      <c r="A12" t="s">
        <v>16</v>
      </c>
      <c r="B12">
        <v>75</v>
      </c>
      <c r="C12">
        <v>76</v>
      </c>
      <c r="D12">
        <f t="shared" si="2"/>
        <v>75.5</v>
      </c>
      <c r="E12">
        <f>VLOOKUP(D12,agemodels!$A$3:$E$265,4,0)</f>
        <v>14734.3</v>
      </c>
      <c r="F12" s="4">
        <f>VLOOKUP(D12,agemodels!$A$3:$F$265,6,0)</f>
        <v>396.70918367346951</v>
      </c>
      <c r="G12" t="s">
        <v>6</v>
      </c>
      <c r="H12" s="4">
        <v>15660</v>
      </c>
      <c r="I12" s="4">
        <v>35</v>
      </c>
      <c r="J12">
        <v>204764</v>
      </c>
      <c r="K12" s="10">
        <f t="shared" si="0"/>
        <v>-153.93183625269691</v>
      </c>
      <c r="L12" s="11">
        <f t="shared" si="1"/>
        <v>3.6943844779422363</v>
      </c>
    </row>
    <row r="13" spans="1:12" x14ac:dyDescent="0.2">
      <c r="A13" t="s">
        <v>16</v>
      </c>
      <c r="B13">
        <v>77</v>
      </c>
      <c r="C13">
        <v>78</v>
      </c>
      <c r="D13">
        <f t="shared" si="2"/>
        <v>77.5</v>
      </c>
      <c r="E13">
        <f>VLOOKUP(D13,agemodels!$A$3:$E$265,4,0)</f>
        <v>15156.9</v>
      </c>
      <c r="F13" s="4">
        <f>VLOOKUP(D13,agemodels!$A$3:$F$265,6,0)</f>
        <v>412.88265306122452</v>
      </c>
      <c r="G13" t="s">
        <v>6</v>
      </c>
      <c r="H13" s="4">
        <v>16775</v>
      </c>
      <c r="I13" s="4">
        <v>45</v>
      </c>
      <c r="J13">
        <v>203058</v>
      </c>
      <c r="K13" s="10">
        <f t="shared" si="0"/>
        <v>-224.95864073243277</v>
      </c>
      <c r="L13" s="11">
        <f t="shared" si="1"/>
        <v>4.3538817432968813</v>
      </c>
    </row>
    <row r="14" spans="1:12" x14ac:dyDescent="0.2">
      <c r="A14" t="s">
        <v>16</v>
      </c>
      <c r="B14">
        <v>77</v>
      </c>
      <c r="C14">
        <v>79</v>
      </c>
      <c r="D14">
        <f t="shared" si="2"/>
        <v>78</v>
      </c>
      <c r="E14">
        <f>VLOOKUP(D14,agemodels!$A$3:$E$265,4,0)</f>
        <v>15258.4</v>
      </c>
      <c r="F14" s="4">
        <f>VLOOKUP(D14,agemodels!$A$3:$F$265,6,0)</f>
        <v>424.03061224489818</v>
      </c>
      <c r="G14" t="s">
        <v>6</v>
      </c>
      <c r="H14" s="4">
        <v>16760</v>
      </c>
      <c r="I14" s="4">
        <v>70</v>
      </c>
      <c r="J14">
        <v>175789</v>
      </c>
      <c r="K14" s="10">
        <f t="shared" si="0"/>
        <v>-213.91775617796625</v>
      </c>
      <c r="L14" s="11">
        <f t="shared" si="1"/>
        <v>6.8798958926258251</v>
      </c>
    </row>
    <row r="15" spans="1:12" x14ac:dyDescent="0.2">
      <c r="A15" t="s">
        <v>16</v>
      </c>
      <c r="B15">
        <v>78</v>
      </c>
      <c r="C15">
        <v>79</v>
      </c>
      <c r="D15">
        <f t="shared" si="2"/>
        <v>78.5</v>
      </c>
      <c r="E15">
        <f>VLOOKUP(D15,agemodels!$A$3:$E$265,4,0)</f>
        <v>15363.7</v>
      </c>
      <c r="F15" s="4">
        <f>VLOOKUP(D15,agemodels!$A$3:$F$265,6,0)</f>
        <v>416.96428571428572</v>
      </c>
      <c r="G15" t="s">
        <v>6</v>
      </c>
      <c r="H15" s="4">
        <v>17020</v>
      </c>
      <c r="I15" s="4">
        <v>60</v>
      </c>
      <c r="J15">
        <v>206076</v>
      </c>
      <c r="K15" s="10">
        <f t="shared" si="0"/>
        <v>-229.19738875156392</v>
      </c>
      <c r="L15" s="11">
        <f t="shared" si="1"/>
        <v>5.7788255478429278</v>
      </c>
    </row>
    <row r="16" spans="1:12" x14ac:dyDescent="0.2">
      <c r="A16" t="s">
        <v>16</v>
      </c>
      <c r="B16">
        <v>79</v>
      </c>
      <c r="C16">
        <v>81</v>
      </c>
      <c r="D16">
        <f t="shared" si="2"/>
        <v>80</v>
      </c>
      <c r="E16">
        <f>VLOOKUP(D16,agemodels!$A$3:$E$265,4,0)</f>
        <v>15687.2</v>
      </c>
      <c r="F16" s="4">
        <f>VLOOKUP(D16,agemodels!$A$3:$F$265,6,0)</f>
        <v>433.13775510204073</v>
      </c>
      <c r="G16" t="s">
        <v>6</v>
      </c>
      <c r="H16" s="4">
        <v>16550</v>
      </c>
      <c r="I16" s="4">
        <v>45</v>
      </c>
      <c r="J16">
        <v>181535</v>
      </c>
      <c r="K16" s="10">
        <f t="shared" si="0"/>
        <v>-150.13929235962598</v>
      </c>
      <c r="L16" s="11">
        <f t="shared" si="1"/>
        <v>4.7741878224889547</v>
      </c>
    </row>
    <row r="17" spans="1:12" x14ac:dyDescent="0.2">
      <c r="A17" t="s">
        <v>16</v>
      </c>
      <c r="B17">
        <v>80</v>
      </c>
      <c r="C17">
        <v>81</v>
      </c>
      <c r="D17">
        <f t="shared" si="2"/>
        <v>80.5</v>
      </c>
      <c r="E17">
        <f>VLOOKUP(D17,agemodels!$A$3:$E$265,4,0)</f>
        <v>15796.1</v>
      </c>
      <c r="F17" s="4">
        <f>VLOOKUP(D17,agemodels!$A$3:$F$265,6,0)</f>
        <v>422.95918367346894</v>
      </c>
      <c r="G17" t="s">
        <v>6</v>
      </c>
      <c r="H17" s="4">
        <v>15920</v>
      </c>
      <c r="I17" s="4">
        <v>100</v>
      </c>
      <c r="J17">
        <v>206078</v>
      </c>
      <c r="K17" s="10">
        <f t="shared" si="0"/>
        <v>-68.61585340880427</v>
      </c>
      <c r="L17" s="11">
        <f t="shared" si="1"/>
        <v>11.666942796974553</v>
      </c>
    </row>
    <row r="18" spans="1:12" x14ac:dyDescent="0.2">
      <c r="A18" t="s">
        <v>16</v>
      </c>
      <c r="B18">
        <v>82</v>
      </c>
      <c r="C18">
        <v>84</v>
      </c>
      <c r="D18">
        <f t="shared" si="2"/>
        <v>83</v>
      </c>
      <c r="E18">
        <f>VLOOKUP(D18,agemodels!$A$3:$E$265,4,0)</f>
        <v>16311.5</v>
      </c>
      <c r="F18" s="4">
        <f>VLOOKUP(D18,agemodels!$A$3:$F$265,6,0)</f>
        <v>421.07142857142867</v>
      </c>
      <c r="G18" t="s">
        <v>6</v>
      </c>
      <c r="H18" s="4">
        <v>17520</v>
      </c>
      <c r="I18" s="4">
        <v>80</v>
      </c>
      <c r="J18">
        <v>175800</v>
      </c>
      <c r="K18" s="10">
        <f t="shared" si="0"/>
        <v>-187.72603342353301</v>
      </c>
      <c r="L18" s="11">
        <f t="shared" si="1"/>
        <v>8.1297857585136626</v>
      </c>
    </row>
    <row r="19" spans="1:12" x14ac:dyDescent="0.2">
      <c r="A19" t="s">
        <v>16</v>
      </c>
      <c r="B19">
        <v>84.5</v>
      </c>
      <c r="C19">
        <v>85.5</v>
      </c>
      <c r="D19">
        <f t="shared" si="2"/>
        <v>85</v>
      </c>
      <c r="E19">
        <f>VLOOKUP(D19,agemodels!$A$3:$E$265,4,0)</f>
        <v>16724.2</v>
      </c>
      <c r="F19" s="4">
        <f>VLOOKUP(D19,agemodels!$A$3:$F$265,6,0)</f>
        <v>390.84183673469443</v>
      </c>
      <c r="G19" t="s">
        <v>6</v>
      </c>
      <c r="H19" s="4">
        <v>16640</v>
      </c>
      <c r="I19" s="4">
        <v>140</v>
      </c>
      <c r="J19">
        <v>178190</v>
      </c>
      <c r="K19" s="10">
        <f t="shared" si="0"/>
        <v>-47.293226304914839</v>
      </c>
      <c r="L19" s="11">
        <f t="shared" si="1"/>
        <v>16.749408854925818</v>
      </c>
    </row>
    <row r="20" spans="1:12" x14ac:dyDescent="0.2">
      <c r="A20" t="s">
        <v>16</v>
      </c>
      <c r="B20">
        <v>85.5</v>
      </c>
      <c r="C20">
        <v>87</v>
      </c>
      <c r="D20">
        <f t="shared" si="2"/>
        <v>86.25</v>
      </c>
      <c r="E20">
        <f>VLOOKUP(C20,agemodels!$A$3:$E$265,4,0)</f>
        <v>17125.400000000001</v>
      </c>
      <c r="F20" s="4">
        <f>VLOOKUP(C20,agemodels!$A$3:$F$265,6,0)</f>
        <v>356.65816326530671</v>
      </c>
      <c r="G20" t="s">
        <v>6</v>
      </c>
      <c r="H20" s="4">
        <v>17760</v>
      </c>
      <c r="I20" s="4">
        <v>60</v>
      </c>
      <c r="J20">
        <v>181548</v>
      </c>
      <c r="K20" s="10">
        <f t="shared" si="0"/>
        <v>-130.07013149845048</v>
      </c>
      <c r="L20" s="11">
        <f t="shared" si="1"/>
        <v>6.5219978183342846</v>
      </c>
    </row>
    <row r="21" spans="1:12" x14ac:dyDescent="0.2">
      <c r="A21" t="s">
        <v>16</v>
      </c>
      <c r="B21">
        <v>87</v>
      </c>
      <c r="C21">
        <v>87.5</v>
      </c>
      <c r="D21">
        <f t="shared" si="2"/>
        <v>87.25</v>
      </c>
      <c r="E21">
        <f>VLOOKUP(C21,agemodels!$A$3:$E$265,4,0)</f>
        <v>17231.5</v>
      </c>
      <c r="F21" s="4">
        <f>VLOOKUP(C21,agemodels!$A$3:$F$265,6,0)</f>
        <v>324.13265306122503</v>
      </c>
      <c r="G21" t="s">
        <v>6</v>
      </c>
      <c r="H21" s="4">
        <v>17615</v>
      </c>
      <c r="I21" s="4">
        <v>50</v>
      </c>
      <c r="J21">
        <v>181536</v>
      </c>
      <c r="K21" s="10">
        <f t="shared" si="0"/>
        <v>-102.78340499780769</v>
      </c>
      <c r="L21" s="11">
        <f t="shared" si="1"/>
        <v>5.6019835744902622</v>
      </c>
    </row>
    <row r="22" spans="1:12" x14ac:dyDescent="0.2">
      <c r="A22" t="s">
        <v>16</v>
      </c>
      <c r="B22">
        <v>87.5</v>
      </c>
      <c r="C22">
        <v>88</v>
      </c>
      <c r="D22">
        <f t="shared" si="2"/>
        <v>87.75</v>
      </c>
      <c r="E22">
        <f>VLOOKUP(C22,agemodels!$A$3:$E$265,4,0)</f>
        <v>17343.8</v>
      </c>
      <c r="F22" s="4">
        <f>VLOOKUP(C22,agemodels!$A$3:$F$265,6,0)</f>
        <v>313.69897959183692</v>
      </c>
      <c r="G22" t="s">
        <v>6</v>
      </c>
      <c r="H22" s="4">
        <v>17350</v>
      </c>
      <c r="I22" s="4">
        <v>70</v>
      </c>
      <c r="J22">
        <v>201575</v>
      </c>
      <c r="K22" s="10">
        <f t="shared" si="0"/>
        <v>-60.008954377579805</v>
      </c>
      <c r="L22" s="11">
        <f t="shared" si="1"/>
        <v>8.2269261069166646</v>
      </c>
    </row>
    <row r="23" spans="1:12" x14ac:dyDescent="0.2">
      <c r="A23" t="s">
        <v>16</v>
      </c>
      <c r="B23">
        <v>88</v>
      </c>
      <c r="C23">
        <v>89</v>
      </c>
      <c r="D23">
        <f t="shared" si="2"/>
        <v>88.5</v>
      </c>
      <c r="E23">
        <f>VLOOKUP(D23,agemodels!$A$3:$E$265,4,0)</f>
        <v>17549.2</v>
      </c>
      <c r="F23" s="4">
        <f>VLOOKUP(D23,agemodels!$A$3:$F$265,6,0)</f>
        <v>292.62755102040779</v>
      </c>
      <c r="G23" t="s">
        <v>6</v>
      </c>
      <c r="H23" s="4">
        <v>17610</v>
      </c>
      <c r="I23" s="4">
        <v>60</v>
      </c>
      <c r="J23">
        <v>201577</v>
      </c>
      <c r="K23" s="10">
        <f t="shared" si="0"/>
        <v>-67.051842990817349</v>
      </c>
      <c r="L23" s="11">
        <f t="shared" si="1"/>
        <v>6.9944556049255127</v>
      </c>
    </row>
    <row r="24" spans="1:12" x14ac:dyDescent="0.2">
      <c r="A24" t="s">
        <v>16</v>
      </c>
      <c r="B24">
        <v>89</v>
      </c>
      <c r="C24">
        <v>90</v>
      </c>
      <c r="D24">
        <f t="shared" si="2"/>
        <v>89.5</v>
      </c>
      <c r="E24">
        <f>VLOOKUP(D24,agemodels!$A$3:$E$265,4,0)</f>
        <v>17922.400000000001</v>
      </c>
      <c r="F24" s="4">
        <f>VLOOKUP(D24,agemodels!$A$3:$F$265,6,0)</f>
        <v>351.50510204081672</v>
      </c>
      <c r="G24" t="s">
        <v>6</v>
      </c>
      <c r="H24" s="4">
        <v>18140</v>
      </c>
      <c r="I24" s="4">
        <v>60</v>
      </c>
      <c r="J24">
        <v>183754</v>
      </c>
      <c r="K24" s="10">
        <f t="shared" si="0"/>
        <v>-86.288265291556087</v>
      </c>
      <c r="L24" s="11">
        <f t="shared" si="1"/>
        <v>6.8502371928203019</v>
      </c>
    </row>
    <row r="25" spans="1:12" x14ac:dyDescent="0.2">
      <c r="A25" t="s">
        <v>16</v>
      </c>
      <c r="B25">
        <v>90</v>
      </c>
      <c r="C25">
        <v>91</v>
      </c>
      <c r="D25">
        <f t="shared" si="2"/>
        <v>90.5</v>
      </c>
      <c r="E25">
        <f>VLOOKUP(D25,agemodels!$A$3:$E$265,4,0)</f>
        <v>18266.8</v>
      </c>
      <c r="F25" s="4">
        <f>VLOOKUP(D25,agemodels!$A$3:$F$265,6,0)</f>
        <v>396.04591836734693</v>
      </c>
      <c r="G25" t="s">
        <v>6</v>
      </c>
      <c r="H25" s="4">
        <v>18190</v>
      </c>
      <c r="I25" s="4">
        <v>450</v>
      </c>
      <c r="J25">
        <v>203049</v>
      </c>
      <c r="K25" s="10">
        <f t="shared" si="0"/>
        <v>-53.330137060623059</v>
      </c>
      <c r="L25" s="11">
        <f t="shared" si="1"/>
        <v>54.544936122658982</v>
      </c>
    </row>
    <row r="26" spans="1:12" x14ac:dyDescent="0.2">
      <c r="A26" t="s">
        <v>16</v>
      </c>
      <c r="B26">
        <v>91</v>
      </c>
      <c r="C26">
        <v>92</v>
      </c>
      <c r="D26">
        <f t="shared" si="2"/>
        <v>91.5</v>
      </c>
      <c r="E26">
        <f>VLOOKUP(D26,agemodels!$A$3:$E$265,4,0)</f>
        <v>18611.8</v>
      </c>
      <c r="F26" s="4">
        <f>VLOOKUP(D26,agemodels!$A$3:$F$265,6,0)</f>
        <v>427.09183673469408</v>
      </c>
      <c r="G26" t="s">
        <v>6</v>
      </c>
      <c r="H26" s="4">
        <v>19220</v>
      </c>
      <c r="I26" s="4">
        <v>450</v>
      </c>
      <c r="J26">
        <v>201581</v>
      </c>
      <c r="K26" s="10">
        <f t="shared" si="0"/>
        <v>-131.76577820969248</v>
      </c>
      <c r="L26" s="11">
        <f t="shared" si="1"/>
        <v>50.025655216291312</v>
      </c>
    </row>
    <row r="27" spans="1:12" x14ac:dyDescent="0.2">
      <c r="A27" t="s">
        <v>16</v>
      </c>
      <c r="B27">
        <v>92</v>
      </c>
      <c r="C27">
        <v>93</v>
      </c>
      <c r="D27">
        <f t="shared" si="2"/>
        <v>92.5</v>
      </c>
      <c r="E27">
        <f>VLOOKUP(D27,agemodels!$A$3:$E$265,4,0)</f>
        <v>18977.8</v>
      </c>
      <c r="F27" s="4">
        <f>VLOOKUP(D27,agemodels!$A$3:$F$265,6,0)</f>
        <v>439.61734693877531</v>
      </c>
      <c r="G27" t="s">
        <v>6</v>
      </c>
      <c r="H27" s="4">
        <v>16800</v>
      </c>
      <c r="I27" s="4">
        <v>70</v>
      </c>
      <c r="J27">
        <v>201583</v>
      </c>
      <c r="K27" s="10">
        <f t="shared" si="0"/>
        <v>226.58754736529986</v>
      </c>
      <c r="L27" s="11">
        <f t="shared" si="1"/>
        <v>10.735256641893216</v>
      </c>
    </row>
    <row r="28" spans="1:12" x14ac:dyDescent="0.2">
      <c r="A28" t="s">
        <v>16</v>
      </c>
      <c r="B28">
        <v>92</v>
      </c>
      <c r="C28">
        <v>94</v>
      </c>
      <c r="D28">
        <f t="shared" si="2"/>
        <v>93</v>
      </c>
      <c r="E28">
        <f>VLOOKUP(D28,agemodels!$A$3:$E$265,4,0)</f>
        <v>19161.2</v>
      </c>
      <c r="F28" s="4">
        <f>VLOOKUP(D28,agemodels!$A$3:$F$265,6,0)</f>
        <v>466.7091836734694</v>
      </c>
      <c r="G28" t="s">
        <v>6</v>
      </c>
      <c r="H28" s="4">
        <v>16805</v>
      </c>
      <c r="I28" s="4">
        <v>45</v>
      </c>
      <c r="J28">
        <v>181538</v>
      </c>
      <c r="K28" s="10">
        <f t="shared" si="0"/>
        <v>253.32261754633078</v>
      </c>
      <c r="L28" s="11">
        <f t="shared" si="1"/>
        <v>7.0406803427278533</v>
      </c>
    </row>
    <row r="29" spans="1:12" x14ac:dyDescent="0.2">
      <c r="A29" t="s">
        <v>16</v>
      </c>
      <c r="B29">
        <v>93</v>
      </c>
      <c r="C29">
        <v>94</v>
      </c>
      <c r="D29">
        <f t="shared" si="2"/>
        <v>93.5</v>
      </c>
      <c r="E29">
        <f>VLOOKUP(D29,agemodels!$A$3:$E$265,4,0)</f>
        <v>19326.3</v>
      </c>
      <c r="F29" s="4">
        <f>VLOOKUP(D29,agemodels!$A$3:$F$265,6,0)</f>
        <v>453.67346938775455</v>
      </c>
      <c r="G29" t="s">
        <v>6</v>
      </c>
      <c r="H29" s="4">
        <v>16530</v>
      </c>
      <c r="I29" s="4">
        <v>60</v>
      </c>
      <c r="J29">
        <v>201588</v>
      </c>
      <c r="K29" s="10">
        <f t="shared" si="0"/>
        <v>323.13361424248097</v>
      </c>
      <c r="L29" s="11">
        <f t="shared" si="1"/>
        <v>9.919735898157569</v>
      </c>
    </row>
    <row r="30" spans="1:12" x14ac:dyDescent="0.2">
      <c r="A30" t="s">
        <v>16</v>
      </c>
      <c r="B30">
        <v>94</v>
      </c>
      <c r="C30">
        <v>95</v>
      </c>
      <c r="D30">
        <f t="shared" si="2"/>
        <v>94.5</v>
      </c>
      <c r="E30">
        <f>VLOOKUP(D30,agemodels!$A$3:$E$265,4,0)</f>
        <v>19670</v>
      </c>
      <c r="F30" s="4">
        <f>VLOOKUP(D30,agemodels!$A$3:$F$265,6,0)</f>
        <v>460.35714285714249</v>
      </c>
      <c r="G30" t="s">
        <v>6</v>
      </c>
      <c r="H30" s="4">
        <v>16960</v>
      </c>
      <c r="I30" s="4">
        <v>100</v>
      </c>
      <c r="J30">
        <v>192493</v>
      </c>
      <c r="K30" s="10">
        <f t="shared" si="0"/>
        <v>307.41070193546369</v>
      </c>
      <c r="L30" s="11">
        <f t="shared" si="1"/>
        <v>16.377223004558061</v>
      </c>
    </row>
    <row r="31" spans="1:12" x14ac:dyDescent="0.2">
      <c r="A31" t="s">
        <v>16</v>
      </c>
      <c r="B31">
        <v>96</v>
      </c>
      <c r="C31">
        <v>97</v>
      </c>
      <c r="D31">
        <f t="shared" si="2"/>
        <v>96.5</v>
      </c>
      <c r="E31">
        <f>VLOOKUP(D31,agemodels!$A$3:$E$265,4,0)</f>
        <v>21733.8</v>
      </c>
      <c r="F31" s="4">
        <f>VLOOKUP(D31,agemodels!$A$3:$F$265,6,0)</f>
        <v>391.86224489795882</v>
      </c>
      <c r="G31" t="s">
        <v>6</v>
      </c>
      <c r="H31" s="4">
        <v>20240</v>
      </c>
      <c r="I31" s="4">
        <v>70</v>
      </c>
      <c r="J31">
        <v>181551</v>
      </c>
      <c r="K31" s="10">
        <f t="shared" si="0"/>
        <v>115.5818190562603</v>
      </c>
      <c r="L31" s="11">
        <f t="shared" si="1"/>
        <v>9.7637198081157521</v>
      </c>
    </row>
    <row r="32" spans="1:12" x14ac:dyDescent="0.2">
      <c r="A32" t="s">
        <v>16</v>
      </c>
      <c r="B32">
        <v>97</v>
      </c>
      <c r="C32">
        <v>98</v>
      </c>
      <c r="D32">
        <f t="shared" si="2"/>
        <v>97.5</v>
      </c>
      <c r="E32">
        <f>VLOOKUP(D32,agemodels!$A$3:$E$265,4,0)</f>
        <v>22709.200000000001</v>
      </c>
      <c r="F32" s="4">
        <f>VLOOKUP(D32,agemodels!$A$3:$F$265,6,0)</f>
        <v>304.15816326530592</v>
      </c>
      <c r="G32" t="s">
        <v>6</v>
      </c>
      <c r="H32" s="4">
        <v>19580</v>
      </c>
      <c r="I32" s="4">
        <v>670</v>
      </c>
      <c r="J32">
        <v>200178</v>
      </c>
      <c r="K32" s="10">
        <f t="shared" si="0"/>
        <v>362.77674576469951</v>
      </c>
      <c r="L32" s="11">
        <f t="shared" si="1"/>
        <v>118.53838273472752</v>
      </c>
    </row>
    <row r="33" spans="1:12" x14ac:dyDescent="0.2">
      <c r="A33" t="s">
        <v>16</v>
      </c>
      <c r="B33">
        <v>97</v>
      </c>
      <c r="C33">
        <v>99</v>
      </c>
      <c r="D33">
        <f t="shared" si="2"/>
        <v>98</v>
      </c>
      <c r="E33">
        <f>VLOOKUP(D33,agemodels!$A$3:$E$265,4,0)</f>
        <v>22809.200000000001</v>
      </c>
      <c r="F33" s="4">
        <f>VLOOKUP(D33,agemodels!$A$3:$F$265,6,0)</f>
        <v>319.7704081632653</v>
      </c>
      <c r="G33" t="s">
        <v>6</v>
      </c>
      <c r="H33" s="4">
        <v>20196.666666666668</v>
      </c>
      <c r="I33" s="4">
        <v>263.33333333333331</v>
      </c>
      <c r="J33" t="s">
        <v>7</v>
      </c>
      <c r="K33" s="10">
        <f t="shared" si="0"/>
        <v>277.43474136588134</v>
      </c>
      <c r="L33" s="11">
        <f t="shared" si="1"/>
        <v>42.57009687399767</v>
      </c>
    </row>
    <row r="34" spans="1:12" x14ac:dyDescent="0.2">
      <c r="A34" t="s">
        <v>16</v>
      </c>
      <c r="B34">
        <v>98</v>
      </c>
      <c r="C34">
        <v>99</v>
      </c>
      <c r="D34">
        <f t="shared" si="2"/>
        <v>98.5</v>
      </c>
      <c r="E34">
        <f>VLOOKUP(D34,agemodels!$A$3:$E$265,4,0)</f>
        <v>22898.9</v>
      </c>
      <c r="F34" s="4">
        <f>VLOOKUP(D34,agemodels!$A$3:$F$265,6,0)</f>
        <v>302.52551020408106</v>
      </c>
      <c r="G34" t="s">
        <v>6</v>
      </c>
      <c r="H34" s="4">
        <v>20240</v>
      </c>
      <c r="I34" s="4">
        <v>260</v>
      </c>
      <c r="J34">
        <v>200181</v>
      </c>
      <c r="K34" s="10">
        <f t="shared" si="0"/>
        <v>284.4234144515334</v>
      </c>
      <c r="L34" s="11">
        <f t="shared" si="1"/>
        <v>42.2523671759987</v>
      </c>
    </row>
    <row r="35" spans="1:12" x14ac:dyDescent="0.2">
      <c r="A35" t="s">
        <v>16</v>
      </c>
      <c r="B35">
        <v>99</v>
      </c>
      <c r="C35">
        <v>100</v>
      </c>
      <c r="D35">
        <f t="shared" si="2"/>
        <v>99.5</v>
      </c>
      <c r="E35">
        <f>VLOOKUP(D35,agemodels!$A$3:$E$265,4,0)</f>
        <v>23072.9</v>
      </c>
      <c r="F35" s="4">
        <f>VLOOKUP(D35,agemodels!$A$3:$F$265,6,0)</f>
        <v>298.57142857142895</v>
      </c>
      <c r="G35" t="s">
        <v>6</v>
      </c>
      <c r="H35" s="4">
        <v>20490</v>
      </c>
      <c r="I35" s="4">
        <v>160</v>
      </c>
      <c r="J35">
        <v>200525</v>
      </c>
      <c r="K35" s="10">
        <f t="shared" si="0"/>
        <v>271.54898187486884</v>
      </c>
      <c r="L35" s="11">
        <f t="shared" si="1"/>
        <v>25.580415405966448</v>
      </c>
    </row>
    <row r="36" spans="1:12" x14ac:dyDescent="0.2">
      <c r="A36" t="s">
        <v>16</v>
      </c>
      <c r="B36">
        <v>100</v>
      </c>
      <c r="C36">
        <v>101</v>
      </c>
      <c r="D36">
        <f t="shared" si="2"/>
        <v>100.5</v>
      </c>
      <c r="E36">
        <f>VLOOKUP(D36,agemodels!$A$3:$E$265,4,0)</f>
        <v>23256</v>
      </c>
      <c r="F36" s="4">
        <f>VLOOKUP(D36,agemodels!$A$3:$F$265,6,0)</f>
        <v>278.34183673469443</v>
      </c>
      <c r="G36" t="s">
        <v>6</v>
      </c>
      <c r="H36" s="4">
        <v>20630</v>
      </c>
      <c r="I36" s="4">
        <v>120</v>
      </c>
      <c r="J36">
        <v>200527</v>
      </c>
      <c r="K36" s="10">
        <f t="shared" si="0"/>
        <v>277.565123972332</v>
      </c>
      <c r="L36" s="11">
        <f t="shared" si="1"/>
        <v>19.22801235845543</v>
      </c>
    </row>
    <row r="37" spans="1:12" x14ac:dyDescent="0.2">
      <c r="A37" t="s">
        <v>16</v>
      </c>
      <c r="B37">
        <v>101</v>
      </c>
      <c r="C37">
        <v>102</v>
      </c>
      <c r="D37">
        <f t="shared" si="2"/>
        <v>101.5</v>
      </c>
      <c r="E37">
        <f>VLOOKUP(D37,agemodels!$A$3:$E$265,4,0)</f>
        <v>23438.1</v>
      </c>
      <c r="F37" s="4">
        <f>VLOOKUP(D37,agemodels!$A$3:$F$265,6,0)</f>
        <v>255.20408163265344</v>
      </c>
      <c r="G37" t="s">
        <v>6</v>
      </c>
      <c r="H37" s="4">
        <v>20630</v>
      </c>
      <c r="I37" s="4">
        <v>80</v>
      </c>
      <c r="J37">
        <v>181554</v>
      </c>
      <c r="K37" s="10">
        <f t="shared" si="0"/>
        <v>306.01871017559847</v>
      </c>
      <c r="L37" s="11">
        <f t="shared" si="1"/>
        <v>13.071516196792913</v>
      </c>
    </row>
    <row r="38" spans="1:12" x14ac:dyDescent="0.2">
      <c r="A38" t="s">
        <v>16</v>
      </c>
      <c r="B38">
        <v>104</v>
      </c>
      <c r="C38">
        <v>106</v>
      </c>
      <c r="D38">
        <f t="shared" si="2"/>
        <v>105</v>
      </c>
      <c r="E38">
        <f>VLOOKUP(D38,agemodels!$A$3:$E$265,4,0)</f>
        <v>24297.8</v>
      </c>
      <c r="F38" s="4">
        <f>VLOOKUP(D38,agemodels!$A$3:$F$265,6,0)</f>
        <v>296.37755102040796</v>
      </c>
      <c r="G38" t="s">
        <v>6</v>
      </c>
      <c r="H38" s="4">
        <v>21520</v>
      </c>
      <c r="I38" s="4">
        <v>80</v>
      </c>
      <c r="J38">
        <v>176294</v>
      </c>
      <c r="K38" s="10">
        <f t="shared" si="0"/>
        <v>297.16634741731565</v>
      </c>
      <c r="L38" s="11">
        <f t="shared" si="1"/>
        <v>12.982915779147675</v>
      </c>
    </row>
    <row r="39" spans="1:12" x14ac:dyDescent="0.2">
      <c r="A39" t="s">
        <v>16</v>
      </c>
      <c r="B39">
        <v>110</v>
      </c>
      <c r="C39">
        <v>111</v>
      </c>
      <c r="D39">
        <f t="shared" si="2"/>
        <v>110.5</v>
      </c>
      <c r="E39">
        <f>VLOOKUP(D39,agemodels!$A$3:$E$265,4,0)</f>
        <v>25927.599999999999</v>
      </c>
      <c r="F39" s="4">
        <f>VLOOKUP(D39,agemodels!$A$3:$F$265,6,0)</f>
        <v>370.58673469387776</v>
      </c>
      <c r="G39" t="s">
        <v>6</v>
      </c>
      <c r="H39" s="4">
        <v>22660</v>
      </c>
      <c r="I39" s="4">
        <v>90</v>
      </c>
      <c r="J39">
        <v>201590</v>
      </c>
      <c r="K39" s="10">
        <f t="shared" si="0"/>
        <v>370.82510746347964</v>
      </c>
      <c r="L39" s="11">
        <f t="shared" si="1"/>
        <v>15.444787415362498</v>
      </c>
    </row>
    <row r="40" spans="1:12" x14ac:dyDescent="0.2">
      <c r="A40" t="s">
        <v>16</v>
      </c>
      <c r="B40">
        <v>114</v>
      </c>
      <c r="C40">
        <v>115</v>
      </c>
      <c r="D40">
        <f t="shared" si="2"/>
        <v>114.5</v>
      </c>
      <c r="E40">
        <f>VLOOKUP(D40,agemodels!$A$3:$E$265,4,0)</f>
        <v>27223.4</v>
      </c>
      <c r="F40" s="4">
        <f>VLOOKUP(D40,agemodels!$A$3:$F$265,6,0)</f>
        <v>541.98979591836701</v>
      </c>
      <c r="G40" t="s">
        <v>6</v>
      </c>
      <c r="H40" s="4">
        <v>25490</v>
      </c>
      <c r="I40" s="4">
        <v>80</v>
      </c>
      <c r="J40">
        <v>204773</v>
      </c>
      <c r="K40" s="10">
        <f t="shared" si="0"/>
        <v>127.33870943317305</v>
      </c>
      <c r="L40" s="11">
        <f t="shared" si="1"/>
        <v>11.283166224813186</v>
      </c>
    </row>
    <row r="41" spans="1:12" x14ac:dyDescent="0.2">
      <c r="A41" t="s">
        <v>16</v>
      </c>
      <c r="B41">
        <v>115</v>
      </c>
      <c r="C41">
        <v>116</v>
      </c>
      <c r="D41">
        <f t="shared" si="2"/>
        <v>115.5</v>
      </c>
      <c r="E41">
        <f>VLOOKUP(D41,agemodels!$A$3:$E$265,4,0)</f>
        <v>27573.8</v>
      </c>
      <c r="F41" s="4">
        <f>VLOOKUP(D41,agemodels!$A$3:$F$265,6,0)</f>
        <v>586.1479591836727</v>
      </c>
      <c r="G41" t="s">
        <v>6</v>
      </c>
      <c r="H41" s="4">
        <v>25590</v>
      </c>
      <c r="I41" s="4">
        <v>100</v>
      </c>
      <c r="J41">
        <v>204776</v>
      </c>
      <c r="K41" s="10">
        <f t="shared" si="0"/>
        <v>161.59779753574787</v>
      </c>
      <c r="L41" s="11">
        <f t="shared" si="1"/>
        <v>14.550704031781379</v>
      </c>
    </row>
    <row r="42" spans="1:12" x14ac:dyDescent="0.2">
      <c r="A42" t="s">
        <v>16</v>
      </c>
      <c r="B42">
        <v>116</v>
      </c>
      <c r="C42">
        <v>117</v>
      </c>
      <c r="D42">
        <f t="shared" si="2"/>
        <v>116.5</v>
      </c>
      <c r="E42">
        <f>VLOOKUP(D42,agemodels!$A$3:$E$265,4,0)</f>
        <v>27914.6</v>
      </c>
      <c r="F42" s="4">
        <f>VLOOKUP(D42,agemodels!$A$3:$F$265,6,0)</f>
        <v>619.94897959183595</v>
      </c>
      <c r="G42" t="s">
        <v>6</v>
      </c>
      <c r="H42" s="4">
        <v>27020</v>
      </c>
      <c r="I42" s="4">
        <v>190</v>
      </c>
      <c r="J42">
        <v>206080</v>
      </c>
      <c r="K42" s="10">
        <f t="shared" si="0"/>
        <v>13.089859768592449</v>
      </c>
      <c r="L42" s="11">
        <f t="shared" si="1"/>
        <v>24.24766852668192</v>
      </c>
    </row>
    <row r="43" spans="1:12" x14ac:dyDescent="0.2">
      <c r="A43" t="s">
        <v>16</v>
      </c>
      <c r="B43">
        <v>116</v>
      </c>
      <c r="C43">
        <v>118</v>
      </c>
      <c r="D43">
        <f t="shared" si="2"/>
        <v>117</v>
      </c>
      <c r="E43">
        <f>VLOOKUP(D43,agemodels!$A$3:$E$265,4,0)</f>
        <v>28090</v>
      </c>
      <c r="F43" s="4">
        <f>VLOOKUP(D43,agemodels!$A$3:$F$265,6,0)</f>
        <v>650.15306122448942</v>
      </c>
      <c r="G43" t="s">
        <v>6</v>
      </c>
      <c r="H43" s="4">
        <v>26540</v>
      </c>
      <c r="I43" s="4">
        <v>410</v>
      </c>
      <c r="J43">
        <v>176296</v>
      </c>
      <c r="K43" s="10">
        <f t="shared" si="0"/>
        <v>98.532645963092861</v>
      </c>
      <c r="L43" s="11">
        <f t="shared" si="1"/>
        <v>57.524026063525454</v>
      </c>
    </row>
    <row r="44" spans="1:12" x14ac:dyDescent="0.2">
      <c r="A44" t="s">
        <v>16</v>
      </c>
      <c r="B44">
        <v>117</v>
      </c>
      <c r="C44">
        <v>118</v>
      </c>
      <c r="D44">
        <f t="shared" si="2"/>
        <v>117.5</v>
      </c>
      <c r="E44">
        <f>VLOOKUP(D44,agemodels!$A$3:$E$265,4,0)</f>
        <v>28278.799999999999</v>
      </c>
      <c r="F44" s="4">
        <f>VLOOKUP(D44,agemodels!$A$3:$F$265,6,0)</f>
        <v>653.5204081632661</v>
      </c>
      <c r="G44" t="s">
        <v>6</v>
      </c>
      <c r="H44" s="4">
        <v>26190</v>
      </c>
      <c r="I44" s="4">
        <v>160</v>
      </c>
      <c r="J44">
        <v>206085</v>
      </c>
      <c r="K44" s="10">
        <f t="shared" si="0"/>
        <v>173.96087251524861</v>
      </c>
      <c r="L44" s="11">
        <f t="shared" si="1"/>
        <v>23.617184408430518</v>
      </c>
    </row>
    <row r="45" spans="1:12" x14ac:dyDescent="0.2">
      <c r="A45" t="s">
        <v>16</v>
      </c>
      <c r="B45">
        <v>119</v>
      </c>
      <c r="C45">
        <v>120</v>
      </c>
      <c r="D45">
        <f t="shared" si="2"/>
        <v>119.5</v>
      </c>
      <c r="E45">
        <f>VLOOKUP(D45,agemodels!$A$3:$E$265,4,0)</f>
        <v>28982</v>
      </c>
      <c r="F45" s="4">
        <f>VLOOKUP(D45,agemodels!$A$3:$F$265,6,0)</f>
        <v>767.32142857142901</v>
      </c>
      <c r="G45" t="s">
        <v>6</v>
      </c>
      <c r="H45" s="4">
        <v>27410</v>
      </c>
      <c r="I45" s="4">
        <v>780</v>
      </c>
      <c r="J45">
        <v>177324</v>
      </c>
      <c r="K45" s="10">
        <f t="shared" si="0"/>
        <v>98.088517668698302</v>
      </c>
      <c r="L45" s="11">
        <f t="shared" si="1"/>
        <v>111.97205901518893</v>
      </c>
    </row>
    <row r="46" spans="1:12" x14ac:dyDescent="0.2">
      <c r="A46" t="s">
        <v>16</v>
      </c>
      <c r="B46">
        <v>122</v>
      </c>
      <c r="C46">
        <v>124</v>
      </c>
      <c r="D46">
        <f t="shared" si="2"/>
        <v>123</v>
      </c>
      <c r="E46">
        <f>VLOOKUP(D46,agemodels!$A$3:$E$265,4,0)</f>
        <v>30259.7</v>
      </c>
      <c r="F46" s="4">
        <f>VLOOKUP(D46,agemodels!$A$3:$F$265,6,0)</f>
        <v>972.47448979591798</v>
      </c>
      <c r="G46" t="s">
        <v>6</v>
      </c>
      <c r="H46" s="4">
        <v>28440</v>
      </c>
      <c r="I46" s="4">
        <v>420</v>
      </c>
      <c r="J46">
        <v>176317</v>
      </c>
      <c r="K46" s="10">
        <f t="shared" si="0"/>
        <v>127.38875332784794</v>
      </c>
      <c r="L46" s="11">
        <f t="shared" si="1"/>
        <v>60.512916495370163</v>
      </c>
    </row>
    <row r="47" spans="1:12" x14ac:dyDescent="0.2">
      <c r="A47" t="s">
        <v>16</v>
      </c>
      <c r="B47">
        <v>2</v>
      </c>
      <c r="C47">
        <v>3</v>
      </c>
      <c r="D47">
        <f t="shared" si="2"/>
        <v>2.5</v>
      </c>
      <c r="E47">
        <v>5428.3</v>
      </c>
      <c r="F47" s="4">
        <v>370.34999999999991</v>
      </c>
      <c r="G47" t="s">
        <v>9</v>
      </c>
      <c r="H47" s="4">
        <v>5831.666666666667</v>
      </c>
      <c r="I47" s="4">
        <v>58.333333333333336</v>
      </c>
      <c r="J47" t="s">
        <v>8</v>
      </c>
      <c r="K47" s="10">
        <f t="shared" si="0"/>
        <v>-66.991545091665046</v>
      </c>
      <c r="L47" s="11">
        <f t="shared" si="1"/>
        <v>6.7998983612257362</v>
      </c>
    </row>
    <row r="48" spans="1:12" x14ac:dyDescent="0.2">
      <c r="A48" t="s">
        <v>16</v>
      </c>
      <c r="B48">
        <v>22</v>
      </c>
      <c r="C48">
        <v>24</v>
      </c>
      <c r="D48">
        <f t="shared" si="2"/>
        <v>23</v>
      </c>
      <c r="E48">
        <v>6803.4</v>
      </c>
      <c r="F48" s="4">
        <v>161.75</v>
      </c>
      <c r="G48" t="s">
        <v>9</v>
      </c>
      <c r="H48" s="4">
        <v>7215</v>
      </c>
      <c r="I48" s="4">
        <v>20</v>
      </c>
      <c r="J48">
        <v>160284</v>
      </c>
      <c r="K48" s="10">
        <f t="shared" si="0"/>
        <v>-72.452522272839488</v>
      </c>
      <c r="L48" s="11">
        <f t="shared" si="1"/>
        <v>2.3122198628783224</v>
      </c>
    </row>
    <row r="49" spans="1:12" x14ac:dyDescent="0.2">
      <c r="A49" t="s">
        <v>16</v>
      </c>
      <c r="B49">
        <v>42</v>
      </c>
      <c r="C49">
        <v>44</v>
      </c>
      <c r="D49">
        <f t="shared" si="2"/>
        <v>43</v>
      </c>
      <c r="E49">
        <v>7987.6</v>
      </c>
      <c r="F49" s="4">
        <v>102.79999999999973</v>
      </c>
      <c r="G49" t="s">
        <v>9</v>
      </c>
      <c r="H49" s="4">
        <v>8425</v>
      </c>
      <c r="I49" s="4">
        <v>22.5</v>
      </c>
      <c r="J49" t="s">
        <v>10</v>
      </c>
      <c r="K49" s="10">
        <f t="shared" si="0"/>
        <v>-79.27670688444644</v>
      </c>
      <c r="L49" s="11">
        <f t="shared" si="1"/>
        <v>2.5825113637717436</v>
      </c>
    </row>
    <row r="50" spans="1:12" x14ac:dyDescent="0.2">
      <c r="A50" t="s">
        <v>16</v>
      </c>
      <c r="B50">
        <v>46</v>
      </c>
      <c r="C50">
        <v>48</v>
      </c>
      <c r="D50">
        <f t="shared" si="2"/>
        <v>47</v>
      </c>
      <c r="E50">
        <v>8175.2</v>
      </c>
      <c r="F50" s="4">
        <v>168</v>
      </c>
      <c r="G50" t="s">
        <v>9</v>
      </c>
      <c r="H50" s="4">
        <v>9185</v>
      </c>
      <c r="I50" s="4">
        <v>25</v>
      </c>
      <c r="J50">
        <v>176718</v>
      </c>
      <c r="K50" s="10">
        <f t="shared" si="0"/>
        <v>-143.16750206293406</v>
      </c>
      <c r="L50" s="11">
        <f t="shared" si="1"/>
        <v>2.6707555803413641</v>
      </c>
    </row>
    <row r="51" spans="1:12" x14ac:dyDescent="0.2">
      <c r="A51" t="s">
        <v>16</v>
      </c>
      <c r="B51">
        <v>48</v>
      </c>
      <c r="C51">
        <v>50</v>
      </c>
      <c r="D51">
        <f t="shared" si="2"/>
        <v>49</v>
      </c>
      <c r="E51">
        <v>8263.2000000000007</v>
      </c>
      <c r="F51" s="4">
        <v>189.44999999999982</v>
      </c>
      <c r="G51" t="s">
        <v>9</v>
      </c>
      <c r="H51" s="4">
        <v>8865</v>
      </c>
      <c r="I51" s="4">
        <v>35</v>
      </c>
      <c r="J51">
        <v>176280</v>
      </c>
      <c r="K51" s="10">
        <f t="shared" si="0"/>
        <v>-98.803920946812667</v>
      </c>
      <c r="L51" s="11">
        <f t="shared" si="1"/>
        <v>3.9351023341789215</v>
      </c>
    </row>
    <row r="52" spans="1:12" x14ac:dyDescent="0.2">
      <c r="A52" t="s">
        <v>16</v>
      </c>
      <c r="B52">
        <v>52</v>
      </c>
      <c r="C52">
        <v>55</v>
      </c>
      <c r="D52">
        <f t="shared" si="2"/>
        <v>53.5</v>
      </c>
      <c r="E52">
        <v>8465.7999999999993</v>
      </c>
      <c r="F52" s="4">
        <v>200.60000000000036</v>
      </c>
      <c r="G52" t="s">
        <v>9</v>
      </c>
      <c r="H52" s="4">
        <v>9075</v>
      </c>
      <c r="I52" s="4">
        <v>35</v>
      </c>
      <c r="J52">
        <v>176282</v>
      </c>
      <c r="K52" s="10">
        <f t="shared" si="0"/>
        <v>-100.27625114114936</v>
      </c>
      <c r="L52" s="11">
        <f t="shared" si="1"/>
        <v>3.9286733559364961</v>
      </c>
    </row>
    <row r="53" spans="1:12" x14ac:dyDescent="0.2">
      <c r="A53" t="s">
        <v>16</v>
      </c>
      <c r="B53">
        <v>57</v>
      </c>
      <c r="C53">
        <v>59</v>
      </c>
      <c r="D53">
        <f t="shared" si="2"/>
        <v>58</v>
      </c>
      <c r="E53">
        <v>8665.5</v>
      </c>
      <c r="F53" s="4">
        <v>168.90000000000055</v>
      </c>
      <c r="G53" t="s">
        <v>9</v>
      </c>
      <c r="H53" s="4">
        <v>9077.5</v>
      </c>
      <c r="I53" s="4">
        <v>30</v>
      </c>
      <c r="J53" t="s">
        <v>11</v>
      </c>
      <c r="K53" s="10">
        <f t="shared" si="0"/>
        <v>-78.564446376015454</v>
      </c>
      <c r="L53" s="11">
        <f t="shared" si="1"/>
        <v>3.4476221526623618</v>
      </c>
    </row>
    <row r="54" spans="1:12" x14ac:dyDescent="0.2">
      <c r="A54" t="s">
        <v>16</v>
      </c>
      <c r="B54">
        <v>61</v>
      </c>
      <c r="C54">
        <v>63</v>
      </c>
      <c r="D54">
        <f t="shared" si="2"/>
        <v>62</v>
      </c>
      <c r="E54">
        <v>9401.5</v>
      </c>
      <c r="F54" s="4">
        <v>173.05000000000018</v>
      </c>
      <c r="G54" t="s">
        <v>9</v>
      </c>
      <c r="H54" s="4">
        <v>9370</v>
      </c>
      <c r="I54" s="4">
        <v>25</v>
      </c>
      <c r="J54">
        <v>176721</v>
      </c>
      <c r="K54" s="10">
        <f t="shared" si="0"/>
        <v>-28.783696415862092</v>
      </c>
      <c r="L54" s="11">
        <f t="shared" si="1"/>
        <v>3.027291061859728</v>
      </c>
    </row>
    <row r="55" spans="1:12" x14ac:dyDescent="0.2">
      <c r="A55" t="s">
        <v>16</v>
      </c>
      <c r="B55">
        <v>63</v>
      </c>
      <c r="C55">
        <v>65</v>
      </c>
      <c r="D55">
        <f t="shared" si="2"/>
        <v>64</v>
      </c>
      <c r="E55">
        <v>12405</v>
      </c>
      <c r="F55" s="4">
        <v>238.25</v>
      </c>
      <c r="G55" t="s">
        <v>9</v>
      </c>
      <c r="H55" s="4">
        <v>14105</v>
      </c>
      <c r="I55" s="4">
        <v>47.5</v>
      </c>
      <c r="J55" t="s">
        <v>12</v>
      </c>
      <c r="K55" s="10">
        <f t="shared" si="0"/>
        <v>-225.34511145875825</v>
      </c>
      <c r="L55" s="11">
        <f t="shared" si="1"/>
        <v>4.5941879294514365</v>
      </c>
    </row>
    <row r="56" spans="1:12" x14ac:dyDescent="0.2">
      <c r="A56" t="s">
        <v>16</v>
      </c>
      <c r="B56">
        <v>66</v>
      </c>
      <c r="C56">
        <v>67</v>
      </c>
      <c r="D56">
        <f t="shared" si="2"/>
        <v>66.5</v>
      </c>
      <c r="E56">
        <v>12997.5</v>
      </c>
      <c r="F56" s="4">
        <v>245.75</v>
      </c>
      <c r="G56" t="s">
        <v>9</v>
      </c>
      <c r="H56" s="4">
        <v>15210</v>
      </c>
      <c r="I56" s="4">
        <v>45</v>
      </c>
      <c r="J56">
        <v>178178</v>
      </c>
      <c r="K56" s="10">
        <f t="shared" si="0"/>
        <v>-274.73975633691816</v>
      </c>
      <c r="L56" s="11">
        <f t="shared" si="1"/>
        <v>4.0742307442892525</v>
      </c>
    </row>
    <row r="57" spans="1:12" x14ac:dyDescent="0.2">
      <c r="A57" t="s">
        <v>16</v>
      </c>
      <c r="B57">
        <v>67</v>
      </c>
      <c r="C57">
        <v>69</v>
      </c>
      <c r="D57">
        <f t="shared" si="2"/>
        <v>68</v>
      </c>
      <c r="E57">
        <v>13234.5</v>
      </c>
      <c r="F57" s="4">
        <v>460.5</v>
      </c>
      <c r="G57" t="s">
        <v>9</v>
      </c>
      <c r="H57" s="4">
        <v>14360</v>
      </c>
      <c r="I57" s="4">
        <v>150</v>
      </c>
      <c r="J57">
        <v>178180</v>
      </c>
      <c r="K57" s="10">
        <f t="shared" si="0"/>
        <v>-170.34308051667836</v>
      </c>
      <c r="L57" s="11">
        <f t="shared" si="1"/>
        <v>15.637708961051999</v>
      </c>
    </row>
    <row r="58" spans="1:12" x14ac:dyDescent="0.2">
      <c r="A58" t="s">
        <v>16</v>
      </c>
      <c r="B58">
        <v>69</v>
      </c>
      <c r="C58">
        <v>70.5</v>
      </c>
      <c r="D58">
        <f t="shared" si="2"/>
        <v>69.75</v>
      </c>
      <c r="E58">
        <f>VLOOKUP(C58,agemodels!$A$3:$E$265,4,0)</f>
        <v>13690.9</v>
      </c>
      <c r="F58" s="4">
        <f>VLOOKUP(C58,agemodels!$A$3:$F$265,6,0)</f>
        <v>297.83163265306121</v>
      </c>
      <c r="G58" t="s">
        <v>9</v>
      </c>
      <c r="H58" s="4">
        <v>14870</v>
      </c>
      <c r="I58" s="4">
        <v>170</v>
      </c>
      <c r="J58">
        <v>178182</v>
      </c>
      <c r="K58" s="10">
        <f t="shared" si="0"/>
        <v>-177.18482141199087</v>
      </c>
      <c r="L58" s="11">
        <f t="shared" si="1"/>
        <v>17.598553631791617</v>
      </c>
    </row>
    <row r="59" spans="1:12" x14ac:dyDescent="0.2">
      <c r="A59" t="s">
        <v>16</v>
      </c>
      <c r="B59">
        <v>70.5</v>
      </c>
      <c r="C59">
        <v>71.5</v>
      </c>
      <c r="D59">
        <f t="shared" si="2"/>
        <v>71</v>
      </c>
      <c r="E59">
        <f>VLOOKUP(D59,agemodels!$A$3:$E$265,4,0)</f>
        <v>13791.5</v>
      </c>
      <c r="F59" s="4">
        <f>VLOOKUP(D59,agemodels!$A$3:$F$265,6,0)</f>
        <v>325.20408163265336</v>
      </c>
      <c r="G59" t="s">
        <v>9</v>
      </c>
      <c r="H59" s="4">
        <v>15705</v>
      </c>
      <c r="I59" s="4">
        <v>35</v>
      </c>
      <c r="J59">
        <v>203475</v>
      </c>
      <c r="K59" s="10">
        <f t="shared" si="0"/>
        <v>-249.33892816422011</v>
      </c>
      <c r="L59" s="11">
        <f t="shared" si="1"/>
        <v>3.2777862716201298</v>
      </c>
    </row>
    <row r="60" spans="1:12" x14ac:dyDescent="0.2">
      <c r="A60" t="s">
        <v>16</v>
      </c>
      <c r="B60">
        <v>71.5</v>
      </c>
      <c r="C60">
        <v>72.5</v>
      </c>
      <c r="D60">
        <f t="shared" si="2"/>
        <v>72</v>
      </c>
      <c r="E60">
        <f>VLOOKUP(D60,agemodels!$A$3:$E$265,4,0)</f>
        <v>14001.9</v>
      </c>
      <c r="F60" s="4">
        <f>VLOOKUP(D60,agemodels!$A$3:$F$265,6,0)</f>
        <v>344.61734693877543</v>
      </c>
      <c r="G60" t="s">
        <v>9</v>
      </c>
      <c r="H60" s="4">
        <v>16075</v>
      </c>
      <c r="I60" s="4">
        <v>40</v>
      </c>
      <c r="J60">
        <v>203477</v>
      </c>
      <c r="K60" s="10">
        <f t="shared" si="0"/>
        <v>-264.65128300223319</v>
      </c>
      <c r="L60" s="11">
        <f t="shared" si="1"/>
        <v>3.6707709661488934</v>
      </c>
    </row>
    <row r="61" spans="1:12" x14ac:dyDescent="0.2">
      <c r="A61" t="s">
        <v>16</v>
      </c>
      <c r="B61">
        <v>72</v>
      </c>
      <c r="C61">
        <v>73</v>
      </c>
      <c r="D61">
        <f t="shared" si="2"/>
        <v>72.5</v>
      </c>
      <c r="E61">
        <f>VLOOKUP(D61,agemodels!$A$3:$E$265,4,0)</f>
        <v>14108.9</v>
      </c>
      <c r="F61" s="4">
        <f>VLOOKUP(D61,agemodels!$A$3:$F$265,6,0)</f>
        <v>350.73979591836724</v>
      </c>
      <c r="G61" t="s">
        <v>9</v>
      </c>
      <c r="H61" s="4">
        <v>16575</v>
      </c>
      <c r="I61" s="4">
        <v>45</v>
      </c>
      <c r="J61">
        <v>203479</v>
      </c>
      <c r="K61" s="10">
        <f t="shared" si="0"/>
        <v>-300.02500604948534</v>
      </c>
      <c r="L61" s="11">
        <f t="shared" si="1"/>
        <v>3.9321880187210922</v>
      </c>
    </row>
    <row r="62" spans="1:12" x14ac:dyDescent="0.2">
      <c r="A62" t="s">
        <v>16</v>
      </c>
      <c r="B62">
        <v>73</v>
      </c>
      <c r="C62">
        <v>74</v>
      </c>
      <c r="D62">
        <f t="shared" si="2"/>
        <v>73.5</v>
      </c>
      <c r="E62">
        <f>VLOOKUP(D62,agemodels!$A$3:$E$265,4,0)</f>
        <v>14314.9</v>
      </c>
      <c r="F62" s="4">
        <f>VLOOKUP(D62,agemodels!$A$3:$F$265,6,0)</f>
        <v>368.41836734693851</v>
      </c>
      <c r="G62" t="s">
        <v>9</v>
      </c>
      <c r="H62" s="4">
        <v>16830</v>
      </c>
      <c r="I62" s="4">
        <v>50</v>
      </c>
      <c r="J62">
        <v>203481</v>
      </c>
      <c r="K62" s="10">
        <f t="shared" si="0"/>
        <v>-304.78656038682306</v>
      </c>
      <c r="L62" s="11">
        <f t="shared" si="1"/>
        <v>4.340729196463883</v>
      </c>
    </row>
    <row r="63" spans="1:12" x14ac:dyDescent="0.2">
      <c r="A63" t="s">
        <v>16</v>
      </c>
      <c r="B63">
        <v>74</v>
      </c>
      <c r="C63">
        <v>76</v>
      </c>
      <c r="D63">
        <f t="shared" si="2"/>
        <v>75</v>
      </c>
      <c r="E63">
        <f>VLOOKUP(D63,agemodels!$A$3:$E$265,4,0)</f>
        <v>14629.5</v>
      </c>
      <c r="F63" s="4">
        <f>VLOOKUP(D63,agemodels!$A$3:$F$265,6,0)</f>
        <v>399.20918367346928</v>
      </c>
      <c r="G63" t="s">
        <v>9</v>
      </c>
      <c r="H63" s="4">
        <v>17740</v>
      </c>
      <c r="I63" s="4">
        <v>60</v>
      </c>
      <c r="J63">
        <v>181566</v>
      </c>
      <c r="K63" s="10">
        <f t="shared" si="0"/>
        <v>-355.16716408061842</v>
      </c>
      <c r="L63" s="11">
        <f t="shared" si="1"/>
        <v>4.8344107971606149</v>
      </c>
    </row>
    <row r="64" spans="1:12" x14ac:dyDescent="0.2">
      <c r="A64" t="s">
        <v>16</v>
      </c>
      <c r="B64">
        <v>77</v>
      </c>
      <c r="C64">
        <v>79</v>
      </c>
      <c r="D64">
        <f t="shared" si="2"/>
        <v>78</v>
      </c>
      <c r="E64">
        <f>VLOOKUP(D64,agemodels!$A$3:$E$265,4,0)</f>
        <v>15258.4</v>
      </c>
      <c r="F64" s="4">
        <f>VLOOKUP(D64,agemodels!$A$3:$F$265,6,0)</f>
        <v>424.03061224489818</v>
      </c>
      <c r="G64" t="s">
        <v>9</v>
      </c>
      <c r="H64" s="4">
        <v>17640</v>
      </c>
      <c r="I64" s="4">
        <v>60</v>
      </c>
      <c r="J64">
        <v>175790</v>
      </c>
      <c r="K64" s="10">
        <f t="shared" si="0"/>
        <v>-295.48240313657135</v>
      </c>
      <c r="L64" s="11">
        <f t="shared" si="1"/>
        <v>5.2818766156813126</v>
      </c>
    </row>
    <row r="65" spans="1:12" x14ac:dyDescent="0.2">
      <c r="A65" t="s">
        <v>16</v>
      </c>
      <c r="B65">
        <v>79</v>
      </c>
      <c r="C65">
        <v>81</v>
      </c>
      <c r="D65">
        <f t="shared" si="2"/>
        <v>80</v>
      </c>
      <c r="E65">
        <f>VLOOKUP(D65,agemodels!$A$3:$E$265,4,0)</f>
        <v>15687.2</v>
      </c>
      <c r="F65" s="4">
        <f>VLOOKUP(D65,agemodels!$A$3:$F$265,6,0)</f>
        <v>433.13775510204073</v>
      </c>
      <c r="G65" t="s">
        <v>9</v>
      </c>
      <c r="H65" s="4">
        <v>15720</v>
      </c>
      <c r="I65" s="4">
        <v>150</v>
      </c>
      <c r="J65">
        <v>178188</v>
      </c>
      <c r="K65" s="10">
        <f t="shared" si="0"/>
        <v>-57.631627202143321</v>
      </c>
      <c r="L65" s="11">
        <f t="shared" si="1"/>
        <v>17.762139990456063</v>
      </c>
    </row>
    <row r="66" spans="1:12" x14ac:dyDescent="0.2">
      <c r="A66" t="s">
        <v>16</v>
      </c>
      <c r="B66">
        <v>82</v>
      </c>
      <c r="C66">
        <v>84</v>
      </c>
      <c r="D66">
        <f t="shared" si="2"/>
        <v>83</v>
      </c>
      <c r="E66">
        <f>VLOOKUP(D66,agemodels!$A$3:$E$265,4,0)</f>
        <v>16311.5</v>
      </c>
      <c r="F66" s="4">
        <f>VLOOKUP(D66,agemodels!$A$3:$F$265,6,0)</f>
        <v>421.07142857142867</v>
      </c>
      <c r="G66" t="s">
        <v>9</v>
      </c>
      <c r="H66" s="4">
        <v>17620</v>
      </c>
      <c r="I66" s="4">
        <v>70</v>
      </c>
      <c r="J66">
        <v>178777</v>
      </c>
      <c r="K66" s="10">
        <f t="shared" si="0"/>
        <v>-197.77506895316444</v>
      </c>
      <c r="L66" s="11">
        <f t="shared" si="1"/>
        <v>7.0211788288664252</v>
      </c>
    </row>
    <row r="67" spans="1:12" x14ac:dyDescent="0.2">
      <c r="A67" t="s">
        <v>16</v>
      </c>
      <c r="B67">
        <v>84.5</v>
      </c>
      <c r="C67">
        <v>85.5</v>
      </c>
      <c r="D67">
        <f t="shared" si="2"/>
        <v>85</v>
      </c>
      <c r="E67">
        <f>VLOOKUP(D67,agemodels!$A$3:$E$265,4,0)</f>
        <v>16724.2</v>
      </c>
      <c r="F67" s="4">
        <f>VLOOKUP(D67,agemodels!$A$3:$F$265,6,0)</f>
        <v>390.84183673469443</v>
      </c>
      <c r="G67" t="s">
        <v>9</v>
      </c>
      <c r="H67" s="4">
        <v>16935</v>
      </c>
      <c r="I67" s="4">
        <v>45</v>
      </c>
      <c r="J67">
        <v>181568</v>
      </c>
      <c r="K67" s="10">
        <f t="shared" ref="K67:K105" si="3">((EXP(-(H67)/8033)/EXP(-($E67)/8267))-1)*1000</f>
        <v>-81.645342473001151</v>
      </c>
      <c r="L67" s="11">
        <f t="shared" ref="L67:L105" si="4">((EXP(-(H67-I67)/8033)/EXP(-($E67)/8267))-1)*1000-K67</f>
        <v>5.1589602664005128</v>
      </c>
    </row>
    <row r="68" spans="1:12" x14ac:dyDescent="0.2">
      <c r="A68" t="s">
        <v>16</v>
      </c>
      <c r="B68">
        <v>85.5</v>
      </c>
      <c r="C68">
        <v>87</v>
      </c>
      <c r="D68">
        <f t="shared" ref="D68:D132" si="5">AVERAGE(B68:C68)</f>
        <v>86.25</v>
      </c>
      <c r="E68">
        <f>VLOOKUP(C68,agemodels!$A$3:$E$265,4,0)</f>
        <v>17125.400000000001</v>
      </c>
      <c r="F68" s="4">
        <f>VLOOKUP(C68,agemodels!$A$3:$F$265,6,0)</f>
        <v>356.65816326530671</v>
      </c>
      <c r="G68" t="s">
        <v>9</v>
      </c>
      <c r="H68" s="4">
        <v>18300</v>
      </c>
      <c r="I68" s="4">
        <v>50</v>
      </c>
      <c r="J68">
        <v>181547</v>
      </c>
      <c r="K68" s="10">
        <f t="shared" si="3"/>
        <v>-186.62692498783161</v>
      </c>
      <c r="L68" s="11">
        <f t="shared" si="4"/>
        <v>5.0784867684481299</v>
      </c>
    </row>
    <row r="69" spans="1:12" x14ac:dyDescent="0.2">
      <c r="A69" t="s">
        <v>16</v>
      </c>
      <c r="B69">
        <v>87</v>
      </c>
      <c r="C69">
        <v>87.5</v>
      </c>
      <c r="D69">
        <f t="shared" si="5"/>
        <v>87.25</v>
      </c>
      <c r="E69">
        <f>VLOOKUP(C69,agemodels!$A$3:$E$265,4,0)</f>
        <v>17231.5</v>
      </c>
      <c r="F69" s="4">
        <f>VLOOKUP(C69,agemodels!$A$3:$F$265,6,0)</f>
        <v>324.13265306122503</v>
      </c>
      <c r="G69" t="s">
        <v>9</v>
      </c>
      <c r="H69" s="4">
        <v>17495</v>
      </c>
      <c r="I69" s="4">
        <v>50</v>
      </c>
      <c r="J69">
        <v>181537</v>
      </c>
      <c r="K69" s="10">
        <f t="shared" si="3"/>
        <v>-89.279833670443224</v>
      </c>
      <c r="L69" s="11">
        <f t="shared" si="4"/>
        <v>5.6862963092235645</v>
      </c>
    </row>
    <row r="70" spans="1:12" x14ac:dyDescent="0.2">
      <c r="A70" t="s">
        <v>16</v>
      </c>
      <c r="B70">
        <v>87.5</v>
      </c>
      <c r="C70">
        <v>88</v>
      </c>
      <c r="D70">
        <f t="shared" si="5"/>
        <v>87.75</v>
      </c>
      <c r="E70">
        <f>VLOOKUP(C70,agemodels!$A$3:$E$265,4,0)</f>
        <v>17343.8</v>
      </c>
      <c r="F70" s="4">
        <f>VLOOKUP(C70,agemodels!$A$3:$F$265,6,0)</f>
        <v>313.69897959183692</v>
      </c>
      <c r="G70" t="s">
        <v>9</v>
      </c>
      <c r="H70" s="4">
        <v>16755</v>
      </c>
      <c r="I70" s="4">
        <v>40</v>
      </c>
      <c r="J70">
        <v>203046</v>
      </c>
      <c r="K70" s="10">
        <f t="shared" si="3"/>
        <v>12.259067610130625</v>
      </c>
      <c r="L70" s="11">
        <f t="shared" si="4"/>
        <v>5.0530736094491751</v>
      </c>
    </row>
    <row r="71" spans="1:12" x14ac:dyDescent="0.2">
      <c r="A71" t="s">
        <v>16</v>
      </c>
      <c r="B71">
        <v>88</v>
      </c>
      <c r="C71">
        <v>89</v>
      </c>
      <c r="D71">
        <f t="shared" si="5"/>
        <v>88.5</v>
      </c>
      <c r="E71">
        <f>VLOOKUP(D71,agemodels!$A$3:$E$265,4,0)</f>
        <v>17549.2</v>
      </c>
      <c r="F71" s="4">
        <f>VLOOKUP(D71,agemodels!$A$3:$F$265,6,0)</f>
        <v>292.62755102040779</v>
      </c>
      <c r="G71" t="s">
        <v>9</v>
      </c>
      <c r="H71" s="4">
        <v>18430</v>
      </c>
      <c r="I71" s="4">
        <v>70</v>
      </c>
      <c r="J71">
        <v>203047</v>
      </c>
      <c r="K71" s="10">
        <f t="shared" si="3"/>
        <v>-157.58673366199915</v>
      </c>
      <c r="L71" s="11">
        <f t="shared" si="4"/>
        <v>7.3729124611602117</v>
      </c>
    </row>
    <row r="72" spans="1:12" x14ac:dyDescent="0.2">
      <c r="A72" t="s">
        <v>16</v>
      </c>
      <c r="B72">
        <v>89</v>
      </c>
      <c r="C72">
        <v>90</v>
      </c>
      <c r="D72">
        <f t="shared" si="5"/>
        <v>89.5</v>
      </c>
      <c r="E72">
        <f>VLOOKUP(D72,agemodels!$A$3:$E$265,4,0)</f>
        <v>17922.400000000001</v>
      </c>
      <c r="F72" s="4">
        <f>VLOOKUP(D72,agemodels!$A$3:$F$265,6,0)</f>
        <v>351.50510204081672</v>
      </c>
      <c r="G72" t="s">
        <v>9</v>
      </c>
      <c r="H72" s="4">
        <v>15895</v>
      </c>
      <c r="I72" s="4">
        <v>40</v>
      </c>
      <c r="J72">
        <v>183755</v>
      </c>
      <c r="K72" s="10">
        <f t="shared" si="3"/>
        <v>208.32128828584496</v>
      </c>
      <c r="L72" s="11">
        <f t="shared" si="4"/>
        <v>6.031792264393772</v>
      </c>
    </row>
    <row r="73" spans="1:12" x14ac:dyDescent="0.2">
      <c r="A73" t="s">
        <v>16</v>
      </c>
      <c r="B73">
        <v>90</v>
      </c>
      <c r="C73">
        <v>91</v>
      </c>
      <c r="D73">
        <f t="shared" si="5"/>
        <v>90.5</v>
      </c>
      <c r="E73">
        <f>VLOOKUP(D73,agemodels!$A$3:$E$265,4,0)</f>
        <v>18266.8</v>
      </c>
      <c r="F73" s="4">
        <f>VLOOKUP(D73,agemodels!$A$3:$F$265,6,0)</f>
        <v>396.04591836734693</v>
      </c>
      <c r="G73" t="s">
        <v>9</v>
      </c>
      <c r="H73" s="4">
        <v>18390</v>
      </c>
      <c r="I73" s="4">
        <v>45</v>
      </c>
      <c r="J73">
        <v>203048</v>
      </c>
      <c r="K73" s="10">
        <f t="shared" si="3"/>
        <v>-76.608670583839469</v>
      </c>
      <c r="L73" s="11">
        <f t="shared" si="4"/>
        <v>5.1872543355144813</v>
      </c>
    </row>
    <row r="74" spans="1:12" x14ac:dyDescent="0.2">
      <c r="A74" t="s">
        <v>16</v>
      </c>
      <c r="B74">
        <v>90</v>
      </c>
      <c r="C74">
        <v>92</v>
      </c>
      <c r="D74">
        <f t="shared" si="5"/>
        <v>91</v>
      </c>
      <c r="E74">
        <f>VLOOKUP(D74,agemodels!$A$3:$E$265,4,0)</f>
        <v>18438.3</v>
      </c>
      <c r="F74" s="4">
        <f>VLOOKUP(D74,agemodels!$A$3:$F$265,6,0)</f>
        <v>437.67857142857162</v>
      </c>
      <c r="G74" t="s">
        <v>9</v>
      </c>
      <c r="H74" s="4">
        <v>18175</v>
      </c>
      <c r="I74" s="4">
        <v>50</v>
      </c>
      <c r="J74">
        <v>196212</v>
      </c>
      <c r="K74" s="10">
        <f t="shared" si="3"/>
        <v>-31.679771177379635</v>
      </c>
      <c r="L74" s="11">
        <f t="shared" si="4"/>
        <v>6.0459358943285579</v>
      </c>
    </row>
    <row r="75" spans="1:12" x14ac:dyDescent="0.2">
      <c r="A75" t="s">
        <v>16</v>
      </c>
      <c r="B75">
        <v>91</v>
      </c>
      <c r="C75">
        <v>92</v>
      </c>
      <c r="D75">
        <f t="shared" si="5"/>
        <v>91.5</v>
      </c>
      <c r="E75">
        <f>VLOOKUP(D75,agemodels!$A$3:$E$265,4,0)</f>
        <v>18611.8</v>
      </c>
      <c r="F75" s="4">
        <f>VLOOKUP(D75,agemodels!$A$3:$F$265,6,0)</f>
        <v>427.09183673469408</v>
      </c>
      <c r="G75" t="s">
        <v>9</v>
      </c>
      <c r="H75" s="4">
        <v>18940</v>
      </c>
      <c r="I75" s="4">
        <v>60</v>
      </c>
      <c r="J75">
        <v>203050</v>
      </c>
      <c r="K75" s="10">
        <f t="shared" si="3"/>
        <v>-100.96880176657996</v>
      </c>
      <c r="L75" s="11">
        <f t="shared" si="4"/>
        <v>6.7401749563930053</v>
      </c>
    </row>
    <row r="76" spans="1:12" x14ac:dyDescent="0.2">
      <c r="A76" t="s">
        <v>16</v>
      </c>
      <c r="B76">
        <v>92</v>
      </c>
      <c r="C76">
        <v>93</v>
      </c>
      <c r="D76">
        <f t="shared" si="5"/>
        <v>92.5</v>
      </c>
      <c r="E76">
        <f>VLOOKUP(D76,agemodels!$A$3:$E$265,4,0)</f>
        <v>18977.8</v>
      </c>
      <c r="F76" s="4">
        <f>VLOOKUP(D76,agemodels!$A$3:$F$265,6,0)</f>
        <v>439.61734693877531</v>
      </c>
      <c r="G76" t="s">
        <v>9</v>
      </c>
      <c r="H76" s="4">
        <v>17770</v>
      </c>
      <c r="I76" s="4">
        <v>45</v>
      </c>
      <c r="J76">
        <v>203051</v>
      </c>
      <c r="K76" s="10">
        <f t="shared" si="3"/>
        <v>87.067891187689213</v>
      </c>
      <c r="L76" s="11">
        <f t="shared" si="4"/>
        <v>6.1067257747879893</v>
      </c>
    </row>
    <row r="77" spans="1:12" x14ac:dyDescent="0.2">
      <c r="A77" t="s">
        <v>16</v>
      </c>
      <c r="B77">
        <v>92</v>
      </c>
      <c r="C77">
        <v>94</v>
      </c>
      <c r="D77">
        <f t="shared" si="5"/>
        <v>93</v>
      </c>
      <c r="E77">
        <f>VLOOKUP(D77,agemodels!$A$3:$E$265,4,0)</f>
        <v>19161.2</v>
      </c>
      <c r="F77" s="4">
        <f>VLOOKUP(D77,agemodels!$A$3:$F$265,6,0)</f>
        <v>466.7091836734694</v>
      </c>
      <c r="G77" t="s">
        <v>9</v>
      </c>
      <c r="H77" s="4">
        <v>17535</v>
      </c>
      <c r="I77" s="4">
        <v>45</v>
      </c>
      <c r="J77">
        <v>181539</v>
      </c>
      <c r="K77" s="10">
        <f t="shared" si="3"/>
        <v>144.44863417214205</v>
      </c>
      <c r="L77" s="11">
        <f t="shared" si="4"/>
        <v>6.4290685327703443</v>
      </c>
    </row>
    <row r="78" spans="1:12" x14ac:dyDescent="0.2">
      <c r="A78" t="s">
        <v>16</v>
      </c>
      <c r="B78">
        <v>93</v>
      </c>
      <c r="C78">
        <v>94</v>
      </c>
      <c r="D78">
        <f t="shared" si="5"/>
        <v>93.5</v>
      </c>
      <c r="E78">
        <f>VLOOKUP(D78,agemodels!$A$3:$E$265,4,0)</f>
        <v>19326.3</v>
      </c>
      <c r="F78" s="4">
        <f>VLOOKUP(D78,agemodels!$A$3:$F$265,6,0)</f>
        <v>453.67346938775455</v>
      </c>
      <c r="G78" t="s">
        <v>9</v>
      </c>
      <c r="H78" s="4">
        <v>17980</v>
      </c>
      <c r="I78" s="4">
        <v>50</v>
      </c>
      <c r="J78">
        <v>203052</v>
      </c>
      <c r="K78" s="10">
        <f t="shared" si="3"/>
        <v>104.61566308110947</v>
      </c>
      <c r="L78" s="11">
        <f t="shared" si="4"/>
        <v>6.8969286069544609</v>
      </c>
    </row>
    <row r="79" spans="1:12" x14ac:dyDescent="0.2">
      <c r="A79" t="s">
        <v>16</v>
      </c>
      <c r="B79">
        <v>94</v>
      </c>
      <c r="C79">
        <v>95</v>
      </c>
      <c r="D79">
        <f t="shared" si="5"/>
        <v>94.5</v>
      </c>
      <c r="E79">
        <f>VLOOKUP(D79,agemodels!$A$3:$E$265,4,0)</f>
        <v>19670</v>
      </c>
      <c r="F79" s="4">
        <f>VLOOKUP(D79,agemodels!$A$3:$F$265,6,0)</f>
        <v>460.35714285714249</v>
      </c>
      <c r="G79" t="s">
        <v>9</v>
      </c>
      <c r="H79" s="4">
        <v>17330</v>
      </c>
      <c r="I79" s="4">
        <v>160</v>
      </c>
      <c r="J79">
        <v>178191</v>
      </c>
      <c r="K79" s="10">
        <f t="shared" si="3"/>
        <v>248.55716337957801</v>
      </c>
      <c r="L79" s="11">
        <f t="shared" si="4"/>
        <v>25.11787697730017</v>
      </c>
    </row>
    <row r="80" spans="1:12" x14ac:dyDescent="0.2">
      <c r="A80" t="s">
        <v>16</v>
      </c>
      <c r="B80">
        <v>96</v>
      </c>
      <c r="C80">
        <v>97</v>
      </c>
      <c r="D80">
        <f t="shared" si="5"/>
        <v>96.5</v>
      </c>
      <c r="E80">
        <f>VLOOKUP(D80,agemodels!$A$3:$E$265,4,0)</f>
        <v>21733.8</v>
      </c>
      <c r="F80" s="4">
        <f>VLOOKUP(D80,agemodels!$A$3:$F$265,6,0)</f>
        <v>391.86224489795882</v>
      </c>
      <c r="G80" t="s">
        <v>9</v>
      </c>
      <c r="H80" s="4">
        <v>19630</v>
      </c>
      <c r="I80" s="4">
        <v>70</v>
      </c>
      <c r="J80">
        <v>181550</v>
      </c>
      <c r="K80" s="10">
        <f t="shared" si="3"/>
        <v>203.5949144596978</v>
      </c>
      <c r="L80" s="11">
        <f t="shared" si="4"/>
        <v>10.53402207396914</v>
      </c>
    </row>
    <row r="81" spans="1:12" x14ac:dyDescent="0.2">
      <c r="A81" t="s">
        <v>16</v>
      </c>
      <c r="B81">
        <v>97</v>
      </c>
      <c r="C81">
        <v>98</v>
      </c>
      <c r="D81">
        <f t="shared" si="5"/>
        <v>97.5</v>
      </c>
      <c r="E81">
        <f>VLOOKUP(D81,agemodels!$A$3:$E$265,4,0)</f>
        <v>22709.200000000001</v>
      </c>
      <c r="F81" s="4">
        <f>VLOOKUP(D81,agemodels!$A$3:$F$265,6,0)</f>
        <v>304.15816326530592</v>
      </c>
      <c r="G81" t="s">
        <v>9</v>
      </c>
      <c r="H81" s="4">
        <v>20050</v>
      </c>
      <c r="I81" s="4">
        <v>130</v>
      </c>
      <c r="J81">
        <v>200179</v>
      </c>
      <c r="K81" s="10">
        <f t="shared" si="3"/>
        <v>285.33025264505073</v>
      </c>
      <c r="L81" s="11">
        <f t="shared" si="4"/>
        <v>20.97003720192015</v>
      </c>
    </row>
    <row r="82" spans="1:12" x14ac:dyDescent="0.2">
      <c r="A82" t="s">
        <v>16</v>
      </c>
      <c r="B82">
        <v>97</v>
      </c>
      <c r="C82">
        <v>99</v>
      </c>
      <c r="D82">
        <f t="shared" si="5"/>
        <v>98</v>
      </c>
      <c r="E82">
        <f>VLOOKUP(D82,agemodels!$A$3:$E$265,4,0)</f>
        <v>22809.200000000001</v>
      </c>
      <c r="F82" s="4">
        <f>VLOOKUP(D82,agemodels!$A$3:$F$265,6,0)</f>
        <v>319.7704081632653</v>
      </c>
      <c r="G82" t="s">
        <v>9</v>
      </c>
      <c r="H82" s="4">
        <v>20280</v>
      </c>
      <c r="I82" s="4">
        <v>310</v>
      </c>
      <c r="J82">
        <v>178193</v>
      </c>
      <c r="K82" s="10">
        <f t="shared" si="3"/>
        <v>264.25129370618674</v>
      </c>
      <c r="L82" s="11">
        <f t="shared" si="4"/>
        <v>49.742106234440939</v>
      </c>
    </row>
    <row r="83" spans="1:12" x14ac:dyDescent="0.2">
      <c r="A83" t="s">
        <v>16</v>
      </c>
      <c r="B83">
        <v>98</v>
      </c>
      <c r="C83">
        <v>99</v>
      </c>
      <c r="D83">
        <f t="shared" si="5"/>
        <v>98.5</v>
      </c>
      <c r="E83">
        <f>VLOOKUP(D83,agemodels!$A$3:$E$265,4,0)</f>
        <v>22898.9</v>
      </c>
      <c r="F83" s="4">
        <f>VLOOKUP(D83,agemodels!$A$3:$F$265,6,0)</f>
        <v>302.52551020408106</v>
      </c>
      <c r="G83" t="s">
        <v>9</v>
      </c>
      <c r="H83" s="4">
        <v>19820</v>
      </c>
      <c r="I83" s="4">
        <v>80</v>
      </c>
      <c r="J83">
        <v>200182</v>
      </c>
      <c r="K83" s="10">
        <f t="shared" si="3"/>
        <v>353.36521167451917</v>
      </c>
      <c r="L83" s="11">
        <f t="shared" si="4"/>
        <v>13.545391920305235</v>
      </c>
    </row>
    <row r="84" spans="1:12" x14ac:dyDescent="0.2">
      <c r="A84" t="s">
        <v>16</v>
      </c>
      <c r="B84">
        <v>99</v>
      </c>
      <c r="C84">
        <v>100</v>
      </c>
      <c r="D84">
        <f t="shared" si="5"/>
        <v>99.5</v>
      </c>
      <c r="E84">
        <f>VLOOKUP(D84,agemodels!$A$3:$E$265,4,0)</f>
        <v>23072.9</v>
      </c>
      <c r="F84" s="4">
        <f>VLOOKUP(D84,agemodels!$A$3:$F$265,6,0)</f>
        <v>298.57142857142895</v>
      </c>
      <c r="G84" t="s">
        <v>9</v>
      </c>
      <c r="H84" s="4">
        <v>20560</v>
      </c>
      <c r="I84" s="4">
        <v>90</v>
      </c>
      <c r="J84">
        <v>200526</v>
      </c>
      <c r="K84" s="10">
        <f t="shared" si="3"/>
        <v>260.51677216455226</v>
      </c>
      <c r="L84" s="11">
        <f t="shared" si="4"/>
        <v>14.201967467318809</v>
      </c>
    </row>
    <row r="85" spans="1:12" x14ac:dyDescent="0.2">
      <c r="A85" t="s">
        <v>16</v>
      </c>
      <c r="B85">
        <v>100</v>
      </c>
      <c r="C85">
        <v>101</v>
      </c>
      <c r="D85">
        <f t="shared" si="5"/>
        <v>100.5</v>
      </c>
      <c r="E85">
        <f>VLOOKUP(D85,agemodels!$A$3:$E$265,4,0)</f>
        <v>23256</v>
      </c>
      <c r="F85" s="4">
        <f>VLOOKUP(D85,agemodels!$A$3:$F$265,6,0)</f>
        <v>278.34183673469443</v>
      </c>
      <c r="G85" t="s">
        <v>9</v>
      </c>
      <c r="H85" s="4">
        <v>20510</v>
      </c>
      <c r="I85" s="4">
        <v>120</v>
      </c>
      <c r="J85">
        <v>200528</v>
      </c>
      <c r="K85" s="10">
        <f t="shared" si="3"/>
        <v>296.79313633078743</v>
      </c>
      <c r="L85" s="11">
        <f t="shared" si="4"/>
        <v>19.517403836290612</v>
      </c>
    </row>
    <row r="86" spans="1:12" x14ac:dyDescent="0.2">
      <c r="A86" t="s">
        <v>16</v>
      </c>
      <c r="B86">
        <v>101</v>
      </c>
      <c r="C86">
        <v>102</v>
      </c>
      <c r="D86">
        <f t="shared" si="5"/>
        <v>101.5</v>
      </c>
      <c r="E86">
        <f>VLOOKUP(D86,agemodels!$A$3:$E$265,4,0)</f>
        <v>23438.1</v>
      </c>
      <c r="F86" s="4">
        <f>VLOOKUP(D86,agemodels!$A$3:$F$265,6,0)</f>
        <v>255.20408163265344</v>
      </c>
      <c r="G86" t="s">
        <v>9</v>
      </c>
      <c r="H86" s="4">
        <v>20600</v>
      </c>
      <c r="I86" s="4">
        <v>70</v>
      </c>
      <c r="J86">
        <v>181553</v>
      </c>
      <c r="K86" s="10">
        <f t="shared" si="3"/>
        <v>310.90527985405726</v>
      </c>
      <c r="L86" s="11">
        <f t="shared" si="4"/>
        <v>11.473216602169828</v>
      </c>
    </row>
    <row r="87" spans="1:12" x14ac:dyDescent="0.2">
      <c r="A87" t="s">
        <v>16</v>
      </c>
      <c r="B87">
        <v>102</v>
      </c>
      <c r="C87">
        <v>104</v>
      </c>
      <c r="D87">
        <f t="shared" si="5"/>
        <v>103</v>
      </c>
      <c r="E87">
        <f>VLOOKUP(D87,agemodels!$A$3:$E$265,4,0)</f>
        <v>23701.1</v>
      </c>
      <c r="F87" s="4">
        <f>VLOOKUP(D87,agemodels!$A$3:$F$265,6,0)</f>
        <v>229.84693877551021</v>
      </c>
      <c r="G87" t="s">
        <v>9</v>
      </c>
      <c r="H87" s="4">
        <v>21030</v>
      </c>
      <c r="I87" s="4">
        <v>70</v>
      </c>
      <c r="J87">
        <v>176727</v>
      </c>
      <c r="K87" s="10">
        <f t="shared" si="3"/>
        <v>282.74458973638718</v>
      </c>
      <c r="L87" s="11">
        <f t="shared" si="4"/>
        <v>11.226750513160198</v>
      </c>
    </row>
    <row r="88" spans="1:12" x14ac:dyDescent="0.2">
      <c r="A88" t="s">
        <v>16</v>
      </c>
      <c r="B88">
        <v>104</v>
      </c>
      <c r="C88">
        <v>106</v>
      </c>
      <c r="D88">
        <f t="shared" si="5"/>
        <v>105</v>
      </c>
      <c r="E88">
        <f>VLOOKUP(D88,agemodels!$A$3:$E$265,4,0)</f>
        <v>24297.8</v>
      </c>
      <c r="F88" s="4">
        <f>VLOOKUP(D88,agemodels!$A$3:$F$265,6,0)</f>
        <v>296.37755102040796</v>
      </c>
      <c r="G88" t="s">
        <v>9</v>
      </c>
      <c r="H88" s="4">
        <v>22100</v>
      </c>
      <c r="I88" s="4">
        <v>190</v>
      </c>
      <c r="J88">
        <v>176292</v>
      </c>
      <c r="K88" s="10">
        <f t="shared" si="3"/>
        <v>206.80936271485484</v>
      </c>
      <c r="L88" s="11">
        <f t="shared" si="4"/>
        <v>28.884222973755357</v>
      </c>
    </row>
    <row r="89" spans="1:12" x14ac:dyDescent="0.2">
      <c r="A89" t="s">
        <v>16</v>
      </c>
      <c r="B89">
        <v>111</v>
      </c>
      <c r="C89">
        <v>112</v>
      </c>
      <c r="D89">
        <f t="shared" si="5"/>
        <v>111.5</v>
      </c>
      <c r="E89">
        <f>VLOOKUP(D89,agemodels!$A$3:$E$265,4,0)</f>
        <v>26231.1</v>
      </c>
      <c r="F89" s="4">
        <f>VLOOKUP(D89,agemodels!$A$3:$F$265,6,0)</f>
        <v>380.71428571428612</v>
      </c>
      <c r="G89" t="s">
        <v>9</v>
      </c>
      <c r="H89" s="4">
        <v>22740</v>
      </c>
      <c r="I89" s="4">
        <v>100</v>
      </c>
      <c r="J89">
        <v>176733</v>
      </c>
      <c r="K89" s="10">
        <f t="shared" si="3"/>
        <v>407.99419753601086</v>
      </c>
      <c r="L89" s="11">
        <f t="shared" si="4"/>
        <v>17.637177765207582</v>
      </c>
    </row>
    <row r="90" spans="1:12" x14ac:dyDescent="0.2">
      <c r="A90" t="s">
        <v>16</v>
      </c>
      <c r="B90">
        <v>116</v>
      </c>
      <c r="C90">
        <v>118</v>
      </c>
      <c r="D90">
        <f t="shared" si="5"/>
        <v>117</v>
      </c>
      <c r="E90">
        <f>VLOOKUP(D90,agemodels!$A$3:$E$265,4,0)</f>
        <v>28090</v>
      </c>
      <c r="F90" s="4">
        <f>VLOOKUP(D90,agemodels!$A$3:$F$265,6,0)</f>
        <v>650.15306122448942</v>
      </c>
      <c r="G90" t="s">
        <v>9</v>
      </c>
      <c r="H90" s="4">
        <v>26820</v>
      </c>
      <c r="I90" s="4">
        <v>330</v>
      </c>
      <c r="J90">
        <v>176295</v>
      </c>
      <c r="K90" s="10">
        <f t="shared" si="3"/>
        <v>60.901600359566153</v>
      </c>
      <c r="L90" s="11">
        <f t="shared" si="4"/>
        <v>44.48999345737392</v>
      </c>
    </row>
    <row r="91" spans="1:12" x14ac:dyDescent="0.2">
      <c r="A91" t="s">
        <v>16</v>
      </c>
      <c r="B91">
        <v>119</v>
      </c>
      <c r="C91">
        <v>120</v>
      </c>
      <c r="D91">
        <f t="shared" si="5"/>
        <v>119.5</v>
      </c>
      <c r="E91">
        <f>VLOOKUP(D91,agemodels!$A$3:$E$265,4,0)</f>
        <v>28982</v>
      </c>
      <c r="F91" s="4">
        <f>VLOOKUP(D91,agemodels!$A$3:$F$265,6,0)</f>
        <v>767.32142857142901</v>
      </c>
      <c r="G91" t="s">
        <v>9</v>
      </c>
      <c r="H91" s="4">
        <v>27870</v>
      </c>
      <c r="I91" s="4">
        <v>300</v>
      </c>
      <c r="J91">
        <v>177323</v>
      </c>
      <c r="K91" s="10">
        <f t="shared" si="3"/>
        <v>36.974325127039577</v>
      </c>
      <c r="L91" s="11">
        <f t="shared" si="4"/>
        <v>39.459020364256418</v>
      </c>
    </row>
    <row r="92" spans="1:12" x14ac:dyDescent="0.2">
      <c r="A92" t="s">
        <v>16</v>
      </c>
      <c r="B92">
        <v>122</v>
      </c>
      <c r="C92">
        <v>124</v>
      </c>
      <c r="D92">
        <f t="shared" si="5"/>
        <v>123</v>
      </c>
      <c r="E92">
        <f>VLOOKUP(D92,agemodels!$A$3:$E$265,4,0)</f>
        <v>30259.7</v>
      </c>
      <c r="F92" s="4">
        <f>VLOOKUP(D92,agemodels!$A$3:$F$265,6,0)</f>
        <v>972.47448979591798</v>
      </c>
      <c r="G92" t="s">
        <v>9</v>
      </c>
      <c r="H92" s="4">
        <v>28945</v>
      </c>
      <c r="I92" s="4">
        <v>210</v>
      </c>
      <c r="J92" t="s">
        <v>13</v>
      </c>
      <c r="K92" s="10">
        <f t="shared" si="3"/>
        <v>58.696507793048134</v>
      </c>
      <c r="L92" s="11">
        <f t="shared" si="4"/>
        <v>28.041553747751188</v>
      </c>
    </row>
    <row r="93" spans="1:12" x14ac:dyDescent="0.2">
      <c r="A93" t="s">
        <v>16</v>
      </c>
      <c r="B93">
        <v>63</v>
      </c>
      <c r="C93">
        <v>65</v>
      </c>
      <c r="D93">
        <f t="shared" si="5"/>
        <v>64</v>
      </c>
      <c r="E93">
        <f>VLOOKUP(D93,agemodels!$A$3:$E$265,4,0)</f>
        <v>11738.5</v>
      </c>
      <c r="F93" s="4">
        <f>VLOOKUP(D93,agemodels!$A$3:$F$265,6,0)</f>
        <v>586.22448979591843</v>
      </c>
      <c r="G93" t="s">
        <v>14</v>
      </c>
      <c r="H93" s="4">
        <v>10440</v>
      </c>
      <c r="I93" s="4">
        <v>550</v>
      </c>
      <c r="J93">
        <v>181559</v>
      </c>
      <c r="K93" s="10">
        <f t="shared" si="3"/>
        <v>127.81664893899891</v>
      </c>
      <c r="L93" s="11">
        <f t="shared" si="4"/>
        <v>79.923739116098957</v>
      </c>
    </row>
    <row r="94" spans="1:12" x14ac:dyDescent="0.2">
      <c r="A94" t="s">
        <v>16</v>
      </c>
      <c r="B94">
        <v>66</v>
      </c>
      <c r="C94">
        <v>67</v>
      </c>
      <c r="D94">
        <f t="shared" si="5"/>
        <v>66.5</v>
      </c>
      <c r="E94">
        <f>VLOOKUP(D94,agemodels!$A$3:$E$265,4,0)</f>
        <v>12821</v>
      </c>
      <c r="F94" s="4">
        <f>VLOOKUP(D94,agemodels!$A$3:$F$265,6,0)</f>
        <v>187.19387755102022</v>
      </c>
      <c r="G94" t="s">
        <v>14</v>
      </c>
      <c r="H94" s="4">
        <v>11065</v>
      </c>
      <c r="I94" s="4">
        <v>30</v>
      </c>
      <c r="J94">
        <v>176735</v>
      </c>
      <c r="K94" s="10">
        <f t="shared" si="3"/>
        <v>189.36771864812107</v>
      </c>
      <c r="L94" s="11">
        <f t="shared" si="4"/>
        <v>4.4501110016277323</v>
      </c>
    </row>
    <row r="95" spans="1:12" x14ac:dyDescent="0.2">
      <c r="A95" t="s">
        <v>16</v>
      </c>
      <c r="B95">
        <v>87</v>
      </c>
      <c r="C95">
        <v>87.5</v>
      </c>
      <c r="D95">
        <f t="shared" si="5"/>
        <v>87.25</v>
      </c>
      <c r="E95">
        <f>VLOOKUP(C95,agemodels!$A$3:$E$265,4,0)</f>
        <v>17231.5</v>
      </c>
      <c r="F95" s="4">
        <f>VLOOKUP(C95,agemodels!$A$3:$F$265,6,0)</f>
        <v>324.13265306122503</v>
      </c>
      <c r="G95" t="s">
        <v>14</v>
      </c>
      <c r="H95" s="4">
        <v>13590</v>
      </c>
      <c r="I95" s="4">
        <v>160</v>
      </c>
      <c r="J95">
        <v>181561</v>
      </c>
      <c r="K95" s="10">
        <f t="shared" si="3"/>
        <v>480.82617017839624</v>
      </c>
      <c r="L95" s="11">
        <f t="shared" si="4"/>
        <v>29.790553975621378</v>
      </c>
    </row>
    <row r="96" spans="1:12" x14ac:dyDescent="0.2">
      <c r="A96" t="s">
        <v>16</v>
      </c>
      <c r="B96">
        <v>87.5</v>
      </c>
      <c r="C96">
        <v>88</v>
      </c>
      <c r="D96">
        <f t="shared" si="5"/>
        <v>87.75</v>
      </c>
      <c r="E96">
        <f>VLOOKUP(C96,agemodels!$A$3:$E$265,4,0)</f>
        <v>17343.8</v>
      </c>
      <c r="F96" s="4">
        <f>VLOOKUP(C96,agemodels!$A$3:$F$265,6,0)</f>
        <v>313.69897959183692</v>
      </c>
      <c r="G96" t="s">
        <v>14</v>
      </c>
      <c r="H96" s="4">
        <v>14390</v>
      </c>
      <c r="I96" s="4">
        <v>190</v>
      </c>
      <c r="J96">
        <v>201569</v>
      </c>
      <c r="K96" s="10">
        <f t="shared" si="3"/>
        <v>358.79066903896819</v>
      </c>
      <c r="L96" s="11">
        <f t="shared" si="4"/>
        <v>32.521799939376535</v>
      </c>
    </row>
    <row r="97" spans="1:12" x14ac:dyDescent="0.2">
      <c r="A97" t="s">
        <v>16</v>
      </c>
      <c r="B97">
        <v>92</v>
      </c>
      <c r="C97">
        <v>93</v>
      </c>
      <c r="D97">
        <f t="shared" si="5"/>
        <v>92.5</v>
      </c>
      <c r="E97">
        <f>VLOOKUP(D97,agemodels!$A$3:$E$265,4,0)</f>
        <v>18977.8</v>
      </c>
      <c r="F97" s="4">
        <f>VLOOKUP(D97,agemodels!$A$3:$F$265,6,0)</f>
        <v>439.61734693877531</v>
      </c>
      <c r="G97" t="s">
        <v>14</v>
      </c>
      <c r="H97" s="4">
        <v>15830</v>
      </c>
      <c r="I97" s="4">
        <v>720</v>
      </c>
      <c r="J97">
        <v>201571</v>
      </c>
      <c r="K97" s="10">
        <f t="shared" si="3"/>
        <v>384.01384453352216</v>
      </c>
      <c r="L97" s="11">
        <f t="shared" si="4"/>
        <v>129.77872218680318</v>
      </c>
    </row>
    <row r="98" spans="1:12" x14ac:dyDescent="0.2">
      <c r="A98" t="s">
        <v>16</v>
      </c>
      <c r="B98">
        <v>94</v>
      </c>
      <c r="C98">
        <v>95</v>
      </c>
      <c r="D98">
        <f t="shared" si="5"/>
        <v>94.5</v>
      </c>
      <c r="E98">
        <f>VLOOKUP(D98,agemodels!$A$3:$E$265,4,0)</f>
        <v>19670</v>
      </c>
      <c r="F98" s="4">
        <f>VLOOKUP(D98,agemodels!$A$3:$F$265,6,0)</f>
        <v>460.35714285714249</v>
      </c>
      <c r="G98" t="s">
        <v>14</v>
      </c>
      <c r="H98" s="4">
        <v>16170</v>
      </c>
      <c r="I98" s="4">
        <v>90</v>
      </c>
      <c r="J98">
        <v>200534</v>
      </c>
      <c r="K98" s="10">
        <f t="shared" si="3"/>
        <v>442.52196665223511</v>
      </c>
      <c r="L98" s="11">
        <f t="shared" si="4"/>
        <v>16.252580285868817</v>
      </c>
    </row>
    <row r="99" spans="1:12" x14ac:dyDescent="0.2">
      <c r="A99" t="s">
        <v>16</v>
      </c>
      <c r="B99">
        <v>96</v>
      </c>
      <c r="C99">
        <v>97</v>
      </c>
      <c r="D99">
        <f t="shared" si="5"/>
        <v>96.5</v>
      </c>
      <c r="E99">
        <f>VLOOKUP(D99,agemodels!$A$3:$E$265,4,0)</f>
        <v>21733.8</v>
      </c>
      <c r="F99" s="4">
        <f>VLOOKUP(D99,agemodels!$A$3:$F$265,6,0)</f>
        <v>391.86224489795882</v>
      </c>
      <c r="G99" t="s">
        <v>14</v>
      </c>
      <c r="H99" s="4">
        <v>18820</v>
      </c>
      <c r="I99" s="4">
        <v>70</v>
      </c>
      <c r="J99">
        <v>181562</v>
      </c>
      <c r="K99" s="10">
        <f t="shared" si="3"/>
        <v>331.28800709016559</v>
      </c>
      <c r="L99" s="11">
        <f t="shared" si="4"/>
        <v>11.651608930064015</v>
      </c>
    </row>
    <row r="100" spans="1:12" x14ac:dyDescent="0.2">
      <c r="A100" t="s">
        <v>16</v>
      </c>
      <c r="B100">
        <v>97</v>
      </c>
      <c r="C100">
        <v>99</v>
      </c>
      <c r="D100">
        <f t="shared" si="5"/>
        <v>98</v>
      </c>
      <c r="E100">
        <f>VLOOKUP(D100,agemodels!$A$3:$E$265,4,0)</f>
        <v>22809.200000000001</v>
      </c>
      <c r="F100" s="4">
        <f>VLOOKUP(D100,agemodels!$A$3:$F$265,6,0)</f>
        <v>319.7704081632653</v>
      </c>
      <c r="G100" t="s">
        <v>14</v>
      </c>
      <c r="H100" s="4">
        <v>19120</v>
      </c>
      <c r="I100" s="4">
        <v>880</v>
      </c>
      <c r="J100">
        <v>180071</v>
      </c>
      <c r="K100" s="10">
        <f t="shared" si="3"/>
        <v>460.65419832543841</v>
      </c>
      <c r="L100" s="11">
        <f t="shared" si="4"/>
        <v>169.10541985811346</v>
      </c>
    </row>
    <row r="101" spans="1:12" x14ac:dyDescent="0.2">
      <c r="A101" t="s">
        <v>16</v>
      </c>
      <c r="B101">
        <v>102</v>
      </c>
      <c r="C101">
        <v>104</v>
      </c>
      <c r="D101">
        <f t="shared" si="5"/>
        <v>103</v>
      </c>
      <c r="E101">
        <f>VLOOKUP(D101,agemodels!$A$3:$E$265,4,0)</f>
        <v>23701.1</v>
      </c>
      <c r="F101" s="4">
        <f>VLOOKUP(D101,agemodels!$A$3:$F$265,6,0)</f>
        <v>229.84693877551021</v>
      </c>
      <c r="G101" t="s">
        <v>14</v>
      </c>
      <c r="H101" s="4">
        <v>19550</v>
      </c>
      <c r="I101" s="4">
        <v>60</v>
      </c>
      <c r="J101">
        <v>180639</v>
      </c>
      <c r="K101" s="10">
        <f t="shared" si="3"/>
        <v>542.24940465364989</v>
      </c>
      <c r="L101" s="11">
        <f t="shared" si="4"/>
        <v>11.562480628241929</v>
      </c>
    </row>
    <row r="102" spans="1:12" x14ac:dyDescent="0.2">
      <c r="A102" t="s">
        <v>16</v>
      </c>
      <c r="B102">
        <v>104</v>
      </c>
      <c r="C102">
        <v>106</v>
      </c>
      <c r="D102">
        <f t="shared" si="5"/>
        <v>105</v>
      </c>
      <c r="E102">
        <f>VLOOKUP(D102,agemodels!$A$3:$E$265,4,0)</f>
        <v>24297.8</v>
      </c>
      <c r="F102" s="4">
        <f>VLOOKUP(D102,agemodels!$A$3:$F$265,6,0)</f>
        <v>296.37755102040796</v>
      </c>
      <c r="G102" t="s">
        <v>14</v>
      </c>
      <c r="H102" s="4">
        <v>20690</v>
      </c>
      <c r="I102" s="4">
        <v>330</v>
      </c>
      <c r="J102">
        <v>180073</v>
      </c>
      <c r="K102" s="10">
        <f t="shared" si="3"/>
        <v>438.36340364269222</v>
      </c>
      <c r="L102" s="11">
        <f t="shared" si="4"/>
        <v>60.319240159220271</v>
      </c>
    </row>
    <row r="103" spans="1:12" x14ac:dyDescent="0.2">
      <c r="A103" t="s">
        <v>16</v>
      </c>
      <c r="B103">
        <v>110</v>
      </c>
      <c r="C103">
        <v>111</v>
      </c>
      <c r="D103">
        <f t="shared" si="5"/>
        <v>110.5</v>
      </c>
      <c r="E103">
        <f>VLOOKUP(D103,agemodels!$A$3:$E$265,4,0)</f>
        <v>25927.599999999999</v>
      </c>
      <c r="F103" s="4">
        <f>VLOOKUP(D103,agemodels!$A$3:$F$265,6,0)</f>
        <v>370.58673469387776</v>
      </c>
      <c r="G103" t="s">
        <v>14</v>
      </c>
      <c r="H103" s="4">
        <v>21590</v>
      </c>
      <c r="I103" s="4">
        <v>330</v>
      </c>
      <c r="J103">
        <v>182086</v>
      </c>
      <c r="K103" s="10">
        <f t="shared" si="3"/>
        <v>566.13903086368737</v>
      </c>
      <c r="L103" s="11">
        <f t="shared" si="4"/>
        <v>65.677641746274048</v>
      </c>
    </row>
    <row r="104" spans="1:12" x14ac:dyDescent="0.2">
      <c r="A104" t="s">
        <v>16</v>
      </c>
      <c r="B104">
        <v>116</v>
      </c>
      <c r="C104">
        <v>118</v>
      </c>
      <c r="D104">
        <f t="shared" si="5"/>
        <v>117</v>
      </c>
      <c r="E104">
        <f>VLOOKUP(D104,agemodels!$A$3:$E$265,4,0)</f>
        <v>28090</v>
      </c>
      <c r="F104" s="4">
        <f>VLOOKUP(D104,agemodels!$A$3:$F$265,6,0)</f>
        <v>650.15306122448942</v>
      </c>
      <c r="G104" t="s">
        <v>14</v>
      </c>
      <c r="H104" s="4">
        <v>24020</v>
      </c>
      <c r="I104" s="4">
        <v>790</v>
      </c>
      <c r="J104">
        <v>199135</v>
      </c>
      <c r="K104" s="10">
        <f t="shared" si="3"/>
        <v>503.32796513684406</v>
      </c>
      <c r="L104" s="11">
        <f t="shared" si="4"/>
        <v>155.35787060105901</v>
      </c>
    </row>
    <row r="105" spans="1:12" x14ac:dyDescent="0.2">
      <c r="A105" t="s">
        <v>16</v>
      </c>
      <c r="B105">
        <v>130</v>
      </c>
      <c r="C105">
        <v>131</v>
      </c>
      <c r="D105">
        <f t="shared" si="5"/>
        <v>130.5</v>
      </c>
      <c r="E105">
        <f>VLOOKUP(D105,agemodels!$A$3:$E$265,4,0)</f>
        <v>33326.199999999997</v>
      </c>
      <c r="F105" s="4">
        <f>VLOOKUP(D105,agemodels!$A$3:$F$265,6,0)</f>
        <v>1203.4438775510196</v>
      </c>
      <c r="G105" t="s">
        <v>14</v>
      </c>
      <c r="H105" s="4">
        <v>30400</v>
      </c>
      <c r="I105" s="4">
        <v>270</v>
      </c>
      <c r="J105">
        <v>177377</v>
      </c>
      <c r="K105" s="10">
        <f t="shared" si="3"/>
        <v>279.97841926152824</v>
      </c>
      <c r="L105" s="11">
        <f t="shared" si="4"/>
        <v>43.752986248350112</v>
      </c>
    </row>
    <row r="107" spans="1:12" x14ac:dyDescent="0.2">
      <c r="A107" t="s">
        <v>18</v>
      </c>
      <c r="B107">
        <v>73</v>
      </c>
      <c r="C107">
        <v>75</v>
      </c>
      <c r="D107">
        <f t="shared" si="5"/>
        <v>74</v>
      </c>
      <c r="E107">
        <f>VLOOKUP(D107,agemodels!$I$3:$N$135,4,0)</f>
        <v>12813</v>
      </c>
      <c r="F107" s="4">
        <f>VLOOKUP(D107,agemodels!$I$3:$N$265,6,0)</f>
        <v>307.62755102040808</v>
      </c>
      <c r="G107" t="s">
        <v>6</v>
      </c>
      <c r="H107" s="4">
        <v>14210</v>
      </c>
      <c r="I107" s="4">
        <v>280</v>
      </c>
      <c r="J107">
        <v>160491</v>
      </c>
      <c r="K107" s="10">
        <f t="shared" ref="K107" si="6">((EXP(-(H107)/8033)/EXP(-($E107)/8267))-1)*1000</f>
        <v>-196.72317585425557</v>
      </c>
      <c r="L107" s="11">
        <f t="shared" ref="L107" si="7">((EXP(-(H107-I107)/8033)/EXP(-($E107)/8267))-1)*1000-K107</f>
        <v>28.49288453466346</v>
      </c>
    </row>
    <row r="108" spans="1:12" x14ac:dyDescent="0.2">
      <c r="A108" t="s">
        <v>18</v>
      </c>
      <c r="B108">
        <v>76</v>
      </c>
      <c r="C108">
        <v>78</v>
      </c>
      <c r="D108">
        <f t="shared" si="5"/>
        <v>77</v>
      </c>
      <c r="E108">
        <f>VLOOKUP(D108,agemodels!$I$3:$N$135,4,0)</f>
        <v>12969.1</v>
      </c>
      <c r="F108" s="4">
        <f>VLOOKUP(D108,agemodels!$I$3:$N$265,6,0)</f>
        <v>295.9948979591835</v>
      </c>
      <c r="G108" t="s">
        <v>6</v>
      </c>
      <c r="H108" s="4">
        <v>14830</v>
      </c>
      <c r="I108" s="4">
        <v>160</v>
      </c>
      <c r="J108">
        <v>160304</v>
      </c>
      <c r="K108" s="10">
        <f t="shared" ref="K108:K132" si="8">((EXP(-(H108)/8033)/EXP(-($E108)/8267))-1)*1000</f>
        <v>-242.21472337279636</v>
      </c>
      <c r="L108" s="11">
        <f t="shared" ref="L108:L132" si="9">((EXP(-(H108-I108)/8033)/EXP(-($E108)/8267))-1)*1000-K108</f>
        <v>15.244762444044483</v>
      </c>
    </row>
    <row r="109" spans="1:12" x14ac:dyDescent="0.2">
      <c r="A109" t="s">
        <v>18</v>
      </c>
      <c r="B109">
        <v>83</v>
      </c>
      <c r="C109">
        <v>85</v>
      </c>
      <c r="D109">
        <f t="shared" si="5"/>
        <v>84</v>
      </c>
      <c r="E109">
        <f>VLOOKUP(D109,agemodels!$I$3:$N$135,4,0)</f>
        <v>13331.1</v>
      </c>
      <c r="F109" s="4">
        <f>VLOOKUP(D109,agemodels!$I$3:$N$265,6,0)</f>
        <v>279.79591836734676</v>
      </c>
      <c r="G109" t="s">
        <v>6</v>
      </c>
      <c r="H109" s="4">
        <v>14520</v>
      </c>
      <c r="I109" s="4">
        <v>60</v>
      </c>
      <c r="J109">
        <v>160499</v>
      </c>
      <c r="K109" s="10">
        <f t="shared" si="8"/>
        <v>-177.14546191780434</v>
      </c>
      <c r="L109" s="11">
        <f t="shared" si="9"/>
        <v>6.1690668368732418</v>
      </c>
    </row>
    <row r="110" spans="1:12" x14ac:dyDescent="0.2">
      <c r="A110" t="s">
        <v>18</v>
      </c>
      <c r="B110">
        <v>103</v>
      </c>
      <c r="C110">
        <v>105</v>
      </c>
      <c r="D110">
        <f t="shared" si="5"/>
        <v>104</v>
      </c>
      <c r="E110">
        <f>VLOOKUP(D110,agemodels!$I$3:$N$135,4,0)</f>
        <v>14377.2</v>
      </c>
      <c r="F110" s="4">
        <f>VLOOKUP(D110,agemodels!$I$3:$N$265,6,0)</f>
        <v>220.7908163265306</v>
      </c>
      <c r="G110" t="s">
        <v>6</v>
      </c>
      <c r="H110" s="4">
        <v>15683.333333333334</v>
      </c>
      <c r="I110" s="4">
        <v>48.333333333333336</v>
      </c>
      <c r="J110" t="s">
        <v>17</v>
      </c>
      <c r="K110" s="10">
        <f t="shared" si="8"/>
        <v>-192.05062290626697</v>
      </c>
      <c r="L110" s="11">
        <f t="shared" si="9"/>
        <v>4.8759621742220531</v>
      </c>
    </row>
    <row r="111" spans="1:12" x14ac:dyDescent="0.2">
      <c r="A111" t="s">
        <v>18</v>
      </c>
      <c r="B111">
        <v>121</v>
      </c>
      <c r="C111">
        <v>123</v>
      </c>
      <c r="D111">
        <f t="shared" si="5"/>
        <v>122</v>
      </c>
      <c r="E111">
        <f>VLOOKUP(D111,agemodels!$I$3:$N$135,4,0)</f>
        <v>15366.7</v>
      </c>
      <c r="F111" s="4">
        <f>VLOOKUP(D111,agemodels!$I$3:$N$265,6,0)</f>
        <v>169.61734693877588</v>
      </c>
      <c r="G111" t="s">
        <v>6</v>
      </c>
      <c r="H111" s="4">
        <v>16025</v>
      </c>
      <c r="I111" s="4">
        <v>40</v>
      </c>
      <c r="J111">
        <v>183760</v>
      </c>
      <c r="K111" s="10">
        <f t="shared" si="8"/>
        <v>-127.24116108887451</v>
      </c>
      <c r="L111" s="11">
        <f t="shared" si="9"/>
        <v>4.3567055089240796</v>
      </c>
    </row>
    <row r="112" spans="1:12" x14ac:dyDescent="0.2">
      <c r="A112" t="s">
        <v>18</v>
      </c>
      <c r="B112">
        <v>126</v>
      </c>
      <c r="C112">
        <v>128</v>
      </c>
      <c r="D112">
        <f t="shared" si="5"/>
        <v>127</v>
      </c>
      <c r="E112">
        <f>VLOOKUP(D112,agemodels!$I$3:$N$135,4,0)</f>
        <v>17425.3</v>
      </c>
      <c r="F112" s="4">
        <f>VLOOKUP(D112,agemodels!$I$3:$N$265,6,0)</f>
        <v>391.55612244897998</v>
      </c>
      <c r="G112" t="s">
        <v>6</v>
      </c>
      <c r="H112" s="4">
        <v>16570</v>
      </c>
      <c r="I112" s="4">
        <v>45</v>
      </c>
      <c r="J112">
        <v>183767</v>
      </c>
      <c r="K112" s="10">
        <f t="shared" si="8"/>
        <v>46.104231579401798</v>
      </c>
      <c r="L112" s="11">
        <f t="shared" si="9"/>
        <v>5.8766078235661396</v>
      </c>
    </row>
    <row r="113" spans="1:12" x14ac:dyDescent="0.2">
      <c r="A113" t="s">
        <v>18</v>
      </c>
      <c r="B113">
        <v>128</v>
      </c>
      <c r="C113">
        <v>130</v>
      </c>
      <c r="D113">
        <f t="shared" si="5"/>
        <v>129</v>
      </c>
      <c r="E113">
        <f>VLOOKUP(D113,agemodels!$I$3:$N$135,4,0)</f>
        <v>18235.400000000001</v>
      </c>
      <c r="F113" s="4">
        <f>VLOOKUP(D113,agemodels!$I$3:$N$265,6,0)</f>
        <v>234.87244897959204</v>
      </c>
      <c r="G113" t="s">
        <v>6</v>
      </c>
      <c r="H113" s="4">
        <v>16710</v>
      </c>
      <c r="I113" s="4">
        <v>45</v>
      </c>
      <c r="J113">
        <v>183769</v>
      </c>
      <c r="K113" s="10">
        <f t="shared" si="8"/>
        <v>133.87040317516897</v>
      </c>
      <c r="L113" s="11">
        <f t="shared" si="9"/>
        <v>6.3696441339775447</v>
      </c>
    </row>
    <row r="114" spans="1:12" x14ac:dyDescent="0.2">
      <c r="A114" t="s">
        <v>18</v>
      </c>
      <c r="B114">
        <v>130</v>
      </c>
      <c r="C114">
        <v>131</v>
      </c>
      <c r="D114">
        <f t="shared" si="5"/>
        <v>130.5</v>
      </c>
      <c r="E114">
        <f>VLOOKUP(D114,agemodels!$I$3:$N$135,4,0)</f>
        <v>18532.8</v>
      </c>
      <c r="F114" s="4">
        <f>VLOOKUP(D114,agemodels!$I$3:$N$265,6,0)</f>
        <v>174.77040816326493</v>
      </c>
      <c r="G114" t="s">
        <v>6</v>
      </c>
      <c r="H114" s="4">
        <v>16760</v>
      </c>
      <c r="I114" s="4">
        <v>40</v>
      </c>
      <c r="J114">
        <v>183768</v>
      </c>
      <c r="K114" s="10">
        <f t="shared" si="8"/>
        <v>168.10987036161728</v>
      </c>
      <c r="L114" s="11">
        <f t="shared" si="9"/>
        <v>5.8310617782828444</v>
      </c>
    </row>
    <row r="115" spans="1:12" x14ac:dyDescent="0.2">
      <c r="A115" t="s">
        <v>18</v>
      </c>
      <c r="B115">
        <v>131</v>
      </c>
      <c r="C115">
        <v>132.5</v>
      </c>
      <c r="D115">
        <f t="shared" si="5"/>
        <v>131.75</v>
      </c>
      <c r="E115">
        <f>VLOOKUP(C115,agemodels!$I$3:$N$135,4,0)</f>
        <v>18802.400000000001</v>
      </c>
      <c r="F115" s="4">
        <f>VLOOKUP(C115,agemodels!$I$3:$N$265,6,0)</f>
        <v>137.93367346938794</v>
      </c>
      <c r="G115" t="s">
        <v>6</v>
      </c>
      <c r="H115" s="4">
        <v>17230</v>
      </c>
      <c r="I115" s="4">
        <v>130</v>
      </c>
      <c r="J115">
        <v>177321</v>
      </c>
      <c r="K115" s="10">
        <f t="shared" si="8"/>
        <v>138.24759632678396</v>
      </c>
      <c r="L115" s="11">
        <f t="shared" si="9"/>
        <v>18.570398067616622</v>
      </c>
    </row>
    <row r="116" spans="1:12" x14ac:dyDescent="0.2">
      <c r="A116" t="s">
        <v>18</v>
      </c>
      <c r="B116">
        <v>132.5</v>
      </c>
      <c r="C116">
        <v>134</v>
      </c>
      <c r="D116">
        <f t="shared" si="5"/>
        <v>133.25</v>
      </c>
      <c r="E116">
        <f>VLOOKUP(C116,agemodels!$I$3:$N$135,4,0)</f>
        <v>19030.2</v>
      </c>
      <c r="F116" s="4">
        <f>VLOOKUP(C116,agemodels!$I$3:$N$265,6,0)</f>
        <v>99.948979591836547</v>
      </c>
      <c r="G116" t="s">
        <v>6</v>
      </c>
      <c r="H116" s="4">
        <v>17290</v>
      </c>
      <c r="I116" s="4">
        <v>45</v>
      </c>
      <c r="J116">
        <v>183761</v>
      </c>
      <c r="K116" s="10">
        <f t="shared" si="8"/>
        <v>161.34176940421872</v>
      </c>
      <c r="L116" s="11">
        <f t="shared" si="9"/>
        <v>6.5239676142126086</v>
      </c>
    </row>
    <row r="117" spans="1:12" x14ac:dyDescent="0.2">
      <c r="A117" t="s">
        <v>18</v>
      </c>
      <c r="B117">
        <v>7</v>
      </c>
      <c r="C117">
        <v>9</v>
      </c>
      <c r="D117">
        <f t="shared" si="5"/>
        <v>8</v>
      </c>
      <c r="E117">
        <v>1380</v>
      </c>
      <c r="F117" s="4">
        <v>100</v>
      </c>
      <c r="G117" t="s">
        <v>9</v>
      </c>
      <c r="H117" s="4">
        <v>1795</v>
      </c>
      <c r="I117" s="4">
        <v>35</v>
      </c>
      <c r="J117">
        <v>176298</v>
      </c>
      <c r="K117" s="10">
        <f t="shared" si="8"/>
        <v>-54.956671664432079</v>
      </c>
      <c r="L117" s="11">
        <f t="shared" si="9"/>
        <v>4.1265627910195306</v>
      </c>
    </row>
    <row r="118" spans="1:12" x14ac:dyDescent="0.2">
      <c r="A118" t="s">
        <v>18</v>
      </c>
      <c r="B118">
        <v>67</v>
      </c>
      <c r="C118">
        <v>69</v>
      </c>
      <c r="D118">
        <f t="shared" si="5"/>
        <v>68</v>
      </c>
      <c r="E118">
        <v>1456</v>
      </c>
      <c r="F118" s="4">
        <v>200</v>
      </c>
      <c r="G118" t="s">
        <v>9</v>
      </c>
      <c r="H118" s="4">
        <v>8875</v>
      </c>
      <c r="I118" s="4">
        <v>25</v>
      </c>
      <c r="J118">
        <v>160320</v>
      </c>
      <c r="K118" s="10">
        <f t="shared" si="8"/>
        <v>-604.9313361751382</v>
      </c>
      <c r="L118" s="11">
        <f t="shared" si="9"/>
        <v>1.2314330292894056</v>
      </c>
    </row>
    <row r="119" spans="1:12" x14ac:dyDescent="0.2">
      <c r="A119" t="s">
        <v>18</v>
      </c>
      <c r="B119">
        <v>71</v>
      </c>
      <c r="C119">
        <v>73</v>
      </c>
      <c r="D119">
        <f t="shared" si="5"/>
        <v>72</v>
      </c>
      <c r="E119">
        <f>VLOOKUP(D119,agemodels!$I$3:$N$135,4,0)</f>
        <v>12706.8</v>
      </c>
      <c r="F119" s="4">
        <f>VLOOKUP(D119,agemodels!$I$3:$N$265,6,0)</f>
        <v>310.51020408163237</v>
      </c>
      <c r="G119" t="s">
        <v>9</v>
      </c>
      <c r="H119" s="4">
        <v>13165</v>
      </c>
      <c r="I119" s="4">
        <v>35</v>
      </c>
      <c r="J119">
        <v>160294</v>
      </c>
      <c r="K119" s="10">
        <f t="shared" si="8"/>
        <v>-96.802250472887593</v>
      </c>
      <c r="L119" s="11">
        <f t="shared" si="9"/>
        <v>3.943842694170911</v>
      </c>
    </row>
    <row r="120" spans="1:12" x14ac:dyDescent="0.2">
      <c r="A120" t="s">
        <v>18</v>
      </c>
      <c r="B120">
        <v>76</v>
      </c>
      <c r="C120">
        <v>78</v>
      </c>
      <c r="D120">
        <f t="shared" si="5"/>
        <v>77</v>
      </c>
      <c r="E120">
        <f>VLOOKUP(D120,agemodels!$I$3:$N$135,4,0)</f>
        <v>12969.1</v>
      </c>
      <c r="F120" s="4">
        <f>VLOOKUP(D120,agemodels!$I$3:$N$265,6,0)</f>
        <v>295.9948979591835</v>
      </c>
      <c r="G120" t="s">
        <v>9</v>
      </c>
      <c r="H120" s="4">
        <v>15020</v>
      </c>
      <c r="I120" s="4">
        <v>40</v>
      </c>
      <c r="J120">
        <v>160302</v>
      </c>
      <c r="K120" s="10">
        <f t="shared" si="8"/>
        <v>-259.92788394094089</v>
      </c>
      <c r="L120" s="11">
        <f t="shared" si="9"/>
        <v>3.6943495972588494</v>
      </c>
    </row>
    <row r="121" spans="1:12" x14ac:dyDescent="0.2">
      <c r="A121" t="s">
        <v>18</v>
      </c>
      <c r="B121">
        <v>83</v>
      </c>
      <c r="C121">
        <v>85</v>
      </c>
      <c r="D121">
        <f t="shared" si="5"/>
        <v>84</v>
      </c>
      <c r="E121">
        <f>VLOOKUP(D121,agemodels!$I$3:$N$135,4,0)</f>
        <v>13331.1</v>
      </c>
      <c r="F121" s="4">
        <f>VLOOKUP(D121,agemodels!$I$3:$N$265,6,0)</f>
        <v>279.79591836734676</v>
      </c>
      <c r="G121" t="s">
        <v>9</v>
      </c>
      <c r="H121" s="4">
        <v>14360</v>
      </c>
      <c r="I121" s="4">
        <v>60</v>
      </c>
      <c r="J121">
        <v>160497</v>
      </c>
      <c r="K121" s="10">
        <f t="shared" si="8"/>
        <v>-160.59166713453843</v>
      </c>
      <c r="L121" s="11">
        <f t="shared" si="9"/>
        <v>6.2931731785115232</v>
      </c>
    </row>
    <row r="122" spans="1:12" x14ac:dyDescent="0.2">
      <c r="A122" t="s">
        <v>18</v>
      </c>
      <c r="B122">
        <v>103</v>
      </c>
      <c r="C122">
        <v>105</v>
      </c>
      <c r="D122">
        <f t="shared" si="5"/>
        <v>104</v>
      </c>
      <c r="E122">
        <f>VLOOKUP(D122,agemodels!$I$3:$N$135,4,0)</f>
        <v>14377.2</v>
      </c>
      <c r="F122" s="4">
        <f>VLOOKUP(D122,agemodels!$I$3:$N$265,6,0)</f>
        <v>220.7908163265306</v>
      </c>
      <c r="G122" t="s">
        <v>9</v>
      </c>
      <c r="H122" s="4">
        <v>15695</v>
      </c>
      <c r="I122" s="4">
        <v>50</v>
      </c>
      <c r="J122">
        <v>160488</v>
      </c>
      <c r="K122" s="10">
        <f t="shared" si="8"/>
        <v>-193.22319036967539</v>
      </c>
      <c r="L122" s="11">
        <f t="shared" si="9"/>
        <v>5.037301428667547</v>
      </c>
    </row>
    <row r="123" spans="1:12" x14ac:dyDescent="0.2">
      <c r="A123" t="s">
        <v>18</v>
      </c>
      <c r="B123">
        <v>121</v>
      </c>
      <c r="C123">
        <v>123</v>
      </c>
      <c r="D123">
        <f t="shared" si="5"/>
        <v>122</v>
      </c>
      <c r="E123">
        <f>VLOOKUP(D123,agemodels!$I$3:$N$135,4,0)</f>
        <v>15366.7</v>
      </c>
      <c r="F123" s="4">
        <f>VLOOKUP(D123,agemodels!$I$3:$N$265,6,0)</f>
        <v>169.61734693877588</v>
      </c>
      <c r="G123" t="s">
        <v>9</v>
      </c>
      <c r="H123" s="4">
        <v>15595</v>
      </c>
      <c r="I123" s="4">
        <v>35</v>
      </c>
      <c r="J123">
        <v>183759</v>
      </c>
      <c r="K123" s="10">
        <f t="shared" si="8"/>
        <v>-79.2500825483623</v>
      </c>
      <c r="L123" s="11">
        <f t="shared" si="9"/>
        <v>4.0204848129894515</v>
      </c>
    </row>
    <row r="124" spans="1:12" x14ac:dyDescent="0.2">
      <c r="A124" t="s">
        <v>18</v>
      </c>
      <c r="B124">
        <v>126</v>
      </c>
      <c r="C124">
        <v>128</v>
      </c>
      <c r="D124">
        <f t="shared" si="5"/>
        <v>127</v>
      </c>
      <c r="E124">
        <f>VLOOKUP(D124,agemodels!$I$3:$N$135,4,0)</f>
        <v>17425.3</v>
      </c>
      <c r="F124" s="4">
        <f>VLOOKUP(D124,agemodels!$I$3:$N$265,6,0)</f>
        <v>391.55612244897998</v>
      </c>
      <c r="G124" t="s">
        <v>9</v>
      </c>
      <c r="H124" s="4">
        <v>16980</v>
      </c>
      <c r="I124" s="4">
        <v>40</v>
      </c>
      <c r="J124">
        <v>183770</v>
      </c>
      <c r="K124" s="10">
        <f t="shared" si="8"/>
        <v>-5.9486898202444349</v>
      </c>
      <c r="L124" s="11">
        <f t="shared" si="9"/>
        <v>4.9621827085898351</v>
      </c>
    </row>
    <row r="125" spans="1:12" x14ac:dyDescent="0.2">
      <c r="A125" t="s">
        <v>18</v>
      </c>
      <c r="B125">
        <v>128</v>
      </c>
      <c r="C125">
        <v>130</v>
      </c>
      <c r="D125">
        <f t="shared" si="5"/>
        <v>129</v>
      </c>
      <c r="E125">
        <f>VLOOKUP(D125,agemodels!$I$3:$N$135,4,0)</f>
        <v>18235.400000000001</v>
      </c>
      <c r="F125" s="4">
        <f>VLOOKUP(D125,agemodels!$I$3:$N$265,6,0)</f>
        <v>234.87244897959204</v>
      </c>
      <c r="G125" t="s">
        <v>9</v>
      </c>
      <c r="H125" s="4">
        <v>16960</v>
      </c>
      <c r="I125" s="4">
        <v>40</v>
      </c>
      <c r="J125">
        <v>183772</v>
      </c>
      <c r="K125" s="10">
        <f t="shared" si="8"/>
        <v>99.125971450581886</v>
      </c>
      <c r="L125" s="11">
        <f t="shared" si="9"/>
        <v>5.4867025818894319</v>
      </c>
    </row>
    <row r="126" spans="1:12" x14ac:dyDescent="0.2">
      <c r="A126" t="s">
        <v>18</v>
      </c>
      <c r="B126">
        <v>130</v>
      </c>
      <c r="C126">
        <v>131</v>
      </c>
      <c r="D126">
        <f t="shared" si="5"/>
        <v>130.5</v>
      </c>
      <c r="E126">
        <f>VLOOKUP(D126,agemodels!$I$3:$N$135,4,0)</f>
        <v>18532.8</v>
      </c>
      <c r="F126" s="4">
        <f>VLOOKUP(D126,agemodels!$I$3:$N$265,6,0)</f>
        <v>174.77040816326493</v>
      </c>
      <c r="G126" t="s">
        <v>9</v>
      </c>
      <c r="H126" s="4">
        <v>17295</v>
      </c>
      <c r="I126" s="4">
        <v>45</v>
      </c>
      <c r="J126">
        <v>183774</v>
      </c>
      <c r="K126" s="10">
        <f t="shared" si="8"/>
        <v>92.84749780048341</v>
      </c>
      <c r="L126" s="11">
        <f t="shared" si="9"/>
        <v>6.1391933630197002</v>
      </c>
    </row>
    <row r="127" spans="1:12" x14ac:dyDescent="0.2">
      <c r="A127" t="s">
        <v>18</v>
      </c>
      <c r="B127">
        <v>131</v>
      </c>
      <c r="C127">
        <v>132.5</v>
      </c>
      <c r="D127">
        <f t="shared" si="5"/>
        <v>131.75</v>
      </c>
      <c r="E127">
        <f>VLOOKUP(C127,agemodels!$I$3:$N$135,4,0)</f>
        <v>18802.400000000001</v>
      </c>
      <c r="F127" s="4">
        <f>VLOOKUP(C127,agemodels!$I$3:$N$265,6,0)</f>
        <v>137.93367346938794</v>
      </c>
      <c r="G127" t="s">
        <v>9</v>
      </c>
      <c r="H127" s="4">
        <v>17620</v>
      </c>
      <c r="I127" s="4">
        <v>70</v>
      </c>
      <c r="J127">
        <v>177320</v>
      </c>
      <c r="K127" s="10">
        <f t="shared" si="8"/>
        <v>84.306000157115875</v>
      </c>
      <c r="L127" s="11">
        <f t="shared" si="9"/>
        <v>9.4899896994993185</v>
      </c>
    </row>
    <row r="128" spans="1:12" x14ac:dyDescent="0.2">
      <c r="A128" s="8" t="s">
        <v>18</v>
      </c>
      <c r="B128" s="8">
        <v>121</v>
      </c>
      <c r="C128" s="8">
        <v>123</v>
      </c>
      <c r="D128" s="8">
        <f t="shared" si="5"/>
        <v>122</v>
      </c>
      <c r="E128" s="8">
        <f>VLOOKUP(D128,agemodels!$I$3:$N$135,4,0)</f>
        <v>15366.7</v>
      </c>
      <c r="F128" s="9">
        <f>VLOOKUP(D128,agemodels!$I$3:$N$265,6,0)</f>
        <v>169.61734693877588</v>
      </c>
      <c r="G128" s="8" t="s">
        <v>14</v>
      </c>
      <c r="H128" s="9">
        <v>12860</v>
      </c>
      <c r="I128" s="9">
        <v>30</v>
      </c>
      <c r="J128" s="8">
        <v>183780</v>
      </c>
      <c r="K128" s="10">
        <f t="shared" si="8"/>
        <v>294.21423885762385</v>
      </c>
      <c r="L128" s="11">
        <f t="shared" si="9"/>
        <v>4.8424023390763296</v>
      </c>
    </row>
    <row r="129" spans="1:12" x14ac:dyDescent="0.2">
      <c r="A129" s="8" t="s">
        <v>18</v>
      </c>
      <c r="B129" s="8">
        <v>126</v>
      </c>
      <c r="C129" s="8">
        <v>128</v>
      </c>
      <c r="D129" s="8">
        <f t="shared" si="5"/>
        <v>127</v>
      </c>
      <c r="E129" s="8">
        <f>VLOOKUP(D129,agemodels!$I$3:$N$135,4,0)</f>
        <v>17425.3</v>
      </c>
      <c r="F129" s="9">
        <f>VLOOKUP(D129,agemodels!$I$3:$N$265,6,0)</f>
        <v>391.55612244897998</v>
      </c>
      <c r="G129" s="8" t="s">
        <v>14</v>
      </c>
      <c r="H129" s="9">
        <v>15067.5</v>
      </c>
      <c r="I129" s="9">
        <v>37.5</v>
      </c>
      <c r="J129" s="8" t="s">
        <v>29</v>
      </c>
      <c r="K129" s="10">
        <f t="shared" si="8"/>
        <v>261.2634599177386</v>
      </c>
      <c r="L129" s="11">
        <f t="shared" si="9"/>
        <v>5.9016493935359904</v>
      </c>
    </row>
    <row r="130" spans="1:12" x14ac:dyDescent="0.2">
      <c r="A130" s="8" t="s">
        <v>18</v>
      </c>
      <c r="B130" s="8">
        <v>128</v>
      </c>
      <c r="C130" s="8">
        <v>130</v>
      </c>
      <c r="D130" s="8">
        <f t="shared" si="5"/>
        <v>129</v>
      </c>
      <c r="E130" s="8">
        <f>VLOOKUP(D130,agemodels!$I$3:$N$135,4,0)</f>
        <v>18235.400000000001</v>
      </c>
      <c r="F130" s="9">
        <f>VLOOKUP(D130,agemodels!$I$3:$N$265,6,0)</f>
        <v>234.87244897959204</v>
      </c>
      <c r="G130" s="8" t="s">
        <v>14</v>
      </c>
      <c r="H130" s="9">
        <v>15055</v>
      </c>
      <c r="I130" s="9">
        <v>30</v>
      </c>
      <c r="J130" s="8">
        <v>183783</v>
      </c>
      <c r="K130" s="10">
        <f t="shared" si="8"/>
        <v>393.28192622221138</v>
      </c>
      <c r="L130" s="11">
        <f t="shared" si="9"/>
        <v>5.2130717279748069</v>
      </c>
    </row>
    <row r="131" spans="1:12" x14ac:dyDescent="0.2">
      <c r="A131" s="8" t="s">
        <v>18</v>
      </c>
      <c r="B131" s="8">
        <v>131</v>
      </c>
      <c r="C131" s="8">
        <v>132.5</v>
      </c>
      <c r="D131" s="8">
        <f t="shared" si="5"/>
        <v>131.75</v>
      </c>
      <c r="E131" s="8">
        <f>VLOOKUP(C131,agemodels!$I$3:$N$135,4,0)</f>
        <v>18802.400000000001</v>
      </c>
      <c r="F131" s="9">
        <f>VLOOKUP(C131,agemodels!$I$3:$N$265,6,0)</f>
        <v>137.93367346938794</v>
      </c>
      <c r="G131" s="8" t="s">
        <v>14</v>
      </c>
      <c r="H131" s="9">
        <v>15100</v>
      </c>
      <c r="I131" s="9">
        <v>230</v>
      </c>
      <c r="J131" s="8">
        <v>176754</v>
      </c>
      <c r="K131" s="10">
        <f t="shared" si="8"/>
        <v>483.85898115278491</v>
      </c>
      <c r="L131" s="11">
        <f t="shared" si="9"/>
        <v>43.099761781896007</v>
      </c>
    </row>
    <row r="132" spans="1:12" x14ac:dyDescent="0.2">
      <c r="A132" s="8" t="s">
        <v>18</v>
      </c>
      <c r="B132" s="8">
        <v>132.5</v>
      </c>
      <c r="C132" s="8">
        <v>134</v>
      </c>
      <c r="D132" s="8">
        <f t="shared" si="5"/>
        <v>133.25</v>
      </c>
      <c r="E132" s="8">
        <f>VLOOKUP(C132,agemodels!$I$3:$N$135,4,0)</f>
        <v>19030.2</v>
      </c>
      <c r="F132" s="9">
        <f>VLOOKUP(C132,agemodels!$I$3:$N$265,6,0)</f>
        <v>99.948979591836547</v>
      </c>
      <c r="G132" s="8" t="s">
        <v>14</v>
      </c>
      <c r="H132" s="9">
        <v>15605</v>
      </c>
      <c r="I132" s="9">
        <v>45</v>
      </c>
      <c r="J132" s="8">
        <v>177380</v>
      </c>
      <c r="K132" s="10">
        <f t="shared" si="8"/>
        <v>432.37767814944107</v>
      </c>
      <c r="L132" s="11">
        <f t="shared" si="9"/>
        <v>8.0465422236224526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094-7CC8-4E43-A025-F399C241FE61}">
  <dimension ref="A1:N265"/>
  <sheetViews>
    <sheetView workbookViewId="0">
      <selection activeCell="I133" sqref="I133"/>
    </sheetView>
  </sheetViews>
  <sheetFormatPr baseColWidth="10" defaultRowHeight="16" x14ac:dyDescent="0.2"/>
  <sheetData>
    <row r="1" spans="1:14" x14ac:dyDescent="0.2">
      <c r="A1" s="1" t="s">
        <v>22</v>
      </c>
      <c r="B1" s="1"/>
      <c r="C1" s="1"/>
      <c r="D1" s="1"/>
      <c r="E1" s="1"/>
      <c r="F1" s="1"/>
      <c r="I1" t="s">
        <v>18</v>
      </c>
    </row>
    <row r="2" spans="1:14" x14ac:dyDescent="0.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2" t="s">
        <v>28</v>
      </c>
      <c r="G2" s="2" t="s">
        <v>28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2">
      <c r="A3" s="5">
        <v>0</v>
      </c>
      <c r="B3" s="1">
        <v>-977.6</v>
      </c>
      <c r="C3" s="1">
        <v>4071.6</v>
      </c>
      <c r="D3" s="1">
        <v>234.4</v>
      </c>
      <c r="E3" s="1">
        <v>550.29999999999995</v>
      </c>
      <c r="F3" s="2">
        <f>(C3-B3)/(2*1.96)</f>
        <v>1288.0612244897959</v>
      </c>
      <c r="G3" s="2">
        <f>ABS(E3-C3)/1.96</f>
        <v>1796.5816326530614</v>
      </c>
      <c r="I3">
        <v>70</v>
      </c>
      <c r="J3">
        <v>11951.8</v>
      </c>
      <c r="K3">
        <v>13188.8</v>
      </c>
      <c r="L3">
        <v>12607.8</v>
      </c>
      <c r="M3">
        <v>12603.4</v>
      </c>
      <c r="N3" s="2">
        <f>(K3-J3)/(2*1.96)</f>
        <v>315.5612244897959</v>
      </c>
    </row>
    <row r="4" spans="1:14" x14ac:dyDescent="0.2">
      <c r="A4" s="5">
        <v>0.5</v>
      </c>
      <c r="B4" s="1">
        <v>-919.8</v>
      </c>
      <c r="C4" s="1">
        <v>4143.8999999999996</v>
      </c>
      <c r="D4" s="1">
        <v>311.3</v>
      </c>
      <c r="E4" s="1">
        <v>631.29999999999995</v>
      </c>
      <c r="F4" s="2">
        <f t="shared" ref="F4:F67" si="0">(C4-B4)/(2*1.96)</f>
        <v>1291.7602040816325</v>
      </c>
      <c r="G4" s="2">
        <f t="shared" ref="G4:G67" si="1">ABS(E4-C4)/1.96</f>
        <v>1792.1428571428569</v>
      </c>
      <c r="I4">
        <v>70.5</v>
      </c>
      <c r="J4">
        <v>11982.9</v>
      </c>
      <c r="K4">
        <v>13209.9</v>
      </c>
      <c r="L4">
        <v>12633.8</v>
      </c>
      <c r="M4">
        <v>12628.7</v>
      </c>
      <c r="N4" s="2">
        <f t="shared" ref="N4:N67" si="2">(K4-J4)/(2*1.96)</f>
        <v>313.01020408163265</v>
      </c>
    </row>
    <row r="5" spans="1:14" x14ac:dyDescent="0.2">
      <c r="A5" s="5">
        <v>1</v>
      </c>
      <c r="B5" s="1">
        <v>-874.6</v>
      </c>
      <c r="C5" s="1">
        <v>4224.2</v>
      </c>
      <c r="D5" s="1">
        <v>405.1</v>
      </c>
      <c r="E5" s="1">
        <v>726.6</v>
      </c>
      <c r="F5" s="2">
        <f t="shared" si="0"/>
        <v>1300.7142857142858</v>
      </c>
      <c r="G5" s="2">
        <f t="shared" si="1"/>
        <v>1784.4897959183672</v>
      </c>
      <c r="I5">
        <v>71</v>
      </c>
      <c r="J5">
        <v>12008.4</v>
      </c>
      <c r="K5">
        <v>13232.4</v>
      </c>
      <c r="L5">
        <v>12658.6</v>
      </c>
      <c r="M5">
        <v>12653.6</v>
      </c>
      <c r="N5" s="2">
        <f t="shared" si="2"/>
        <v>312.24489795918367</v>
      </c>
    </row>
    <row r="6" spans="1:14" x14ac:dyDescent="0.2">
      <c r="A6" s="5">
        <v>1.5</v>
      </c>
      <c r="B6" s="1">
        <v>-794.5</v>
      </c>
      <c r="C6" s="1">
        <v>4306.8</v>
      </c>
      <c r="D6" s="1">
        <v>496.9</v>
      </c>
      <c r="E6" s="1">
        <v>822.4</v>
      </c>
      <c r="F6" s="2">
        <f t="shared" si="0"/>
        <v>1301.3520408163265</v>
      </c>
      <c r="G6" s="2">
        <f t="shared" si="1"/>
        <v>1777.7551020408164</v>
      </c>
      <c r="I6">
        <v>71.5</v>
      </c>
      <c r="J6">
        <v>12037.8</v>
      </c>
      <c r="K6">
        <v>13255.9</v>
      </c>
      <c r="L6">
        <v>12682.8</v>
      </c>
      <c r="M6">
        <v>12678.5</v>
      </c>
      <c r="N6" s="2">
        <f t="shared" si="2"/>
        <v>310.73979591836746</v>
      </c>
    </row>
    <row r="7" spans="1:14" x14ac:dyDescent="0.2">
      <c r="A7" s="5">
        <v>2</v>
      </c>
      <c r="B7" s="1">
        <v>-744.2</v>
      </c>
      <c r="C7" s="1">
        <v>4389.8</v>
      </c>
      <c r="D7" s="1">
        <v>593.5</v>
      </c>
      <c r="E7" s="1">
        <v>918</v>
      </c>
      <c r="F7" s="2">
        <f t="shared" si="0"/>
        <v>1309.6938775510205</v>
      </c>
      <c r="G7" s="2">
        <f t="shared" si="1"/>
        <v>1771.3265306122451</v>
      </c>
      <c r="I7">
        <v>72</v>
      </c>
      <c r="J7">
        <v>12062.7</v>
      </c>
      <c r="K7">
        <v>13279.9</v>
      </c>
      <c r="L7">
        <v>12706.8</v>
      </c>
      <c r="M7">
        <v>12703.1</v>
      </c>
      <c r="N7" s="2">
        <f t="shared" si="2"/>
        <v>310.51020408163237</v>
      </c>
    </row>
    <row r="8" spans="1:14" x14ac:dyDescent="0.2">
      <c r="A8" s="5">
        <v>2.5</v>
      </c>
      <c r="B8" s="1">
        <v>-661.7</v>
      </c>
      <c r="C8" s="1">
        <v>4469.3999999999996</v>
      </c>
      <c r="D8" s="1">
        <v>688.9</v>
      </c>
      <c r="E8" s="1">
        <v>1005.2</v>
      </c>
      <c r="F8" s="2">
        <f t="shared" si="0"/>
        <v>1308.954081632653</v>
      </c>
      <c r="G8" s="2">
        <f t="shared" si="1"/>
        <v>1767.4489795918366</v>
      </c>
      <c r="I8">
        <v>72.5</v>
      </c>
      <c r="J8">
        <v>12096.7</v>
      </c>
      <c r="K8">
        <v>13304.6</v>
      </c>
      <c r="L8">
        <v>12734.6</v>
      </c>
      <c r="M8">
        <v>12729.9</v>
      </c>
      <c r="N8" s="2">
        <f t="shared" si="2"/>
        <v>308.13775510204073</v>
      </c>
    </row>
    <row r="9" spans="1:14" x14ac:dyDescent="0.2">
      <c r="A9" s="5">
        <v>3</v>
      </c>
      <c r="B9" s="1">
        <v>-603</v>
      </c>
      <c r="C9" s="1">
        <v>4541.3</v>
      </c>
      <c r="D9" s="1">
        <v>784.9</v>
      </c>
      <c r="E9" s="1">
        <v>1092.5</v>
      </c>
      <c r="F9" s="2">
        <f t="shared" si="0"/>
        <v>1312.3214285714287</v>
      </c>
      <c r="G9" s="2">
        <f t="shared" si="1"/>
        <v>1759.591836734694</v>
      </c>
      <c r="I9">
        <v>73</v>
      </c>
      <c r="J9">
        <v>12124.7</v>
      </c>
      <c r="K9">
        <v>13332.6</v>
      </c>
      <c r="L9">
        <v>12762</v>
      </c>
      <c r="M9">
        <v>12756.6</v>
      </c>
      <c r="N9" s="2">
        <f t="shared" si="2"/>
        <v>308.13775510204073</v>
      </c>
    </row>
    <row r="10" spans="1:14" x14ac:dyDescent="0.2">
      <c r="A10" s="5">
        <v>3.5</v>
      </c>
      <c r="B10" s="1">
        <v>-526.70000000000005</v>
      </c>
      <c r="C10" s="1">
        <v>4607.7</v>
      </c>
      <c r="D10" s="1">
        <v>880.1</v>
      </c>
      <c r="E10" s="1">
        <v>1176.2</v>
      </c>
      <c r="F10" s="2">
        <f t="shared" si="0"/>
        <v>1309.7959183673468</v>
      </c>
      <c r="G10" s="2">
        <f t="shared" si="1"/>
        <v>1750.7653061224489</v>
      </c>
      <c r="I10">
        <v>73.5</v>
      </c>
      <c r="J10">
        <v>12146.7</v>
      </c>
      <c r="K10">
        <v>13354.6</v>
      </c>
      <c r="L10">
        <v>12786</v>
      </c>
      <c r="M10">
        <v>12781.3</v>
      </c>
      <c r="N10" s="2">
        <f t="shared" si="2"/>
        <v>308.13775510204073</v>
      </c>
    </row>
    <row r="11" spans="1:14" x14ac:dyDescent="0.2">
      <c r="A11" s="5">
        <v>4</v>
      </c>
      <c r="B11" s="1">
        <v>-460.6</v>
      </c>
      <c r="C11" s="1">
        <v>4667.2</v>
      </c>
      <c r="D11" s="1">
        <v>970.2</v>
      </c>
      <c r="E11" s="1">
        <v>1260.5</v>
      </c>
      <c r="F11" s="2">
        <f t="shared" si="0"/>
        <v>1308.1122448979593</v>
      </c>
      <c r="G11" s="2">
        <f t="shared" si="1"/>
        <v>1738.112244897959</v>
      </c>
      <c r="I11">
        <v>74</v>
      </c>
      <c r="J11">
        <v>12172.6</v>
      </c>
      <c r="K11">
        <v>13378.5</v>
      </c>
      <c r="L11">
        <v>12813</v>
      </c>
      <c r="M11">
        <v>12808.3</v>
      </c>
      <c r="N11" s="2">
        <f t="shared" si="2"/>
        <v>307.62755102040808</v>
      </c>
    </row>
    <row r="12" spans="1:14" x14ac:dyDescent="0.2">
      <c r="A12" s="5">
        <v>4.5</v>
      </c>
      <c r="B12" s="1">
        <v>-382.2</v>
      </c>
      <c r="C12" s="1">
        <v>4715.1000000000004</v>
      </c>
      <c r="D12" s="1">
        <v>1049.5</v>
      </c>
      <c r="E12" s="1">
        <v>1336.8</v>
      </c>
      <c r="F12" s="2">
        <f t="shared" si="0"/>
        <v>1300.3316326530612</v>
      </c>
      <c r="G12" s="2">
        <f t="shared" si="1"/>
        <v>1723.622448979592</v>
      </c>
      <c r="I12">
        <v>74.5</v>
      </c>
      <c r="J12">
        <v>12205</v>
      </c>
      <c r="K12">
        <v>13398.1</v>
      </c>
      <c r="L12">
        <v>12838</v>
      </c>
      <c r="M12">
        <v>12833.8</v>
      </c>
      <c r="N12" s="2">
        <f t="shared" si="2"/>
        <v>304.36224489795927</v>
      </c>
    </row>
    <row r="13" spans="1:14" x14ac:dyDescent="0.2">
      <c r="A13" s="5">
        <v>5</v>
      </c>
      <c r="B13" s="1">
        <v>-319.7</v>
      </c>
      <c r="C13" s="1">
        <v>4780.3</v>
      </c>
      <c r="D13" s="1">
        <v>1127.7</v>
      </c>
      <c r="E13" s="1">
        <v>1413.1</v>
      </c>
      <c r="F13" s="2">
        <f t="shared" si="0"/>
        <v>1301.0204081632653</v>
      </c>
      <c r="G13" s="2">
        <f t="shared" si="1"/>
        <v>1717.9591836734696</v>
      </c>
      <c r="I13">
        <v>75</v>
      </c>
      <c r="J13">
        <v>12230.7</v>
      </c>
      <c r="K13">
        <v>13423.6</v>
      </c>
      <c r="L13">
        <v>12864.7</v>
      </c>
      <c r="M13">
        <v>12859.8</v>
      </c>
      <c r="N13" s="2">
        <f t="shared" si="2"/>
        <v>304.31122448979585</v>
      </c>
    </row>
    <row r="14" spans="1:14" x14ac:dyDescent="0.2">
      <c r="A14" s="5">
        <v>5.5</v>
      </c>
      <c r="B14" s="1">
        <v>-239</v>
      </c>
      <c r="C14" s="1">
        <v>4845</v>
      </c>
      <c r="D14" s="1">
        <v>1209.3</v>
      </c>
      <c r="E14" s="1">
        <v>1490.7</v>
      </c>
      <c r="F14" s="2">
        <f t="shared" si="0"/>
        <v>1296.9387755102041</v>
      </c>
      <c r="G14" s="2">
        <f t="shared" si="1"/>
        <v>1711.3775510204082</v>
      </c>
      <c r="I14">
        <v>75.5</v>
      </c>
      <c r="J14">
        <v>12263.6</v>
      </c>
      <c r="K14">
        <v>13445.7</v>
      </c>
      <c r="L14">
        <v>12890.1</v>
      </c>
      <c r="M14">
        <v>12885.6</v>
      </c>
      <c r="N14" s="2">
        <f t="shared" si="2"/>
        <v>301.55612244897969</v>
      </c>
    </row>
    <row r="15" spans="1:14" x14ac:dyDescent="0.2">
      <c r="A15" s="5">
        <v>6</v>
      </c>
      <c r="B15" s="1">
        <v>-175.2</v>
      </c>
      <c r="C15" s="1">
        <v>4921</v>
      </c>
      <c r="D15" s="1">
        <v>1291.2</v>
      </c>
      <c r="E15" s="1">
        <v>1569.7</v>
      </c>
      <c r="F15" s="2">
        <f t="shared" si="0"/>
        <v>1300.0510204081631</v>
      </c>
      <c r="G15" s="2">
        <f t="shared" si="1"/>
        <v>1709.8469387755104</v>
      </c>
      <c r="I15">
        <v>76</v>
      </c>
      <c r="J15">
        <v>12291.4</v>
      </c>
      <c r="K15">
        <v>13468.7</v>
      </c>
      <c r="L15">
        <v>12916.4</v>
      </c>
      <c r="M15">
        <v>12911.2</v>
      </c>
      <c r="N15" s="2">
        <f t="shared" si="2"/>
        <v>300.33163265306149</v>
      </c>
    </row>
    <row r="16" spans="1:14" x14ac:dyDescent="0.2">
      <c r="A16" s="5">
        <v>6.5</v>
      </c>
      <c r="B16" s="1">
        <v>-102.4</v>
      </c>
      <c r="C16" s="1">
        <v>4992.8</v>
      </c>
      <c r="D16" s="1">
        <v>1367.6</v>
      </c>
      <c r="E16" s="1">
        <v>1648.6</v>
      </c>
      <c r="F16" s="2">
        <f t="shared" si="0"/>
        <v>1299.795918367347</v>
      </c>
      <c r="G16" s="2">
        <f t="shared" si="1"/>
        <v>1706.2244897959185</v>
      </c>
      <c r="I16">
        <v>76.5</v>
      </c>
      <c r="J16">
        <v>12324.5</v>
      </c>
      <c r="K16">
        <v>13490.2</v>
      </c>
      <c r="L16">
        <v>12941.4</v>
      </c>
      <c r="M16">
        <v>12937.6</v>
      </c>
      <c r="N16" s="2">
        <f t="shared" si="2"/>
        <v>297.37244897959204</v>
      </c>
    </row>
    <row r="17" spans="1:14" x14ac:dyDescent="0.2">
      <c r="A17" s="5">
        <v>7</v>
      </c>
      <c r="B17" s="1">
        <v>-42.3</v>
      </c>
      <c r="C17" s="1">
        <v>5055.2</v>
      </c>
      <c r="D17" s="1">
        <v>1452.5</v>
      </c>
      <c r="E17" s="1">
        <v>1730.5</v>
      </c>
      <c r="F17" s="2">
        <f t="shared" si="0"/>
        <v>1300.3826530612246</v>
      </c>
      <c r="G17" s="2">
        <f t="shared" si="1"/>
        <v>1696.2755102040817</v>
      </c>
      <c r="I17">
        <v>77</v>
      </c>
      <c r="J17">
        <v>12352.5</v>
      </c>
      <c r="K17">
        <v>13512.8</v>
      </c>
      <c r="L17">
        <v>12969.1</v>
      </c>
      <c r="M17">
        <v>12963.7</v>
      </c>
      <c r="N17" s="2">
        <f t="shared" si="2"/>
        <v>295.9948979591835</v>
      </c>
    </row>
    <row r="18" spans="1:14" x14ac:dyDescent="0.2">
      <c r="A18" s="5">
        <v>7.5</v>
      </c>
      <c r="B18" s="1">
        <v>41.9</v>
      </c>
      <c r="C18" s="1">
        <v>5121.3999999999996</v>
      </c>
      <c r="D18" s="1">
        <v>1534.1</v>
      </c>
      <c r="E18" s="1">
        <v>1810.8</v>
      </c>
      <c r="F18" s="2">
        <f t="shared" si="0"/>
        <v>1295.7908163265306</v>
      </c>
      <c r="G18" s="2">
        <f t="shared" si="1"/>
        <v>1689.081632653061</v>
      </c>
      <c r="I18">
        <v>77.5</v>
      </c>
      <c r="J18">
        <v>12382.4</v>
      </c>
      <c r="K18">
        <v>13532.6</v>
      </c>
      <c r="L18">
        <v>12994.1</v>
      </c>
      <c r="M18">
        <v>12989.4</v>
      </c>
      <c r="N18" s="2">
        <f t="shared" si="2"/>
        <v>293.41836734693896</v>
      </c>
    </row>
    <row r="19" spans="1:14" x14ac:dyDescent="0.2">
      <c r="A19" s="5">
        <v>8</v>
      </c>
      <c r="B19" s="1">
        <v>110.6</v>
      </c>
      <c r="C19" s="1">
        <v>5176.3</v>
      </c>
      <c r="D19" s="1">
        <v>1614.1</v>
      </c>
      <c r="E19" s="1">
        <v>1890.5</v>
      </c>
      <c r="F19" s="2">
        <f t="shared" si="0"/>
        <v>1292.2704081632653</v>
      </c>
      <c r="G19" s="2">
        <f t="shared" si="1"/>
        <v>1676.4285714285716</v>
      </c>
      <c r="I19">
        <v>78</v>
      </c>
      <c r="J19">
        <v>12407.1</v>
      </c>
      <c r="K19">
        <v>13558.6</v>
      </c>
      <c r="L19">
        <v>13019.4</v>
      </c>
      <c r="M19">
        <v>13015.5</v>
      </c>
      <c r="N19" s="2">
        <f t="shared" si="2"/>
        <v>293.75</v>
      </c>
    </row>
    <row r="20" spans="1:14" x14ac:dyDescent="0.2">
      <c r="A20" s="5">
        <v>8.5</v>
      </c>
      <c r="B20" s="1">
        <v>191</v>
      </c>
      <c r="C20" s="1">
        <v>5242.5</v>
      </c>
      <c r="D20" s="1">
        <v>1696.7</v>
      </c>
      <c r="E20" s="1">
        <v>1970</v>
      </c>
      <c r="F20" s="2">
        <f t="shared" si="0"/>
        <v>1288.6479591836735</v>
      </c>
      <c r="G20" s="2">
        <f t="shared" si="1"/>
        <v>1669.6428571428571</v>
      </c>
      <c r="I20">
        <v>78.5</v>
      </c>
      <c r="J20">
        <v>12435.9</v>
      </c>
      <c r="K20">
        <v>13585.7</v>
      </c>
      <c r="L20">
        <v>13046.5</v>
      </c>
      <c r="M20">
        <v>13041.9</v>
      </c>
      <c r="N20" s="2">
        <f t="shared" si="2"/>
        <v>293.31632653061251</v>
      </c>
    </row>
    <row r="21" spans="1:14" x14ac:dyDescent="0.2">
      <c r="A21" s="5">
        <v>9</v>
      </c>
      <c r="B21" s="1">
        <v>255.6</v>
      </c>
      <c r="C21" s="1">
        <v>5302</v>
      </c>
      <c r="D21" s="1">
        <v>1781</v>
      </c>
      <c r="E21" s="1">
        <v>2049.4</v>
      </c>
      <c r="F21" s="2">
        <f t="shared" si="0"/>
        <v>1287.3469387755101</v>
      </c>
      <c r="G21" s="2">
        <f t="shared" si="1"/>
        <v>1659.4897959183672</v>
      </c>
      <c r="I21">
        <v>79</v>
      </c>
      <c r="J21">
        <v>12466</v>
      </c>
      <c r="K21">
        <v>13609.8</v>
      </c>
      <c r="L21">
        <v>13072.3</v>
      </c>
      <c r="M21">
        <v>13067.9</v>
      </c>
      <c r="N21" s="2">
        <f t="shared" si="2"/>
        <v>291.78571428571411</v>
      </c>
    </row>
    <row r="22" spans="1:14" x14ac:dyDescent="0.2">
      <c r="A22" s="5">
        <v>9.5</v>
      </c>
      <c r="B22" s="1">
        <v>337.4</v>
      </c>
      <c r="C22" s="1">
        <v>5374.9</v>
      </c>
      <c r="D22" s="1">
        <v>1865.4</v>
      </c>
      <c r="E22" s="1">
        <v>2130</v>
      </c>
      <c r="F22" s="2">
        <f t="shared" si="0"/>
        <v>1285.0765306122448</v>
      </c>
      <c r="G22" s="2">
        <f t="shared" si="1"/>
        <v>1655.5612244897957</v>
      </c>
      <c r="I22">
        <v>79.5</v>
      </c>
      <c r="J22">
        <v>12497.1</v>
      </c>
      <c r="K22">
        <v>13634.5</v>
      </c>
      <c r="L22">
        <v>13097.9</v>
      </c>
      <c r="M22">
        <v>13093.5</v>
      </c>
      <c r="N22" s="2">
        <f t="shared" si="2"/>
        <v>290.1530612244897</v>
      </c>
    </row>
    <row r="23" spans="1:14" x14ac:dyDescent="0.2">
      <c r="A23" s="5">
        <v>10</v>
      </c>
      <c r="B23" s="1">
        <v>402.2</v>
      </c>
      <c r="C23" s="1">
        <v>5442.8</v>
      </c>
      <c r="D23" s="1">
        <v>1948.7</v>
      </c>
      <c r="E23" s="1">
        <v>2209.6999999999998</v>
      </c>
      <c r="F23" s="2">
        <f t="shared" si="0"/>
        <v>1285.8673469387757</v>
      </c>
      <c r="G23" s="2">
        <f t="shared" si="1"/>
        <v>1649.5408163265308</v>
      </c>
      <c r="I23">
        <v>80</v>
      </c>
      <c r="J23">
        <v>12527.5</v>
      </c>
      <c r="K23">
        <v>13658.7</v>
      </c>
      <c r="L23">
        <v>13124.4</v>
      </c>
      <c r="M23">
        <v>13119.3</v>
      </c>
      <c r="N23" s="2">
        <f t="shared" si="2"/>
        <v>288.57142857142878</v>
      </c>
    </row>
    <row r="24" spans="1:14" x14ac:dyDescent="0.2">
      <c r="A24" s="5">
        <v>10.5</v>
      </c>
      <c r="B24" s="1">
        <v>492</v>
      </c>
      <c r="C24" s="1">
        <v>5512.2</v>
      </c>
      <c r="D24" s="1">
        <v>2031</v>
      </c>
      <c r="E24" s="1">
        <v>2285.1</v>
      </c>
      <c r="F24" s="2">
        <f t="shared" si="0"/>
        <v>1280.6632653061224</v>
      </c>
      <c r="G24" s="2">
        <f t="shared" si="1"/>
        <v>1646.4795918367347</v>
      </c>
      <c r="I24">
        <v>80.5</v>
      </c>
      <c r="J24">
        <v>12556.3</v>
      </c>
      <c r="K24">
        <v>13683.2</v>
      </c>
      <c r="L24">
        <v>13149.4</v>
      </c>
      <c r="M24">
        <v>13145.6</v>
      </c>
      <c r="N24" s="2">
        <f t="shared" si="2"/>
        <v>287.47448979591877</v>
      </c>
    </row>
    <row r="25" spans="1:14" x14ac:dyDescent="0.2">
      <c r="A25" s="5">
        <v>11</v>
      </c>
      <c r="B25" s="1">
        <v>560.29999999999995</v>
      </c>
      <c r="C25" s="1">
        <v>5567.6</v>
      </c>
      <c r="D25" s="1">
        <v>2116.6</v>
      </c>
      <c r="E25" s="1">
        <v>2360.8000000000002</v>
      </c>
      <c r="F25" s="2">
        <f t="shared" si="0"/>
        <v>1277.3724489795918</v>
      </c>
      <c r="G25" s="2">
        <f t="shared" si="1"/>
        <v>1636.122448979592</v>
      </c>
      <c r="I25">
        <v>81</v>
      </c>
      <c r="J25">
        <v>12579</v>
      </c>
      <c r="K25">
        <v>13711.2</v>
      </c>
      <c r="L25">
        <v>13175.4</v>
      </c>
      <c r="M25">
        <v>13172</v>
      </c>
      <c r="N25" s="2">
        <f t="shared" si="2"/>
        <v>288.82653061224511</v>
      </c>
    </row>
    <row r="26" spans="1:14" x14ac:dyDescent="0.2">
      <c r="A26" s="5">
        <v>11.5</v>
      </c>
      <c r="B26" s="1">
        <v>651.20000000000005</v>
      </c>
      <c r="C26" s="1">
        <v>5641.9</v>
      </c>
      <c r="D26" s="1">
        <v>2192.8000000000002</v>
      </c>
      <c r="E26" s="1">
        <v>2437.8000000000002</v>
      </c>
      <c r="F26" s="2">
        <f t="shared" si="0"/>
        <v>1273.1377551020407</v>
      </c>
      <c r="G26" s="2">
        <f t="shared" si="1"/>
        <v>1634.7448979591834</v>
      </c>
      <c r="I26">
        <v>81.5</v>
      </c>
      <c r="J26">
        <v>12610.6</v>
      </c>
      <c r="K26">
        <v>13730.9</v>
      </c>
      <c r="L26">
        <v>13201.1</v>
      </c>
      <c r="M26">
        <v>13198.2</v>
      </c>
      <c r="N26" s="2">
        <f t="shared" si="2"/>
        <v>285.79081632653043</v>
      </c>
    </row>
    <row r="27" spans="1:14" x14ac:dyDescent="0.2">
      <c r="A27" s="5">
        <v>12</v>
      </c>
      <c r="B27" s="1">
        <v>719.3</v>
      </c>
      <c r="C27" s="1">
        <v>5705.8</v>
      </c>
      <c r="D27" s="1">
        <v>2271.9</v>
      </c>
      <c r="E27" s="1">
        <v>2515.8000000000002</v>
      </c>
      <c r="F27" s="2">
        <f t="shared" si="0"/>
        <v>1272.0663265306123</v>
      </c>
      <c r="G27" s="2">
        <f t="shared" si="1"/>
        <v>1627.5510204081634</v>
      </c>
      <c r="I27">
        <v>82</v>
      </c>
      <c r="J27">
        <v>12635.9</v>
      </c>
      <c r="K27">
        <v>13756.9</v>
      </c>
      <c r="L27">
        <v>13226.9</v>
      </c>
      <c r="M27">
        <v>13224.6</v>
      </c>
      <c r="N27" s="2">
        <f t="shared" si="2"/>
        <v>285.96938775510205</v>
      </c>
    </row>
    <row r="28" spans="1:14" x14ac:dyDescent="0.2">
      <c r="A28" s="5">
        <v>12.5</v>
      </c>
      <c r="B28" s="1">
        <v>807.6</v>
      </c>
      <c r="C28" s="1">
        <v>5772.2</v>
      </c>
      <c r="D28" s="1">
        <v>2348.4</v>
      </c>
      <c r="E28" s="1">
        <v>2593.6999999999998</v>
      </c>
      <c r="F28" s="2">
        <f t="shared" si="0"/>
        <v>1266.4795918367345</v>
      </c>
      <c r="G28" s="2">
        <f t="shared" si="1"/>
        <v>1621.6836734693877</v>
      </c>
      <c r="I28">
        <v>82.5</v>
      </c>
      <c r="J28">
        <v>12667.6</v>
      </c>
      <c r="K28">
        <v>13775.6</v>
      </c>
      <c r="L28">
        <v>13251.7</v>
      </c>
      <c r="M28">
        <v>13250.2</v>
      </c>
      <c r="N28" s="2">
        <f t="shared" si="2"/>
        <v>282.65306122448982</v>
      </c>
    </row>
    <row r="29" spans="1:14" x14ac:dyDescent="0.2">
      <c r="A29" s="5">
        <v>13</v>
      </c>
      <c r="B29" s="1">
        <v>886</v>
      </c>
      <c r="C29" s="1">
        <v>5832.4</v>
      </c>
      <c r="D29" s="1">
        <v>2430.5</v>
      </c>
      <c r="E29" s="1">
        <v>2673.2</v>
      </c>
      <c r="F29" s="2">
        <f t="shared" si="0"/>
        <v>1261.8367346938776</v>
      </c>
      <c r="G29" s="2">
        <f t="shared" si="1"/>
        <v>1611.8367346938776</v>
      </c>
      <c r="I29">
        <v>83</v>
      </c>
      <c r="J29">
        <v>12693.1</v>
      </c>
      <c r="K29">
        <v>13797.3</v>
      </c>
      <c r="L29">
        <v>13278.3</v>
      </c>
      <c r="M29">
        <v>13276</v>
      </c>
      <c r="N29" s="2">
        <f t="shared" si="2"/>
        <v>281.68367346938749</v>
      </c>
    </row>
    <row r="30" spans="1:14" x14ac:dyDescent="0.2">
      <c r="A30" s="5">
        <v>13.5</v>
      </c>
      <c r="B30" s="1">
        <v>969</v>
      </c>
      <c r="C30" s="1">
        <v>5879</v>
      </c>
      <c r="D30" s="1">
        <v>2505.6999999999998</v>
      </c>
      <c r="E30" s="1">
        <v>2752.9</v>
      </c>
      <c r="F30" s="2">
        <f t="shared" si="0"/>
        <v>1252.5510204081634</v>
      </c>
      <c r="G30" s="2">
        <f t="shared" si="1"/>
        <v>1594.9489795918366</v>
      </c>
      <c r="I30">
        <v>83.5</v>
      </c>
      <c r="J30">
        <v>12722.2</v>
      </c>
      <c r="K30">
        <v>13820</v>
      </c>
      <c r="L30">
        <v>13305.2</v>
      </c>
      <c r="M30">
        <v>13302.6</v>
      </c>
      <c r="N30" s="2">
        <f t="shared" si="2"/>
        <v>280.05102040816308</v>
      </c>
    </row>
    <row r="31" spans="1:14" x14ac:dyDescent="0.2">
      <c r="A31" s="5">
        <v>14</v>
      </c>
      <c r="B31" s="1">
        <v>1031.9000000000001</v>
      </c>
      <c r="C31" s="1">
        <v>5937.7</v>
      </c>
      <c r="D31" s="1">
        <v>2592.6999999999998</v>
      </c>
      <c r="E31" s="1">
        <v>2832.1</v>
      </c>
      <c r="F31" s="2">
        <f t="shared" si="0"/>
        <v>1251.4795918367345</v>
      </c>
      <c r="G31" s="2">
        <f t="shared" si="1"/>
        <v>1584.4897959183672</v>
      </c>
      <c r="I31">
        <v>84</v>
      </c>
      <c r="J31">
        <v>12749</v>
      </c>
      <c r="K31">
        <v>13845.8</v>
      </c>
      <c r="L31">
        <v>13331.1</v>
      </c>
      <c r="M31">
        <v>13328.6</v>
      </c>
      <c r="N31" s="2">
        <f t="shared" si="2"/>
        <v>279.79591836734676</v>
      </c>
    </row>
    <row r="32" spans="1:14" x14ac:dyDescent="0.2">
      <c r="A32" s="5">
        <v>14.5</v>
      </c>
      <c r="B32" s="1">
        <v>1113.8</v>
      </c>
      <c r="C32" s="1">
        <v>5991.4</v>
      </c>
      <c r="D32" s="1">
        <v>2672.2</v>
      </c>
      <c r="E32" s="1">
        <v>2909.8</v>
      </c>
      <c r="F32" s="2">
        <f t="shared" si="0"/>
        <v>1244.2857142857142</v>
      </c>
      <c r="G32" s="2">
        <f t="shared" si="1"/>
        <v>1572.2448979591834</v>
      </c>
      <c r="I32">
        <v>84.5</v>
      </c>
      <c r="J32">
        <v>12778.4</v>
      </c>
      <c r="K32">
        <v>13869.3</v>
      </c>
      <c r="L32">
        <v>13357.2</v>
      </c>
      <c r="M32">
        <v>13355</v>
      </c>
      <c r="N32" s="2">
        <f t="shared" si="2"/>
        <v>278.29081632653055</v>
      </c>
    </row>
    <row r="33" spans="1:14" x14ac:dyDescent="0.2">
      <c r="A33" s="5">
        <v>15</v>
      </c>
      <c r="B33" s="1">
        <v>1188.5999999999999</v>
      </c>
      <c r="C33" s="1">
        <v>6051.9</v>
      </c>
      <c r="D33" s="1">
        <v>2756.3</v>
      </c>
      <c r="E33" s="1">
        <v>2988</v>
      </c>
      <c r="F33" s="2">
        <f t="shared" si="0"/>
        <v>1240.6377551020407</v>
      </c>
      <c r="G33" s="2">
        <f t="shared" si="1"/>
        <v>1563.2142857142856</v>
      </c>
      <c r="I33">
        <v>85</v>
      </c>
      <c r="J33">
        <v>12807</v>
      </c>
      <c r="K33">
        <v>13892.2</v>
      </c>
      <c r="L33">
        <v>13384.6</v>
      </c>
      <c r="M33">
        <v>13381.6</v>
      </c>
      <c r="N33" s="2">
        <f t="shared" si="2"/>
        <v>276.83673469387776</v>
      </c>
    </row>
    <row r="34" spans="1:14" x14ac:dyDescent="0.2">
      <c r="A34" s="5">
        <v>15.5</v>
      </c>
      <c r="B34" s="1">
        <v>1265.2</v>
      </c>
      <c r="C34" s="1">
        <v>6121.5</v>
      </c>
      <c r="D34" s="1">
        <v>2839.9</v>
      </c>
      <c r="E34" s="1">
        <v>3067.2</v>
      </c>
      <c r="F34" s="2">
        <f t="shared" si="0"/>
        <v>1238.8520408163265</v>
      </c>
      <c r="G34" s="2">
        <f t="shared" si="1"/>
        <v>1558.3163265306123</v>
      </c>
      <c r="I34">
        <v>85.5</v>
      </c>
      <c r="J34">
        <v>12836.5</v>
      </c>
      <c r="K34">
        <v>13914.7</v>
      </c>
      <c r="L34">
        <v>13410.8</v>
      </c>
      <c r="M34">
        <v>13407.6</v>
      </c>
      <c r="N34" s="2">
        <f t="shared" si="2"/>
        <v>275.05102040816348</v>
      </c>
    </row>
    <row r="35" spans="1:14" x14ac:dyDescent="0.2">
      <c r="A35" s="5">
        <v>16</v>
      </c>
      <c r="B35" s="1">
        <v>1335.2</v>
      </c>
      <c r="C35" s="1">
        <v>6190.8</v>
      </c>
      <c r="D35" s="1">
        <v>2920.2</v>
      </c>
      <c r="E35" s="1">
        <v>3147.1</v>
      </c>
      <c r="F35" s="2">
        <f t="shared" si="0"/>
        <v>1238.6734693877552</v>
      </c>
      <c r="G35" s="2">
        <f t="shared" si="1"/>
        <v>1552.9081632653063</v>
      </c>
      <c r="I35">
        <v>86</v>
      </c>
      <c r="J35">
        <v>12863.4</v>
      </c>
      <c r="K35">
        <v>13940</v>
      </c>
      <c r="L35">
        <v>13436.5</v>
      </c>
      <c r="M35">
        <v>13433.8</v>
      </c>
      <c r="N35" s="2">
        <f t="shared" si="2"/>
        <v>274.64285714285722</v>
      </c>
    </row>
    <row r="36" spans="1:14" x14ac:dyDescent="0.2">
      <c r="A36" s="5">
        <v>16.5</v>
      </c>
      <c r="B36" s="1">
        <v>1438.8</v>
      </c>
      <c r="C36" s="1">
        <v>6264.6</v>
      </c>
      <c r="D36" s="1">
        <v>3001.8</v>
      </c>
      <c r="E36" s="1">
        <v>3227.7</v>
      </c>
      <c r="F36" s="2">
        <f t="shared" si="0"/>
        <v>1231.0714285714287</v>
      </c>
      <c r="G36" s="2">
        <f t="shared" si="1"/>
        <v>1549.4387755102043</v>
      </c>
      <c r="I36">
        <v>86.5</v>
      </c>
      <c r="J36">
        <v>12893.2</v>
      </c>
      <c r="K36">
        <v>13966.6</v>
      </c>
      <c r="L36">
        <v>13464.3</v>
      </c>
      <c r="M36">
        <v>13460.1</v>
      </c>
      <c r="N36" s="2">
        <f t="shared" si="2"/>
        <v>273.82653061224482</v>
      </c>
    </row>
    <row r="37" spans="1:14" x14ac:dyDescent="0.2">
      <c r="A37" s="5">
        <v>17</v>
      </c>
      <c r="B37" s="1">
        <v>1518.7</v>
      </c>
      <c r="C37" s="1">
        <v>6340.7</v>
      </c>
      <c r="D37" s="1">
        <v>3080.7</v>
      </c>
      <c r="E37" s="1">
        <v>3310.8</v>
      </c>
      <c r="F37" s="2">
        <f t="shared" si="0"/>
        <v>1230.1020408163265</v>
      </c>
      <c r="G37" s="2">
        <f t="shared" si="1"/>
        <v>1545.8673469387754</v>
      </c>
      <c r="I37">
        <v>87</v>
      </c>
      <c r="J37">
        <v>12924.5</v>
      </c>
      <c r="K37">
        <v>13993</v>
      </c>
      <c r="L37">
        <v>13490.7</v>
      </c>
      <c r="M37">
        <v>13486.6</v>
      </c>
      <c r="N37" s="2">
        <f t="shared" si="2"/>
        <v>272.57653061224488</v>
      </c>
    </row>
    <row r="38" spans="1:14" x14ac:dyDescent="0.2">
      <c r="A38" s="5">
        <v>17.5</v>
      </c>
      <c r="B38" s="1">
        <v>1602.4</v>
      </c>
      <c r="C38" s="1">
        <v>6390</v>
      </c>
      <c r="D38" s="1">
        <v>3158.7</v>
      </c>
      <c r="E38" s="1">
        <v>3389.9</v>
      </c>
      <c r="F38" s="2">
        <f t="shared" si="0"/>
        <v>1221.3265306122451</v>
      </c>
      <c r="G38" s="2">
        <f t="shared" si="1"/>
        <v>1530.6632653061224</v>
      </c>
      <c r="I38">
        <v>87.5</v>
      </c>
      <c r="J38">
        <v>12954.1</v>
      </c>
      <c r="K38">
        <v>14014.6</v>
      </c>
      <c r="L38">
        <v>13516.2</v>
      </c>
      <c r="M38">
        <v>13513.2</v>
      </c>
      <c r="N38" s="2">
        <f t="shared" si="2"/>
        <v>270.53571428571428</v>
      </c>
    </row>
    <row r="39" spans="1:14" x14ac:dyDescent="0.2">
      <c r="A39" s="5">
        <v>18</v>
      </c>
      <c r="B39" s="1">
        <v>1677.6</v>
      </c>
      <c r="C39" s="1">
        <v>6458.3</v>
      </c>
      <c r="D39" s="1">
        <v>3244.3</v>
      </c>
      <c r="E39" s="1">
        <v>3470.8</v>
      </c>
      <c r="F39" s="2">
        <f t="shared" si="0"/>
        <v>1219.5663265306125</v>
      </c>
      <c r="G39" s="2">
        <f t="shared" si="1"/>
        <v>1524.2346938775511</v>
      </c>
      <c r="I39">
        <v>88</v>
      </c>
      <c r="J39">
        <v>12981</v>
      </c>
      <c r="K39">
        <v>14035.1</v>
      </c>
      <c r="L39">
        <v>13544.4</v>
      </c>
      <c r="M39">
        <v>13540.2</v>
      </c>
      <c r="N39" s="2">
        <f t="shared" si="2"/>
        <v>268.90306122448987</v>
      </c>
    </row>
    <row r="40" spans="1:14" x14ac:dyDescent="0.2">
      <c r="A40" s="5">
        <v>18.5</v>
      </c>
      <c r="B40" s="1">
        <v>1756.7</v>
      </c>
      <c r="C40" s="1">
        <v>6516.4</v>
      </c>
      <c r="D40" s="1">
        <v>3322.2</v>
      </c>
      <c r="E40" s="1">
        <v>3551.1</v>
      </c>
      <c r="F40" s="2">
        <f t="shared" si="0"/>
        <v>1214.2091836734694</v>
      </c>
      <c r="G40" s="2">
        <f t="shared" si="1"/>
        <v>1512.908163265306</v>
      </c>
      <c r="I40">
        <v>88.5</v>
      </c>
      <c r="J40">
        <v>13007.2</v>
      </c>
      <c r="K40">
        <v>14059</v>
      </c>
      <c r="L40">
        <v>13570.8</v>
      </c>
      <c r="M40">
        <v>13565.9</v>
      </c>
      <c r="N40" s="2">
        <f t="shared" si="2"/>
        <v>268.31632653061206</v>
      </c>
    </row>
    <row r="41" spans="1:14" x14ac:dyDescent="0.2">
      <c r="A41" s="5">
        <v>19</v>
      </c>
      <c r="B41" s="1">
        <v>1823.7</v>
      </c>
      <c r="C41" s="1">
        <v>6587.9</v>
      </c>
      <c r="D41" s="1">
        <v>3403.4</v>
      </c>
      <c r="E41" s="1">
        <v>3634.6</v>
      </c>
      <c r="F41" s="2">
        <f t="shared" si="0"/>
        <v>1215.3571428571429</v>
      </c>
      <c r="G41" s="2">
        <f t="shared" si="1"/>
        <v>1506.7857142857142</v>
      </c>
      <c r="I41">
        <v>89</v>
      </c>
      <c r="J41">
        <v>13036.9</v>
      </c>
      <c r="K41">
        <v>14084.7</v>
      </c>
      <c r="L41">
        <v>13596.1</v>
      </c>
      <c r="M41">
        <v>13591.8</v>
      </c>
      <c r="N41" s="2">
        <f t="shared" si="2"/>
        <v>267.29591836734721</v>
      </c>
    </row>
    <row r="42" spans="1:14" x14ac:dyDescent="0.2">
      <c r="A42" s="5">
        <v>19.5</v>
      </c>
      <c r="B42" s="1">
        <v>1907.2</v>
      </c>
      <c r="C42" s="1">
        <v>6647.8</v>
      </c>
      <c r="D42" s="1">
        <v>3483.8</v>
      </c>
      <c r="E42" s="1">
        <v>3713.9</v>
      </c>
      <c r="F42" s="2">
        <f t="shared" si="0"/>
        <v>1209.3367346938776</v>
      </c>
      <c r="G42" s="2">
        <f t="shared" si="1"/>
        <v>1496.887755102041</v>
      </c>
      <c r="I42">
        <v>89.5</v>
      </c>
      <c r="J42">
        <v>13066.2</v>
      </c>
      <c r="K42">
        <v>14107.4</v>
      </c>
      <c r="L42">
        <v>13622.1</v>
      </c>
      <c r="M42">
        <v>13618.5</v>
      </c>
      <c r="N42" s="2">
        <f t="shared" si="2"/>
        <v>265.61224489795893</v>
      </c>
    </row>
    <row r="43" spans="1:14" x14ac:dyDescent="0.2">
      <c r="A43" s="5">
        <v>20</v>
      </c>
      <c r="B43" s="1">
        <v>1992</v>
      </c>
      <c r="C43" s="1">
        <v>6717.7</v>
      </c>
      <c r="D43" s="1">
        <v>3567.8</v>
      </c>
      <c r="E43" s="1">
        <v>3794.5</v>
      </c>
      <c r="F43" s="2">
        <f t="shared" si="0"/>
        <v>1205.5357142857142</v>
      </c>
      <c r="G43" s="2">
        <f t="shared" si="1"/>
        <v>1491.4285714285713</v>
      </c>
      <c r="I43">
        <v>90</v>
      </c>
      <c r="J43">
        <v>13090.3</v>
      </c>
      <c r="K43">
        <v>14136.7</v>
      </c>
      <c r="L43">
        <v>13649.8</v>
      </c>
      <c r="M43">
        <v>13644.9</v>
      </c>
      <c r="N43" s="2">
        <f t="shared" si="2"/>
        <v>266.93877551020444</v>
      </c>
    </row>
    <row r="44" spans="1:14" x14ac:dyDescent="0.2">
      <c r="A44" s="5">
        <v>20.5</v>
      </c>
      <c r="B44" s="1">
        <v>2073.6</v>
      </c>
      <c r="C44" s="1">
        <v>6763.7</v>
      </c>
      <c r="D44" s="1">
        <v>3649.7</v>
      </c>
      <c r="E44" s="1">
        <v>3874.2</v>
      </c>
      <c r="F44" s="2">
        <f t="shared" si="0"/>
        <v>1196.4540816326532</v>
      </c>
      <c r="G44" s="2">
        <f t="shared" si="1"/>
        <v>1474.2346938775511</v>
      </c>
      <c r="I44">
        <v>90.5</v>
      </c>
      <c r="J44">
        <v>13122.3</v>
      </c>
      <c r="K44">
        <v>14156.9</v>
      </c>
      <c r="L44">
        <v>13676.3</v>
      </c>
      <c r="M44">
        <v>13671</v>
      </c>
      <c r="N44" s="2">
        <f t="shared" si="2"/>
        <v>263.9285714285715</v>
      </c>
    </row>
    <row r="45" spans="1:14" x14ac:dyDescent="0.2">
      <c r="A45" s="5">
        <v>21</v>
      </c>
      <c r="B45" s="1">
        <v>2155.5</v>
      </c>
      <c r="C45" s="1">
        <v>6836.4</v>
      </c>
      <c r="D45" s="1">
        <v>3734.5</v>
      </c>
      <c r="E45" s="1">
        <v>3954.5</v>
      </c>
      <c r="F45" s="2">
        <f t="shared" si="0"/>
        <v>1194.1071428571429</v>
      </c>
      <c r="G45" s="2">
        <f t="shared" si="1"/>
        <v>1470.3571428571427</v>
      </c>
      <c r="I45">
        <v>91</v>
      </c>
      <c r="J45">
        <v>13150</v>
      </c>
      <c r="K45">
        <v>14180.8</v>
      </c>
      <c r="L45">
        <v>13701.8</v>
      </c>
      <c r="M45">
        <v>13696.8</v>
      </c>
      <c r="N45" s="2">
        <f t="shared" si="2"/>
        <v>262.95918367346923</v>
      </c>
    </row>
    <row r="46" spans="1:14" x14ac:dyDescent="0.2">
      <c r="A46" s="5">
        <v>21.5</v>
      </c>
      <c r="B46" s="1">
        <v>2243.5</v>
      </c>
      <c r="C46" s="1">
        <v>6891.6</v>
      </c>
      <c r="D46" s="1">
        <v>3818.3</v>
      </c>
      <c r="E46" s="1">
        <v>4036.2</v>
      </c>
      <c r="F46" s="2">
        <f t="shared" si="0"/>
        <v>1185.7397959183675</v>
      </c>
      <c r="G46" s="2">
        <f t="shared" si="1"/>
        <v>1456.8367346938778</v>
      </c>
      <c r="I46">
        <v>91.5</v>
      </c>
      <c r="J46">
        <v>13178.5</v>
      </c>
      <c r="K46">
        <v>14201.1</v>
      </c>
      <c r="L46">
        <v>13727.4</v>
      </c>
      <c r="M46">
        <v>13721.8</v>
      </c>
      <c r="N46" s="2">
        <f t="shared" si="2"/>
        <v>260.8673469387756</v>
      </c>
    </row>
    <row r="47" spans="1:14" x14ac:dyDescent="0.2">
      <c r="A47" s="5">
        <v>22</v>
      </c>
      <c r="B47" s="1">
        <v>2314.5</v>
      </c>
      <c r="C47" s="1">
        <v>6954.9</v>
      </c>
      <c r="D47" s="1">
        <v>3897.2</v>
      </c>
      <c r="E47" s="1">
        <v>4115.7</v>
      </c>
      <c r="F47" s="2">
        <f t="shared" si="0"/>
        <v>1183.7755102040815</v>
      </c>
      <c r="G47" s="2">
        <f t="shared" si="1"/>
        <v>1448.5714285714284</v>
      </c>
      <c r="I47">
        <v>92</v>
      </c>
      <c r="J47">
        <v>13203.2</v>
      </c>
      <c r="K47">
        <v>14224.5</v>
      </c>
      <c r="L47">
        <v>13753.8</v>
      </c>
      <c r="M47">
        <v>13746.7</v>
      </c>
      <c r="N47" s="2">
        <f t="shared" si="2"/>
        <v>260.53571428571411</v>
      </c>
    </row>
    <row r="48" spans="1:14" x14ac:dyDescent="0.2">
      <c r="A48" s="5">
        <v>22.5</v>
      </c>
      <c r="B48" s="1">
        <v>2393.1999999999998</v>
      </c>
      <c r="C48" s="1">
        <v>7019</v>
      </c>
      <c r="D48" s="1">
        <v>3987.9</v>
      </c>
      <c r="E48" s="1">
        <v>4197.7</v>
      </c>
      <c r="F48" s="2">
        <f t="shared" si="0"/>
        <v>1180.0510204081634</v>
      </c>
      <c r="G48" s="2">
        <f t="shared" si="1"/>
        <v>1439.4387755102041</v>
      </c>
      <c r="I48">
        <v>92.5</v>
      </c>
      <c r="J48">
        <v>13236.8</v>
      </c>
      <c r="K48">
        <v>14248</v>
      </c>
      <c r="L48">
        <v>13779.6</v>
      </c>
      <c r="M48">
        <v>13772.7</v>
      </c>
      <c r="N48" s="2">
        <f t="shared" si="2"/>
        <v>257.95918367346957</v>
      </c>
    </row>
    <row r="49" spans="1:14" x14ac:dyDescent="0.2">
      <c r="A49" s="5">
        <v>23</v>
      </c>
      <c r="B49" s="1">
        <v>2459.3000000000002</v>
      </c>
      <c r="C49" s="1">
        <v>7082.2</v>
      </c>
      <c r="D49" s="1">
        <v>4072.8</v>
      </c>
      <c r="E49" s="1">
        <v>4278</v>
      </c>
      <c r="F49" s="2">
        <f t="shared" si="0"/>
        <v>1179.3112244897959</v>
      </c>
      <c r="G49" s="2">
        <f t="shared" si="1"/>
        <v>1430.7142857142856</v>
      </c>
      <c r="I49">
        <v>93</v>
      </c>
      <c r="J49">
        <v>13262.6</v>
      </c>
      <c r="K49">
        <v>14272.3</v>
      </c>
      <c r="L49">
        <v>13804.8</v>
      </c>
      <c r="M49">
        <v>13798.7</v>
      </c>
      <c r="N49" s="2">
        <f t="shared" si="2"/>
        <v>257.5765306122446</v>
      </c>
    </row>
    <row r="50" spans="1:14" x14ac:dyDescent="0.2">
      <c r="A50" s="5">
        <v>23.5</v>
      </c>
      <c r="B50" s="1">
        <v>2567.9</v>
      </c>
      <c r="C50" s="1">
        <v>7155.4</v>
      </c>
      <c r="D50" s="1">
        <v>4150.5</v>
      </c>
      <c r="E50" s="1">
        <v>4360.3999999999996</v>
      </c>
      <c r="F50" s="2">
        <f t="shared" si="0"/>
        <v>1170.2806122448981</v>
      </c>
      <c r="G50" s="2">
        <f t="shared" si="1"/>
        <v>1426.0204081632653</v>
      </c>
      <c r="I50">
        <v>93.5</v>
      </c>
      <c r="J50">
        <v>13294.7</v>
      </c>
      <c r="K50">
        <v>14292.8</v>
      </c>
      <c r="L50">
        <v>13830.2</v>
      </c>
      <c r="M50">
        <v>13824.9</v>
      </c>
      <c r="N50" s="2">
        <f t="shared" si="2"/>
        <v>254.61734693877514</v>
      </c>
    </row>
    <row r="51" spans="1:14" x14ac:dyDescent="0.2">
      <c r="A51" s="5">
        <v>24</v>
      </c>
      <c r="B51" s="1">
        <v>2640.6</v>
      </c>
      <c r="C51" s="1">
        <v>7227</v>
      </c>
      <c r="D51" s="1">
        <v>4229.2</v>
      </c>
      <c r="E51" s="1">
        <v>4442.3</v>
      </c>
      <c r="F51" s="2">
        <f t="shared" si="0"/>
        <v>1170</v>
      </c>
      <c r="G51" s="2">
        <f t="shared" si="1"/>
        <v>1420.7653061224489</v>
      </c>
      <c r="I51">
        <v>94</v>
      </c>
      <c r="J51">
        <v>13326.6</v>
      </c>
      <c r="K51">
        <v>14317</v>
      </c>
      <c r="L51">
        <v>13856.6</v>
      </c>
      <c r="M51">
        <v>13850.9</v>
      </c>
      <c r="N51" s="2">
        <f t="shared" si="2"/>
        <v>252.6530612244897</v>
      </c>
    </row>
    <row r="52" spans="1:14" x14ac:dyDescent="0.2">
      <c r="A52" s="5">
        <v>24.5</v>
      </c>
      <c r="B52" s="1">
        <v>2730.3</v>
      </c>
      <c r="C52" s="1">
        <v>7294.5</v>
      </c>
      <c r="D52" s="1">
        <v>4309</v>
      </c>
      <c r="E52" s="1">
        <v>4522.6000000000004</v>
      </c>
      <c r="F52" s="2">
        <f t="shared" si="0"/>
        <v>1164.3367346938776</v>
      </c>
      <c r="G52" s="2">
        <f t="shared" si="1"/>
        <v>1414.2346938775509</v>
      </c>
      <c r="I52">
        <v>94.5</v>
      </c>
      <c r="J52">
        <v>13360.1</v>
      </c>
      <c r="K52">
        <v>14339.3</v>
      </c>
      <c r="L52">
        <v>13882.3</v>
      </c>
      <c r="M52">
        <v>13877</v>
      </c>
      <c r="N52" s="2">
        <f t="shared" si="2"/>
        <v>249.79591836734667</v>
      </c>
    </row>
    <row r="53" spans="1:14" x14ac:dyDescent="0.2">
      <c r="A53" s="5">
        <v>25</v>
      </c>
      <c r="B53" s="1">
        <v>2788.6</v>
      </c>
      <c r="C53" s="1">
        <v>7358.7</v>
      </c>
      <c r="D53" s="1">
        <v>4393.3999999999996</v>
      </c>
      <c r="E53" s="1">
        <v>4600.8999999999996</v>
      </c>
      <c r="F53" s="2">
        <f t="shared" si="0"/>
        <v>1165.841836734694</v>
      </c>
      <c r="G53" s="2">
        <f t="shared" si="1"/>
        <v>1407.0408163265308</v>
      </c>
      <c r="I53">
        <v>95</v>
      </c>
      <c r="J53">
        <v>13388.8</v>
      </c>
      <c r="K53">
        <v>14363.1</v>
      </c>
      <c r="L53">
        <v>13909.7</v>
      </c>
      <c r="M53">
        <v>13903</v>
      </c>
      <c r="N53" s="2">
        <f t="shared" si="2"/>
        <v>248.54591836734721</v>
      </c>
    </row>
    <row r="54" spans="1:14" x14ac:dyDescent="0.2">
      <c r="A54" s="5">
        <v>25.5</v>
      </c>
      <c r="B54" s="1">
        <v>2890.4</v>
      </c>
      <c r="C54" s="1">
        <v>7410.6</v>
      </c>
      <c r="D54" s="1">
        <v>4474.2</v>
      </c>
      <c r="E54" s="1">
        <v>4680.3</v>
      </c>
      <c r="F54" s="2">
        <f t="shared" si="0"/>
        <v>1153.1122448979595</v>
      </c>
      <c r="G54" s="2">
        <f t="shared" si="1"/>
        <v>1393.0102040816328</v>
      </c>
      <c r="I54">
        <v>95.5</v>
      </c>
      <c r="J54">
        <v>13420.9</v>
      </c>
      <c r="K54">
        <v>14386.3</v>
      </c>
      <c r="L54">
        <v>13936.8</v>
      </c>
      <c r="M54">
        <v>13929</v>
      </c>
      <c r="N54" s="2">
        <f t="shared" si="2"/>
        <v>246.27551020408154</v>
      </c>
    </row>
    <row r="55" spans="1:14" x14ac:dyDescent="0.2">
      <c r="A55" s="5">
        <v>26</v>
      </c>
      <c r="B55" s="1">
        <v>2962.8</v>
      </c>
      <c r="C55" s="1">
        <v>7461.1</v>
      </c>
      <c r="D55" s="1">
        <v>4557.8999999999996</v>
      </c>
      <c r="E55" s="1">
        <v>4759.3999999999996</v>
      </c>
      <c r="F55" s="2">
        <f t="shared" si="0"/>
        <v>1147.5255102040817</v>
      </c>
      <c r="G55" s="2">
        <f t="shared" si="1"/>
        <v>1378.4183673469392</v>
      </c>
      <c r="I55">
        <v>96</v>
      </c>
      <c r="J55">
        <v>13448.8</v>
      </c>
      <c r="K55">
        <v>14411.3</v>
      </c>
      <c r="L55">
        <v>13964.2</v>
      </c>
      <c r="M55">
        <v>13955.3</v>
      </c>
      <c r="N55" s="2">
        <f t="shared" si="2"/>
        <v>245.53571428571428</v>
      </c>
    </row>
    <row r="56" spans="1:14" x14ac:dyDescent="0.2">
      <c r="A56" s="5">
        <v>26.5</v>
      </c>
      <c r="B56" s="1">
        <v>3035</v>
      </c>
      <c r="C56" s="1">
        <v>7521.7</v>
      </c>
      <c r="D56" s="1">
        <v>4642.3999999999996</v>
      </c>
      <c r="E56" s="1">
        <v>4839.3999999999996</v>
      </c>
      <c r="F56" s="2">
        <f t="shared" si="0"/>
        <v>1144.5663265306123</v>
      </c>
      <c r="G56" s="2">
        <f t="shared" si="1"/>
        <v>1368.5204081632655</v>
      </c>
      <c r="I56">
        <v>96.5</v>
      </c>
      <c r="J56">
        <v>13478.4</v>
      </c>
      <c r="K56">
        <v>14430.2</v>
      </c>
      <c r="L56">
        <v>13988.8</v>
      </c>
      <c r="M56">
        <v>13981.5</v>
      </c>
      <c r="N56" s="2">
        <f t="shared" si="2"/>
        <v>242.80612244897986</v>
      </c>
    </row>
    <row r="57" spans="1:14" x14ac:dyDescent="0.2">
      <c r="A57" s="5">
        <v>27</v>
      </c>
      <c r="B57" s="1">
        <v>3109.2</v>
      </c>
      <c r="C57" s="1">
        <v>7596.7</v>
      </c>
      <c r="D57" s="1">
        <v>4728.8</v>
      </c>
      <c r="E57" s="1">
        <v>4919.2</v>
      </c>
      <c r="F57" s="2">
        <f t="shared" si="0"/>
        <v>1144.7704081632653</v>
      </c>
      <c r="G57" s="2">
        <f t="shared" si="1"/>
        <v>1366.0714285714287</v>
      </c>
      <c r="I57">
        <v>97</v>
      </c>
      <c r="J57">
        <v>13505</v>
      </c>
      <c r="K57">
        <v>14453.5</v>
      </c>
      <c r="L57">
        <v>14014.6</v>
      </c>
      <c r="M57">
        <v>14008.2</v>
      </c>
      <c r="N57" s="2">
        <f t="shared" si="2"/>
        <v>241.96428571428572</v>
      </c>
    </row>
    <row r="58" spans="1:14" x14ac:dyDescent="0.2">
      <c r="A58" s="5">
        <v>27.5</v>
      </c>
      <c r="B58" s="1">
        <v>3200.2</v>
      </c>
      <c r="C58" s="1">
        <v>7668.4</v>
      </c>
      <c r="D58" s="1">
        <v>4809.5</v>
      </c>
      <c r="E58" s="1">
        <v>5000.2</v>
      </c>
      <c r="F58" s="2">
        <f t="shared" si="0"/>
        <v>1139.8469387755101</v>
      </c>
      <c r="G58" s="2">
        <f t="shared" si="1"/>
        <v>1361.3265306122448</v>
      </c>
      <c r="I58">
        <v>97.5</v>
      </c>
      <c r="J58">
        <v>13537</v>
      </c>
      <c r="K58">
        <v>14475.2</v>
      </c>
      <c r="L58">
        <v>14040.9</v>
      </c>
      <c r="M58">
        <v>14034.4</v>
      </c>
      <c r="N58" s="2">
        <f t="shared" si="2"/>
        <v>239.33673469387773</v>
      </c>
    </row>
    <row r="59" spans="1:14" x14ac:dyDescent="0.2">
      <c r="A59" s="5">
        <v>28</v>
      </c>
      <c r="B59" s="1">
        <v>3276.9</v>
      </c>
      <c r="C59" s="1">
        <v>7745.1</v>
      </c>
      <c r="D59" s="1">
        <v>4893</v>
      </c>
      <c r="E59" s="1">
        <v>5081.7</v>
      </c>
      <c r="F59" s="2">
        <f t="shared" si="0"/>
        <v>1139.8469387755104</v>
      </c>
      <c r="G59" s="2">
        <f t="shared" si="1"/>
        <v>1358.8775510204084</v>
      </c>
      <c r="I59">
        <v>98</v>
      </c>
      <c r="J59">
        <v>13566.8</v>
      </c>
      <c r="K59">
        <v>14501</v>
      </c>
      <c r="L59">
        <v>14066.5</v>
      </c>
      <c r="M59">
        <v>14060.1</v>
      </c>
      <c r="N59" s="2">
        <f t="shared" si="2"/>
        <v>238.31632653061243</v>
      </c>
    </row>
    <row r="60" spans="1:14" x14ac:dyDescent="0.2">
      <c r="A60" s="5">
        <v>28.5</v>
      </c>
      <c r="B60" s="1">
        <v>3368.3</v>
      </c>
      <c r="C60" s="1">
        <v>7814</v>
      </c>
      <c r="D60" s="1">
        <v>4969.6000000000004</v>
      </c>
      <c r="E60" s="1">
        <v>5158.7</v>
      </c>
      <c r="F60" s="2">
        <f t="shared" si="0"/>
        <v>1134.1071428571429</v>
      </c>
      <c r="G60" s="2">
        <f t="shared" si="1"/>
        <v>1354.7448979591838</v>
      </c>
      <c r="I60">
        <v>98.5</v>
      </c>
      <c r="J60">
        <v>13593.1</v>
      </c>
      <c r="K60">
        <v>14520.5</v>
      </c>
      <c r="L60">
        <v>14092</v>
      </c>
      <c r="M60">
        <v>14085.7</v>
      </c>
      <c r="N60" s="2">
        <f t="shared" si="2"/>
        <v>236.58163265306115</v>
      </c>
    </row>
    <row r="61" spans="1:14" x14ac:dyDescent="0.2">
      <c r="A61" s="5">
        <v>29</v>
      </c>
      <c r="B61" s="1">
        <v>3437.7</v>
      </c>
      <c r="C61" s="1">
        <v>7873.9</v>
      </c>
      <c r="D61" s="1">
        <v>5052.2</v>
      </c>
      <c r="E61" s="1">
        <v>5237.7</v>
      </c>
      <c r="F61" s="2">
        <f t="shared" si="0"/>
        <v>1131.6836734693877</v>
      </c>
      <c r="G61" s="2">
        <f t="shared" si="1"/>
        <v>1345</v>
      </c>
      <c r="I61">
        <v>99</v>
      </c>
      <c r="J61">
        <v>13617.2</v>
      </c>
      <c r="K61">
        <v>14546.9</v>
      </c>
      <c r="L61">
        <v>14117.2</v>
      </c>
      <c r="M61">
        <v>14111</v>
      </c>
      <c r="N61" s="2">
        <f t="shared" si="2"/>
        <v>237.16836734693851</v>
      </c>
    </row>
    <row r="62" spans="1:14" x14ac:dyDescent="0.2">
      <c r="A62" s="5">
        <v>29.5</v>
      </c>
      <c r="B62" s="1">
        <v>3530.1</v>
      </c>
      <c r="C62" s="1">
        <v>7934.5</v>
      </c>
      <c r="D62" s="1">
        <v>5124.8</v>
      </c>
      <c r="E62" s="1">
        <v>5314.8</v>
      </c>
      <c r="F62" s="2">
        <f t="shared" si="0"/>
        <v>1123.5714285714284</v>
      </c>
      <c r="G62" s="2">
        <f t="shared" si="1"/>
        <v>1336.5816326530612</v>
      </c>
      <c r="I62">
        <v>99.5</v>
      </c>
      <c r="J62">
        <v>13646.7</v>
      </c>
      <c r="K62">
        <v>14567.4</v>
      </c>
      <c r="L62">
        <v>14142.8</v>
      </c>
      <c r="M62">
        <v>14136.7</v>
      </c>
      <c r="N62" s="2">
        <f t="shared" si="2"/>
        <v>234.87244897959155</v>
      </c>
    </row>
    <row r="63" spans="1:14" x14ac:dyDescent="0.2">
      <c r="A63" s="5">
        <v>30</v>
      </c>
      <c r="B63" s="1">
        <v>3604.3</v>
      </c>
      <c r="C63" s="1">
        <v>7997</v>
      </c>
      <c r="D63" s="1">
        <v>5206.3</v>
      </c>
      <c r="E63" s="1">
        <v>5391.9</v>
      </c>
      <c r="F63" s="2">
        <f t="shared" si="0"/>
        <v>1120.5867346938776</v>
      </c>
      <c r="G63" s="2">
        <f t="shared" si="1"/>
        <v>1329.1326530612248</v>
      </c>
      <c r="I63">
        <v>100</v>
      </c>
      <c r="J63">
        <v>13672.4</v>
      </c>
      <c r="K63">
        <v>14591.2</v>
      </c>
      <c r="L63">
        <v>14168.7</v>
      </c>
      <c r="M63">
        <v>14162.6</v>
      </c>
      <c r="N63" s="2">
        <f t="shared" si="2"/>
        <v>234.3877551020411</v>
      </c>
    </row>
    <row r="64" spans="1:14" x14ac:dyDescent="0.2">
      <c r="A64" s="5">
        <v>30.5</v>
      </c>
      <c r="B64" s="1">
        <v>3699.8</v>
      </c>
      <c r="C64" s="1">
        <v>8069</v>
      </c>
      <c r="D64" s="1">
        <v>5280.7</v>
      </c>
      <c r="E64" s="1">
        <v>5472.6</v>
      </c>
      <c r="F64" s="2">
        <f t="shared" si="0"/>
        <v>1114.5918367346937</v>
      </c>
      <c r="G64" s="2">
        <f t="shared" si="1"/>
        <v>1324.6938775510203</v>
      </c>
      <c r="I64">
        <v>100.5</v>
      </c>
      <c r="J64">
        <v>13704.6</v>
      </c>
      <c r="K64">
        <v>14611.8</v>
      </c>
      <c r="L64">
        <v>14195.8</v>
      </c>
      <c r="M64">
        <v>14188.8</v>
      </c>
      <c r="N64" s="2">
        <f t="shared" si="2"/>
        <v>231.42857142857116</v>
      </c>
    </row>
    <row r="65" spans="1:14" x14ac:dyDescent="0.2">
      <c r="A65" s="5">
        <v>31</v>
      </c>
      <c r="B65" s="1">
        <v>3767.8</v>
      </c>
      <c r="C65" s="1">
        <v>8114.2</v>
      </c>
      <c r="D65" s="1">
        <v>5357.1</v>
      </c>
      <c r="E65" s="1">
        <v>5553.2</v>
      </c>
      <c r="F65" s="2">
        <f t="shared" si="0"/>
        <v>1108.7755102040815</v>
      </c>
      <c r="G65" s="2">
        <f t="shared" si="1"/>
        <v>1306.6326530612246</v>
      </c>
      <c r="I65">
        <v>101</v>
      </c>
      <c r="J65">
        <v>13734</v>
      </c>
      <c r="K65">
        <v>14639.1</v>
      </c>
      <c r="L65">
        <v>14221.7</v>
      </c>
      <c r="M65">
        <v>14214.7</v>
      </c>
      <c r="N65" s="2">
        <f t="shared" si="2"/>
        <v>230.89285714285725</v>
      </c>
    </row>
    <row r="66" spans="1:14" x14ac:dyDescent="0.2">
      <c r="A66" s="5">
        <v>31.5</v>
      </c>
      <c r="B66" s="1">
        <v>3861.7</v>
      </c>
      <c r="C66" s="1">
        <v>8179.7</v>
      </c>
      <c r="D66" s="1">
        <v>5443.4</v>
      </c>
      <c r="E66" s="1">
        <v>5635.5</v>
      </c>
      <c r="F66" s="2">
        <f t="shared" si="0"/>
        <v>1101.5306122448981</v>
      </c>
      <c r="G66" s="2">
        <f t="shared" si="1"/>
        <v>1298.0612244897959</v>
      </c>
      <c r="I66">
        <v>101.5</v>
      </c>
      <c r="J66">
        <v>13765.3</v>
      </c>
      <c r="K66">
        <v>14658.8</v>
      </c>
      <c r="L66">
        <v>14247.7</v>
      </c>
      <c r="M66">
        <v>14241.1</v>
      </c>
      <c r="N66" s="2">
        <f t="shared" si="2"/>
        <v>227.93367346938777</v>
      </c>
    </row>
    <row r="67" spans="1:14" x14ac:dyDescent="0.2">
      <c r="A67" s="5">
        <v>32</v>
      </c>
      <c r="B67" s="1">
        <v>3933.8</v>
      </c>
      <c r="C67" s="1">
        <v>8248.2999999999993</v>
      </c>
      <c r="D67" s="1">
        <v>5531.3</v>
      </c>
      <c r="E67" s="1">
        <v>5717.5</v>
      </c>
      <c r="F67" s="2">
        <f t="shared" si="0"/>
        <v>1100.6377551020405</v>
      </c>
      <c r="G67" s="2">
        <f t="shared" si="1"/>
        <v>1291.2244897959181</v>
      </c>
      <c r="I67">
        <v>102</v>
      </c>
      <c r="J67">
        <v>13790.6</v>
      </c>
      <c r="K67">
        <v>14684.2</v>
      </c>
      <c r="L67">
        <v>14272.9</v>
      </c>
      <c r="M67">
        <v>14267.2</v>
      </c>
      <c r="N67" s="2">
        <f t="shared" si="2"/>
        <v>227.95918367346948</v>
      </c>
    </row>
    <row r="68" spans="1:14" x14ac:dyDescent="0.2">
      <c r="A68" s="5">
        <v>32.5</v>
      </c>
      <c r="B68" s="1">
        <v>4029.9</v>
      </c>
      <c r="C68" s="1">
        <v>8312.1</v>
      </c>
      <c r="D68" s="1">
        <v>5615.5</v>
      </c>
      <c r="E68" s="1">
        <v>5799.6</v>
      </c>
      <c r="F68" s="2">
        <f t="shared" ref="F68:F130" si="3">(C68-B68)/(2*1.96)</f>
        <v>1092.3979591836737</v>
      </c>
      <c r="G68" s="2">
        <f t="shared" ref="G68:G131" si="4">ABS(E68-C68)/1.96</f>
        <v>1281.8877551020407</v>
      </c>
      <c r="I68">
        <v>102.5</v>
      </c>
      <c r="J68">
        <v>13821.6</v>
      </c>
      <c r="K68">
        <v>14702.3</v>
      </c>
      <c r="L68">
        <v>14298.8</v>
      </c>
      <c r="M68">
        <v>14292.9</v>
      </c>
      <c r="N68" s="2">
        <f t="shared" ref="N68:N131" si="5">(K68-J68)/(2*1.96)</f>
        <v>224.66836734693851</v>
      </c>
    </row>
    <row r="69" spans="1:14" x14ac:dyDescent="0.2">
      <c r="A69" s="5">
        <v>33</v>
      </c>
      <c r="B69" s="1">
        <v>4108.1000000000004</v>
      </c>
      <c r="C69" s="1">
        <v>8379.2000000000007</v>
      </c>
      <c r="D69" s="1">
        <v>5701.2</v>
      </c>
      <c r="E69" s="1">
        <v>5881.1</v>
      </c>
      <c r="F69" s="2">
        <f t="shared" si="3"/>
        <v>1089.5663265306123</v>
      </c>
      <c r="G69" s="2">
        <f t="shared" si="4"/>
        <v>1274.5408163265308</v>
      </c>
      <c r="I69">
        <v>103</v>
      </c>
      <c r="J69">
        <v>13844.4</v>
      </c>
      <c r="K69">
        <v>14724.5</v>
      </c>
      <c r="L69">
        <v>14324.3</v>
      </c>
      <c r="M69">
        <v>14318.6</v>
      </c>
      <c r="N69" s="2">
        <f t="shared" si="5"/>
        <v>224.51530612244909</v>
      </c>
    </row>
    <row r="70" spans="1:14" x14ac:dyDescent="0.2">
      <c r="A70" s="5">
        <v>33.5</v>
      </c>
      <c r="B70" s="1">
        <v>4201</v>
      </c>
      <c r="C70" s="1">
        <v>8457.2000000000007</v>
      </c>
      <c r="D70" s="1">
        <v>5779.6</v>
      </c>
      <c r="E70" s="1">
        <v>5963</v>
      </c>
      <c r="F70" s="2">
        <f t="shared" si="3"/>
        <v>1085.7653061224491</v>
      </c>
      <c r="G70" s="2">
        <f t="shared" si="4"/>
        <v>1272.5510204081636</v>
      </c>
      <c r="I70">
        <v>103.5</v>
      </c>
      <c r="J70">
        <v>13880.9</v>
      </c>
      <c r="K70">
        <v>14747.9</v>
      </c>
      <c r="L70">
        <v>14350.8</v>
      </c>
      <c r="M70">
        <v>14344.9</v>
      </c>
      <c r="N70" s="2">
        <f t="shared" si="5"/>
        <v>221.17346938775512</v>
      </c>
    </row>
    <row r="71" spans="1:14" x14ac:dyDescent="0.2">
      <c r="A71" s="5">
        <v>34</v>
      </c>
      <c r="B71" s="1">
        <v>4278.3999999999996</v>
      </c>
      <c r="C71" s="1">
        <v>8526.2000000000007</v>
      </c>
      <c r="D71" s="1">
        <v>5865.1</v>
      </c>
      <c r="E71" s="1">
        <v>6044.6</v>
      </c>
      <c r="F71" s="2">
        <f t="shared" si="3"/>
        <v>1083.622448979592</v>
      </c>
      <c r="G71" s="2">
        <f t="shared" si="4"/>
        <v>1266.122448979592</v>
      </c>
      <c r="I71">
        <v>104</v>
      </c>
      <c r="J71">
        <v>13906.4</v>
      </c>
      <c r="K71">
        <v>14771.9</v>
      </c>
      <c r="L71">
        <v>14377.2</v>
      </c>
      <c r="M71">
        <v>14371.3</v>
      </c>
      <c r="N71" s="2">
        <f t="shared" si="5"/>
        <v>220.7908163265306</v>
      </c>
    </row>
    <row r="72" spans="1:14" x14ac:dyDescent="0.2">
      <c r="A72" s="5">
        <v>34.5</v>
      </c>
      <c r="B72" s="1">
        <v>4357.3</v>
      </c>
      <c r="C72" s="1">
        <v>8588.6</v>
      </c>
      <c r="D72" s="1">
        <v>5941.8</v>
      </c>
      <c r="E72" s="1">
        <v>6121.2</v>
      </c>
      <c r="F72" s="2">
        <f t="shared" si="3"/>
        <v>1079.4132653061224</v>
      </c>
      <c r="G72" s="2">
        <f t="shared" si="4"/>
        <v>1258.8775510204084</v>
      </c>
      <c r="I72">
        <v>104.5</v>
      </c>
      <c r="J72">
        <v>13937.4</v>
      </c>
      <c r="K72">
        <v>14794.4</v>
      </c>
      <c r="L72">
        <v>14402.9</v>
      </c>
      <c r="M72">
        <v>14397.2</v>
      </c>
      <c r="N72" s="2">
        <f t="shared" si="5"/>
        <v>218.62244897959184</v>
      </c>
    </row>
    <row r="73" spans="1:14" x14ac:dyDescent="0.2">
      <c r="A73" s="5">
        <v>35</v>
      </c>
      <c r="B73" s="1">
        <v>4429.1000000000004</v>
      </c>
      <c r="C73" s="1">
        <v>8665</v>
      </c>
      <c r="D73" s="1">
        <v>6018.5</v>
      </c>
      <c r="E73" s="1">
        <v>6198</v>
      </c>
      <c r="F73" s="2">
        <f t="shared" si="3"/>
        <v>1080.5867346938776</v>
      </c>
      <c r="G73" s="2">
        <f t="shared" si="4"/>
        <v>1258.6734693877552</v>
      </c>
      <c r="I73">
        <v>105</v>
      </c>
      <c r="J73">
        <v>13962.7</v>
      </c>
      <c r="K73">
        <v>14818.5</v>
      </c>
      <c r="L73">
        <v>14428.8</v>
      </c>
      <c r="M73">
        <v>14423</v>
      </c>
      <c r="N73" s="2">
        <f t="shared" si="5"/>
        <v>218.31632653061206</v>
      </c>
    </row>
    <row r="74" spans="1:14" x14ac:dyDescent="0.2">
      <c r="A74" s="5">
        <v>35.5</v>
      </c>
      <c r="B74" s="1">
        <v>4507.6000000000004</v>
      </c>
      <c r="C74" s="1">
        <v>8712.7000000000007</v>
      </c>
      <c r="D74" s="1">
        <v>6098.8</v>
      </c>
      <c r="E74" s="1">
        <v>6276.1</v>
      </c>
      <c r="F74" s="2">
        <f t="shared" si="3"/>
        <v>1072.7295918367347</v>
      </c>
      <c r="G74" s="2">
        <f t="shared" si="4"/>
        <v>1243.1632653061226</v>
      </c>
      <c r="I74">
        <v>105.5</v>
      </c>
      <c r="J74">
        <v>13997.4</v>
      </c>
      <c r="K74">
        <v>14838.2</v>
      </c>
      <c r="L74">
        <v>14454.3</v>
      </c>
      <c r="M74">
        <v>14448.9</v>
      </c>
      <c r="N74" s="2">
        <f t="shared" si="5"/>
        <v>214.48979591836763</v>
      </c>
    </row>
    <row r="75" spans="1:14" x14ac:dyDescent="0.2">
      <c r="A75" s="5">
        <v>36</v>
      </c>
      <c r="B75" s="1">
        <v>4594.8999999999996</v>
      </c>
      <c r="C75" s="1">
        <v>8773.9</v>
      </c>
      <c r="D75" s="1">
        <v>6178.8</v>
      </c>
      <c r="E75" s="1">
        <v>6354.7</v>
      </c>
      <c r="F75" s="2">
        <f t="shared" si="3"/>
        <v>1066.0714285714287</v>
      </c>
      <c r="G75" s="2">
        <f t="shared" si="4"/>
        <v>1234.2857142857142</v>
      </c>
      <c r="I75">
        <v>106</v>
      </c>
      <c r="J75">
        <v>14026.5</v>
      </c>
      <c r="K75">
        <v>14860.1</v>
      </c>
      <c r="L75">
        <v>14480.3</v>
      </c>
      <c r="M75">
        <v>14474.8</v>
      </c>
      <c r="N75" s="2">
        <f t="shared" si="5"/>
        <v>212.6530612244899</v>
      </c>
    </row>
    <row r="76" spans="1:14" x14ac:dyDescent="0.2">
      <c r="A76" s="5">
        <v>36.5</v>
      </c>
      <c r="B76" s="1">
        <v>4680.3999999999996</v>
      </c>
      <c r="C76" s="1">
        <v>8840.9</v>
      </c>
      <c r="D76" s="1">
        <v>6258</v>
      </c>
      <c r="E76" s="1">
        <v>6436.5</v>
      </c>
      <c r="F76" s="2">
        <f t="shared" si="3"/>
        <v>1061.3520408163265</v>
      </c>
      <c r="G76" s="2">
        <f t="shared" si="4"/>
        <v>1226.7346938775509</v>
      </c>
      <c r="I76">
        <v>106.5</v>
      </c>
      <c r="J76">
        <v>14056.5</v>
      </c>
      <c r="K76">
        <v>14879.8</v>
      </c>
      <c r="L76">
        <v>14506.2</v>
      </c>
      <c r="M76">
        <v>14501.2</v>
      </c>
      <c r="N76" s="2">
        <f t="shared" si="5"/>
        <v>210.02551020408146</v>
      </c>
    </row>
    <row r="77" spans="1:14" x14ac:dyDescent="0.2">
      <c r="A77" s="5">
        <v>37</v>
      </c>
      <c r="B77" s="1">
        <v>4775.3999999999996</v>
      </c>
      <c r="C77" s="1">
        <v>8887.4</v>
      </c>
      <c r="D77" s="1">
        <v>6340.6</v>
      </c>
      <c r="E77" s="1">
        <v>6517</v>
      </c>
      <c r="F77" s="2">
        <f t="shared" si="3"/>
        <v>1048.9795918367347</v>
      </c>
      <c r="G77" s="2">
        <f t="shared" si="4"/>
        <v>1209.3877551020407</v>
      </c>
      <c r="I77">
        <v>107</v>
      </c>
      <c r="J77">
        <v>14084.4</v>
      </c>
      <c r="K77">
        <v>14904.5</v>
      </c>
      <c r="L77">
        <v>14533.3</v>
      </c>
      <c r="M77">
        <v>14527.7</v>
      </c>
      <c r="N77" s="2">
        <f t="shared" si="5"/>
        <v>209.20918367346948</v>
      </c>
    </row>
    <row r="78" spans="1:14" x14ac:dyDescent="0.2">
      <c r="A78" s="5">
        <v>37.5</v>
      </c>
      <c r="B78" s="1">
        <v>4863.7</v>
      </c>
      <c r="C78" s="1">
        <v>8950.5</v>
      </c>
      <c r="D78" s="1">
        <v>6423.2</v>
      </c>
      <c r="E78" s="1">
        <v>6599</v>
      </c>
      <c r="F78" s="2">
        <f t="shared" si="3"/>
        <v>1042.5510204081634</v>
      </c>
      <c r="G78" s="2">
        <f t="shared" si="4"/>
        <v>1199.7448979591836</v>
      </c>
      <c r="I78">
        <v>107.5</v>
      </c>
      <c r="J78">
        <v>14118.6</v>
      </c>
      <c r="K78">
        <v>14924.8</v>
      </c>
      <c r="L78">
        <v>14557.9</v>
      </c>
      <c r="M78">
        <v>14552.8</v>
      </c>
      <c r="N78" s="2">
        <f t="shared" si="5"/>
        <v>205.66326530612218</v>
      </c>
    </row>
    <row r="79" spans="1:14" x14ac:dyDescent="0.2">
      <c r="A79" s="5">
        <v>38</v>
      </c>
      <c r="B79" s="1">
        <v>4939.2</v>
      </c>
      <c r="C79" s="1">
        <v>9019.1</v>
      </c>
      <c r="D79" s="1">
        <v>6516.1</v>
      </c>
      <c r="E79" s="1">
        <v>6681.3</v>
      </c>
      <c r="F79" s="2">
        <f t="shared" si="3"/>
        <v>1040.7908163265308</v>
      </c>
      <c r="G79" s="2">
        <f t="shared" si="4"/>
        <v>1192.7551020408164</v>
      </c>
      <c r="I79">
        <v>108</v>
      </c>
      <c r="J79">
        <v>14148.3</v>
      </c>
      <c r="K79">
        <v>14949.4</v>
      </c>
      <c r="L79">
        <v>14583.7</v>
      </c>
      <c r="M79">
        <v>14578</v>
      </c>
      <c r="N79" s="2">
        <f t="shared" si="5"/>
        <v>204.36224489795927</v>
      </c>
    </row>
    <row r="80" spans="1:14" x14ac:dyDescent="0.2">
      <c r="A80" s="5">
        <v>38.5</v>
      </c>
      <c r="B80" s="1">
        <v>5035.8999999999996</v>
      </c>
      <c r="C80" s="1">
        <v>9082.7000000000007</v>
      </c>
      <c r="D80" s="1">
        <v>6591.9</v>
      </c>
      <c r="E80" s="1">
        <v>6761.1</v>
      </c>
      <c r="F80" s="2">
        <f t="shared" si="3"/>
        <v>1032.3469387755106</v>
      </c>
      <c r="G80" s="2">
        <f t="shared" si="4"/>
        <v>1184.4897959183675</v>
      </c>
      <c r="I80">
        <v>108.5</v>
      </c>
      <c r="J80">
        <v>14180.9</v>
      </c>
      <c r="K80">
        <v>14971</v>
      </c>
      <c r="L80">
        <v>14609.7</v>
      </c>
      <c r="M80">
        <v>14604.7</v>
      </c>
      <c r="N80" s="2">
        <f t="shared" si="5"/>
        <v>201.55612244897969</v>
      </c>
    </row>
    <row r="81" spans="1:14" x14ac:dyDescent="0.2">
      <c r="A81" s="5">
        <v>39</v>
      </c>
      <c r="B81" s="1">
        <v>5107.6000000000004</v>
      </c>
      <c r="C81" s="1">
        <v>9141.2000000000007</v>
      </c>
      <c r="D81" s="1">
        <v>6675.4</v>
      </c>
      <c r="E81" s="1">
        <v>6840.9</v>
      </c>
      <c r="F81" s="2">
        <f t="shared" si="3"/>
        <v>1028.9795918367347</v>
      </c>
      <c r="G81" s="2">
        <f t="shared" si="4"/>
        <v>1173.6224489795925</v>
      </c>
      <c r="I81">
        <v>109</v>
      </c>
      <c r="J81">
        <v>14210.3</v>
      </c>
      <c r="K81">
        <v>14997.4</v>
      </c>
      <c r="L81">
        <v>14635.6</v>
      </c>
      <c r="M81">
        <v>14631.2</v>
      </c>
      <c r="N81" s="2">
        <f t="shared" si="5"/>
        <v>200.79081632653072</v>
      </c>
    </row>
    <row r="82" spans="1:14" x14ac:dyDescent="0.2">
      <c r="A82" s="5">
        <v>39.5</v>
      </c>
      <c r="B82" s="1">
        <v>5194.7</v>
      </c>
      <c r="C82" s="1">
        <v>9217</v>
      </c>
      <c r="D82" s="1">
        <v>6761</v>
      </c>
      <c r="E82" s="1">
        <v>6921.3</v>
      </c>
      <c r="F82" s="2">
        <f t="shared" si="3"/>
        <v>1026.0969387755104</v>
      </c>
      <c r="G82" s="2">
        <f t="shared" si="4"/>
        <v>1171.2755102040815</v>
      </c>
      <c r="I82">
        <v>109.5</v>
      </c>
      <c r="J82">
        <v>14242.6</v>
      </c>
      <c r="K82">
        <v>15020.1</v>
      </c>
      <c r="L82">
        <v>14661.2</v>
      </c>
      <c r="M82">
        <v>14657.9</v>
      </c>
      <c r="N82" s="2">
        <f t="shared" si="5"/>
        <v>198.34183673469389</v>
      </c>
    </row>
    <row r="83" spans="1:14" x14ac:dyDescent="0.2">
      <c r="A83" s="5">
        <v>40</v>
      </c>
      <c r="B83" s="1">
        <v>5289.4</v>
      </c>
      <c r="C83" s="1">
        <v>9275</v>
      </c>
      <c r="D83" s="1">
        <v>6846.4</v>
      </c>
      <c r="E83" s="1">
        <v>7002.8</v>
      </c>
      <c r="F83" s="2">
        <f t="shared" si="3"/>
        <v>1016.7346938775511</v>
      </c>
      <c r="G83" s="2">
        <f t="shared" si="4"/>
        <v>1159.2857142857142</v>
      </c>
      <c r="I83">
        <v>110</v>
      </c>
      <c r="J83">
        <v>14270.3</v>
      </c>
      <c r="K83">
        <v>15042</v>
      </c>
      <c r="L83">
        <v>14686.6</v>
      </c>
      <c r="M83">
        <v>14684.4</v>
      </c>
      <c r="N83" s="2">
        <f t="shared" si="5"/>
        <v>196.86224489795939</v>
      </c>
    </row>
    <row r="84" spans="1:14" x14ac:dyDescent="0.2">
      <c r="A84" s="5">
        <v>40.5</v>
      </c>
      <c r="B84" s="1">
        <v>5367.3</v>
      </c>
      <c r="C84" s="1">
        <v>9345.4</v>
      </c>
      <c r="D84" s="1">
        <v>6921.7</v>
      </c>
      <c r="E84" s="1">
        <v>7081.6</v>
      </c>
      <c r="F84" s="2">
        <f t="shared" si="3"/>
        <v>1014.8214285714284</v>
      </c>
      <c r="G84" s="2">
        <f t="shared" si="4"/>
        <v>1154.9999999999995</v>
      </c>
      <c r="I84">
        <v>110.5</v>
      </c>
      <c r="J84">
        <v>14304.2</v>
      </c>
      <c r="K84">
        <v>15065</v>
      </c>
      <c r="L84">
        <v>14714.1</v>
      </c>
      <c r="M84">
        <v>14711.2</v>
      </c>
      <c r="N84" s="2">
        <f t="shared" si="5"/>
        <v>194.08163265306104</v>
      </c>
    </row>
    <row r="85" spans="1:14" x14ac:dyDescent="0.2">
      <c r="A85" s="5">
        <v>41</v>
      </c>
      <c r="B85" s="1">
        <v>5443.6</v>
      </c>
      <c r="C85" s="1">
        <v>9413.4</v>
      </c>
      <c r="D85" s="1">
        <v>6998.1</v>
      </c>
      <c r="E85" s="1">
        <v>7160.5</v>
      </c>
      <c r="F85" s="2">
        <f t="shared" si="3"/>
        <v>1012.7040816326529</v>
      </c>
      <c r="G85" s="2">
        <f t="shared" si="4"/>
        <v>1149.4387755102039</v>
      </c>
      <c r="I85">
        <v>111</v>
      </c>
      <c r="J85">
        <v>14335.7</v>
      </c>
      <c r="K85">
        <v>15090.3</v>
      </c>
      <c r="L85">
        <v>14741.1</v>
      </c>
      <c r="M85">
        <v>14737.7</v>
      </c>
      <c r="N85" s="2">
        <f t="shared" si="5"/>
        <v>192.49999999999963</v>
      </c>
    </row>
    <row r="86" spans="1:14" x14ac:dyDescent="0.2">
      <c r="A86" s="5">
        <v>41.5</v>
      </c>
      <c r="B86" s="1">
        <v>5537.8</v>
      </c>
      <c r="C86" s="1">
        <v>9463.4</v>
      </c>
      <c r="D86" s="1">
        <v>7082.5</v>
      </c>
      <c r="E86" s="1">
        <v>7242.5</v>
      </c>
      <c r="F86" s="2">
        <f t="shared" si="3"/>
        <v>1001.4285714285713</v>
      </c>
      <c r="G86" s="2">
        <f t="shared" si="4"/>
        <v>1133.112244897959</v>
      </c>
      <c r="I86">
        <v>111.5</v>
      </c>
      <c r="J86">
        <v>14368.2</v>
      </c>
      <c r="K86">
        <v>15112.1</v>
      </c>
      <c r="L86">
        <v>14767.3</v>
      </c>
      <c r="M86">
        <v>14764.2</v>
      </c>
      <c r="N86" s="2">
        <f t="shared" si="5"/>
        <v>189.77040816326522</v>
      </c>
    </row>
    <row r="87" spans="1:14" x14ac:dyDescent="0.2">
      <c r="A87" s="5">
        <v>42</v>
      </c>
      <c r="B87" s="1">
        <v>5620.8</v>
      </c>
      <c r="C87" s="1">
        <v>9529.5</v>
      </c>
      <c r="D87" s="1">
        <v>7165.5</v>
      </c>
      <c r="E87" s="1">
        <v>7324.1</v>
      </c>
      <c r="F87" s="2">
        <f t="shared" si="3"/>
        <v>997.11734693877543</v>
      </c>
      <c r="G87" s="2">
        <f t="shared" si="4"/>
        <v>1125.2040816326528</v>
      </c>
      <c r="I87">
        <v>112</v>
      </c>
      <c r="J87">
        <v>14395.2</v>
      </c>
      <c r="K87">
        <v>15135.7</v>
      </c>
      <c r="L87">
        <v>14794.5</v>
      </c>
      <c r="M87">
        <v>14790.4</v>
      </c>
      <c r="N87" s="2">
        <f t="shared" si="5"/>
        <v>188.90306122448979</v>
      </c>
    </row>
    <row r="88" spans="1:14" x14ac:dyDescent="0.2">
      <c r="A88" s="5">
        <v>42.5</v>
      </c>
      <c r="B88" s="1">
        <v>5704.2</v>
      </c>
      <c r="C88" s="1">
        <v>9590.1</v>
      </c>
      <c r="D88" s="1">
        <v>7247.5</v>
      </c>
      <c r="E88" s="1">
        <v>7404.7</v>
      </c>
      <c r="F88" s="2">
        <f t="shared" si="3"/>
        <v>991.30102040816337</v>
      </c>
      <c r="G88" s="2">
        <f t="shared" si="4"/>
        <v>1115.0000000000002</v>
      </c>
      <c r="I88">
        <v>112.5</v>
      </c>
      <c r="J88">
        <v>14431.2</v>
      </c>
      <c r="K88">
        <v>15154.9</v>
      </c>
      <c r="L88">
        <v>14818.5</v>
      </c>
      <c r="M88">
        <v>14815.4</v>
      </c>
      <c r="N88" s="2">
        <f t="shared" si="5"/>
        <v>184.61734693877523</v>
      </c>
    </row>
    <row r="89" spans="1:14" x14ac:dyDescent="0.2">
      <c r="A89" s="5">
        <v>43</v>
      </c>
      <c r="B89" s="1">
        <v>5780.8</v>
      </c>
      <c r="C89" s="1">
        <v>9664.7000000000007</v>
      </c>
      <c r="D89" s="1">
        <v>7329</v>
      </c>
      <c r="E89" s="1">
        <v>7485.3</v>
      </c>
      <c r="F89" s="2">
        <f t="shared" si="3"/>
        <v>990.79081632653072</v>
      </c>
      <c r="G89" s="2">
        <f t="shared" si="4"/>
        <v>1111.9387755102043</v>
      </c>
      <c r="I89">
        <v>113</v>
      </c>
      <c r="J89">
        <v>14454.7</v>
      </c>
      <c r="K89">
        <v>15177.1</v>
      </c>
      <c r="L89">
        <v>14844</v>
      </c>
      <c r="M89">
        <v>14840.5</v>
      </c>
      <c r="N89" s="2">
        <f t="shared" si="5"/>
        <v>184.28571428571419</v>
      </c>
    </row>
    <row r="90" spans="1:14" x14ac:dyDescent="0.2">
      <c r="A90" s="5">
        <v>43.5</v>
      </c>
      <c r="B90" s="1">
        <v>5880.4</v>
      </c>
      <c r="C90" s="1">
        <v>9714.6</v>
      </c>
      <c r="D90" s="1">
        <v>7412.2</v>
      </c>
      <c r="E90" s="1">
        <v>7565.7</v>
      </c>
      <c r="F90" s="2">
        <f t="shared" si="3"/>
        <v>978.11224489795939</v>
      </c>
      <c r="G90" s="2">
        <f t="shared" si="4"/>
        <v>1096.3775510204084</v>
      </c>
      <c r="I90">
        <v>113.5</v>
      </c>
      <c r="J90">
        <v>14488</v>
      </c>
      <c r="K90">
        <v>15195.7</v>
      </c>
      <c r="L90">
        <v>14870</v>
      </c>
      <c r="M90">
        <v>14866.7</v>
      </c>
      <c r="N90" s="2">
        <f t="shared" si="5"/>
        <v>180.53571428571448</v>
      </c>
    </row>
    <row r="91" spans="1:14" x14ac:dyDescent="0.2">
      <c r="A91" s="5">
        <v>44</v>
      </c>
      <c r="B91" s="1">
        <v>5968.3</v>
      </c>
      <c r="C91" s="1">
        <v>9799.6</v>
      </c>
      <c r="D91" s="1">
        <v>7492.8</v>
      </c>
      <c r="E91" s="1">
        <v>7644.9</v>
      </c>
      <c r="F91" s="2">
        <f t="shared" si="3"/>
        <v>977.37244897959192</v>
      </c>
      <c r="G91" s="2">
        <f t="shared" si="4"/>
        <v>1099.336734693878</v>
      </c>
      <c r="I91">
        <v>114</v>
      </c>
      <c r="J91">
        <v>14514.7</v>
      </c>
      <c r="K91">
        <v>15220.3</v>
      </c>
      <c r="L91">
        <v>14897.3</v>
      </c>
      <c r="M91">
        <v>14892.9</v>
      </c>
      <c r="N91" s="2">
        <f t="shared" si="5"/>
        <v>179.99999999999963</v>
      </c>
    </row>
    <row r="92" spans="1:14" x14ac:dyDescent="0.2">
      <c r="A92" s="5">
        <v>44.5</v>
      </c>
      <c r="B92" s="1">
        <v>6070.1</v>
      </c>
      <c r="C92" s="1">
        <v>9869.2000000000007</v>
      </c>
      <c r="D92" s="1">
        <v>7573.4</v>
      </c>
      <c r="E92" s="1">
        <v>7726.2</v>
      </c>
      <c r="F92" s="2">
        <f t="shared" si="3"/>
        <v>969.15816326530626</v>
      </c>
      <c r="G92" s="2">
        <f t="shared" si="4"/>
        <v>1093.3673469387759</v>
      </c>
      <c r="I92">
        <v>114.5</v>
      </c>
      <c r="J92">
        <v>14548.9</v>
      </c>
      <c r="K92">
        <v>15241.2</v>
      </c>
      <c r="L92">
        <v>14923.4</v>
      </c>
      <c r="M92">
        <v>14919.2</v>
      </c>
      <c r="N92" s="2">
        <f t="shared" si="5"/>
        <v>176.60714285714315</v>
      </c>
    </row>
    <row r="93" spans="1:14" x14ac:dyDescent="0.2">
      <c r="A93" s="5">
        <v>45</v>
      </c>
      <c r="B93" s="1">
        <v>6157.2</v>
      </c>
      <c r="C93" s="1">
        <v>9940.9</v>
      </c>
      <c r="D93" s="1">
        <v>7660.3</v>
      </c>
      <c r="E93" s="1">
        <v>7808.2</v>
      </c>
      <c r="F93" s="2">
        <f t="shared" si="3"/>
        <v>965.2295918367347</v>
      </c>
      <c r="G93" s="2">
        <f t="shared" si="4"/>
        <v>1088.112244897959</v>
      </c>
      <c r="I93">
        <v>115</v>
      </c>
      <c r="J93">
        <v>14576.7</v>
      </c>
      <c r="K93">
        <v>15267.7</v>
      </c>
      <c r="L93">
        <v>14950.1</v>
      </c>
      <c r="M93">
        <v>14945.8</v>
      </c>
      <c r="N93" s="2">
        <f t="shared" si="5"/>
        <v>176.27551020408163</v>
      </c>
    </row>
    <row r="94" spans="1:14" x14ac:dyDescent="0.2">
      <c r="A94" s="5">
        <v>45.5</v>
      </c>
      <c r="B94" s="1">
        <v>6251.8</v>
      </c>
      <c r="C94" s="1">
        <v>10013</v>
      </c>
      <c r="D94" s="1">
        <v>7734.6</v>
      </c>
      <c r="E94" s="1">
        <v>7885.3</v>
      </c>
      <c r="F94" s="2">
        <f t="shared" si="3"/>
        <v>959.48979591836735</v>
      </c>
      <c r="G94" s="2">
        <f t="shared" si="4"/>
        <v>1085.5612244897959</v>
      </c>
      <c r="I94">
        <v>115.5</v>
      </c>
      <c r="J94">
        <v>14608.6</v>
      </c>
      <c r="K94">
        <v>15288</v>
      </c>
      <c r="L94">
        <v>14976.1</v>
      </c>
      <c r="M94">
        <v>14972</v>
      </c>
      <c r="N94" s="2">
        <f t="shared" si="5"/>
        <v>173.31632653061214</v>
      </c>
    </row>
    <row r="95" spans="1:14" x14ac:dyDescent="0.2">
      <c r="A95" s="5">
        <v>46</v>
      </c>
      <c r="B95" s="1">
        <v>6330.6</v>
      </c>
      <c r="C95" s="1">
        <v>10074.9</v>
      </c>
      <c r="D95" s="1">
        <v>7806.1</v>
      </c>
      <c r="E95" s="1">
        <v>7962.6</v>
      </c>
      <c r="F95" s="2">
        <f t="shared" si="3"/>
        <v>955.17857142857122</v>
      </c>
      <c r="G95" s="2">
        <f t="shared" si="4"/>
        <v>1077.7040816326528</v>
      </c>
      <c r="I95">
        <v>116</v>
      </c>
      <c r="J95">
        <v>14634.7</v>
      </c>
      <c r="K95">
        <v>15310.4</v>
      </c>
      <c r="L95">
        <v>15003.6</v>
      </c>
      <c r="M95">
        <v>14998.4</v>
      </c>
      <c r="N95" s="2">
        <f t="shared" si="5"/>
        <v>172.37244897959155</v>
      </c>
    </row>
    <row r="96" spans="1:14" x14ac:dyDescent="0.2">
      <c r="A96" s="5">
        <v>46.5</v>
      </c>
      <c r="B96" s="1">
        <v>6423.3</v>
      </c>
      <c r="C96" s="1">
        <v>10141.9</v>
      </c>
      <c r="D96" s="1">
        <v>7884.5</v>
      </c>
      <c r="E96" s="1">
        <v>8042.9</v>
      </c>
      <c r="F96" s="2">
        <f t="shared" si="3"/>
        <v>948.6224489795917</v>
      </c>
      <c r="G96" s="2">
        <f t="shared" si="4"/>
        <v>1070.9183673469388</v>
      </c>
      <c r="I96">
        <v>116.5</v>
      </c>
      <c r="J96">
        <v>14665.3</v>
      </c>
      <c r="K96">
        <v>15330.8</v>
      </c>
      <c r="L96">
        <v>15029.3</v>
      </c>
      <c r="M96">
        <v>15024.7</v>
      </c>
      <c r="N96" s="2">
        <f t="shared" si="5"/>
        <v>169.7704081632653</v>
      </c>
    </row>
    <row r="97" spans="1:14" x14ac:dyDescent="0.2">
      <c r="A97" s="5">
        <v>47</v>
      </c>
      <c r="B97" s="1">
        <v>6508.4</v>
      </c>
      <c r="C97" s="1">
        <v>10201.4</v>
      </c>
      <c r="D97" s="1">
        <v>7967</v>
      </c>
      <c r="E97" s="1">
        <v>8121.9</v>
      </c>
      <c r="F97" s="2">
        <f t="shared" si="3"/>
        <v>942.09183673469386</v>
      </c>
      <c r="G97" s="2">
        <f t="shared" si="4"/>
        <v>1060.9693877551022</v>
      </c>
      <c r="I97">
        <v>117</v>
      </c>
      <c r="J97">
        <v>14693.3</v>
      </c>
      <c r="K97">
        <v>15354.1</v>
      </c>
      <c r="L97">
        <v>15055.3</v>
      </c>
      <c r="M97">
        <v>15050.9</v>
      </c>
      <c r="N97" s="2">
        <f t="shared" si="5"/>
        <v>168.57142857142884</v>
      </c>
    </row>
    <row r="98" spans="1:14" x14ac:dyDescent="0.2">
      <c r="A98" s="5">
        <v>47.5</v>
      </c>
      <c r="B98" s="1">
        <v>6604.2</v>
      </c>
      <c r="C98" s="1">
        <v>10283.1</v>
      </c>
      <c r="D98" s="1">
        <v>8049.5</v>
      </c>
      <c r="E98" s="1">
        <v>8202.4</v>
      </c>
      <c r="F98" s="2">
        <f t="shared" si="3"/>
        <v>938.49489795918385</v>
      </c>
      <c r="G98" s="2">
        <f t="shared" si="4"/>
        <v>1061.5816326530617</v>
      </c>
      <c r="I98">
        <v>117.5</v>
      </c>
      <c r="J98">
        <v>14726.2</v>
      </c>
      <c r="K98">
        <v>15376.9</v>
      </c>
      <c r="L98">
        <v>15081.4</v>
      </c>
      <c r="M98">
        <v>15077.2</v>
      </c>
      <c r="N98" s="2">
        <f t="shared" si="5"/>
        <v>165.99489795918339</v>
      </c>
    </row>
    <row r="99" spans="1:14" x14ac:dyDescent="0.2">
      <c r="A99" s="5">
        <v>48</v>
      </c>
      <c r="B99" s="1">
        <v>6684.7</v>
      </c>
      <c r="C99" s="1">
        <v>10362.5</v>
      </c>
      <c r="D99" s="1">
        <v>8126.7</v>
      </c>
      <c r="E99" s="1">
        <v>8282.5</v>
      </c>
      <c r="F99" s="2">
        <f t="shared" si="3"/>
        <v>938.21428571428578</v>
      </c>
      <c r="G99" s="2">
        <f t="shared" si="4"/>
        <v>1061.2244897959183</v>
      </c>
      <c r="I99">
        <v>118</v>
      </c>
      <c r="J99">
        <v>14757.1</v>
      </c>
      <c r="K99">
        <v>15398.5</v>
      </c>
      <c r="L99">
        <v>15106.6</v>
      </c>
      <c r="M99">
        <v>15103.2</v>
      </c>
      <c r="N99" s="2">
        <f t="shared" si="5"/>
        <v>163.62244897959175</v>
      </c>
    </row>
    <row r="100" spans="1:14" x14ac:dyDescent="0.2">
      <c r="A100" s="5">
        <v>48.5</v>
      </c>
      <c r="B100" s="1">
        <v>6785.3</v>
      </c>
      <c r="C100" s="1">
        <v>10431.299999999999</v>
      </c>
      <c r="D100" s="1">
        <v>8208.7000000000007</v>
      </c>
      <c r="E100" s="1">
        <v>8363.2999999999993</v>
      </c>
      <c r="F100" s="2">
        <f t="shared" si="3"/>
        <v>930.10204081632628</v>
      </c>
      <c r="G100" s="2">
        <f t="shared" si="4"/>
        <v>1055.1020408163265</v>
      </c>
      <c r="I100">
        <v>118.5</v>
      </c>
      <c r="J100">
        <v>14792.3</v>
      </c>
      <c r="K100">
        <v>15420.4</v>
      </c>
      <c r="L100">
        <v>15132.8</v>
      </c>
      <c r="M100">
        <v>15129.7</v>
      </c>
      <c r="N100" s="2">
        <f t="shared" si="5"/>
        <v>160.22959183673478</v>
      </c>
    </row>
    <row r="101" spans="1:14" x14ac:dyDescent="0.2">
      <c r="A101" s="5">
        <v>49</v>
      </c>
      <c r="B101" s="1">
        <v>6862.5</v>
      </c>
      <c r="C101" s="1">
        <v>10507.9</v>
      </c>
      <c r="D101" s="1">
        <v>8288.7000000000007</v>
      </c>
      <c r="E101" s="1">
        <v>8444.6</v>
      </c>
      <c r="F101" s="2">
        <f t="shared" si="3"/>
        <v>929.94897959183663</v>
      </c>
      <c r="G101" s="2">
        <f t="shared" si="4"/>
        <v>1052.7040816326528</v>
      </c>
      <c r="I101">
        <v>119</v>
      </c>
      <c r="J101">
        <v>14822.7</v>
      </c>
      <c r="K101">
        <v>15447.5</v>
      </c>
      <c r="L101">
        <v>15159.5</v>
      </c>
      <c r="M101">
        <v>15155.9</v>
      </c>
      <c r="N101" s="2">
        <f t="shared" si="5"/>
        <v>159.38775510204064</v>
      </c>
    </row>
    <row r="102" spans="1:14" x14ac:dyDescent="0.2">
      <c r="A102" s="5">
        <v>49.5</v>
      </c>
      <c r="B102" s="1">
        <v>6961.5</v>
      </c>
      <c r="C102" s="1">
        <v>10565.9</v>
      </c>
      <c r="D102" s="1">
        <v>8372.4</v>
      </c>
      <c r="E102" s="1">
        <v>8527.2000000000007</v>
      </c>
      <c r="F102" s="2">
        <f t="shared" si="3"/>
        <v>919.48979591836724</v>
      </c>
      <c r="G102" s="2">
        <f t="shared" si="4"/>
        <v>1040.1530612244892</v>
      </c>
      <c r="I102">
        <v>119.5</v>
      </c>
      <c r="J102">
        <v>14858.5</v>
      </c>
      <c r="K102">
        <v>15467.8</v>
      </c>
      <c r="L102">
        <v>15184.1</v>
      </c>
      <c r="M102">
        <v>15181.6</v>
      </c>
      <c r="N102" s="2">
        <f t="shared" si="5"/>
        <v>155.43367346938757</v>
      </c>
    </row>
    <row r="103" spans="1:14" x14ac:dyDescent="0.2">
      <c r="A103" s="5">
        <v>50</v>
      </c>
      <c r="B103" s="1">
        <v>7036.9</v>
      </c>
      <c r="C103" s="1">
        <v>10629.2</v>
      </c>
      <c r="D103" s="1">
        <v>8458.1</v>
      </c>
      <c r="E103" s="1">
        <v>8610.1</v>
      </c>
      <c r="F103" s="2">
        <f t="shared" si="3"/>
        <v>916.4030612244901</v>
      </c>
      <c r="G103" s="2">
        <f t="shared" si="4"/>
        <v>1030.1530612244901</v>
      </c>
      <c r="I103">
        <v>120</v>
      </c>
      <c r="J103">
        <v>14376.4</v>
      </c>
      <c r="K103">
        <v>15470.4</v>
      </c>
      <c r="L103">
        <v>14977.5</v>
      </c>
      <c r="M103">
        <v>14967.6</v>
      </c>
      <c r="N103" s="2">
        <f t="shared" si="5"/>
        <v>279.08163265306121</v>
      </c>
    </row>
    <row r="104" spans="1:14" x14ac:dyDescent="0.2">
      <c r="A104" s="5">
        <v>50.5</v>
      </c>
      <c r="B104" s="1">
        <v>7137.4</v>
      </c>
      <c r="C104" s="1">
        <v>10697.8</v>
      </c>
      <c r="D104" s="1">
        <v>8538.7999999999993</v>
      </c>
      <c r="E104" s="1">
        <v>8690.7000000000007</v>
      </c>
      <c r="F104" s="2">
        <f t="shared" si="3"/>
        <v>908.26530612244892</v>
      </c>
      <c r="G104" s="2">
        <f t="shared" si="4"/>
        <v>1024.0306122448972</v>
      </c>
      <c r="I104">
        <v>120.5</v>
      </c>
      <c r="J104">
        <v>14568.1</v>
      </c>
      <c r="K104">
        <v>15524.9</v>
      </c>
      <c r="L104">
        <v>15070.8</v>
      </c>
      <c r="M104">
        <v>15068.8</v>
      </c>
      <c r="N104" s="2">
        <f t="shared" si="5"/>
        <v>244.08163265306104</v>
      </c>
    </row>
    <row r="105" spans="1:14" x14ac:dyDescent="0.2">
      <c r="A105" s="5">
        <v>51</v>
      </c>
      <c r="B105" s="1">
        <v>7217.7</v>
      </c>
      <c r="C105" s="1">
        <v>10767.9</v>
      </c>
      <c r="D105" s="1">
        <v>8622.2999999999993</v>
      </c>
      <c r="E105" s="1">
        <v>8770.2000000000007</v>
      </c>
      <c r="F105" s="2">
        <f t="shared" si="3"/>
        <v>905.66326530612241</v>
      </c>
      <c r="G105" s="2">
        <f t="shared" si="4"/>
        <v>1019.2346938775505</v>
      </c>
      <c r="I105">
        <v>121</v>
      </c>
      <c r="J105">
        <v>14716.4</v>
      </c>
      <c r="K105">
        <v>15612.5</v>
      </c>
      <c r="L105">
        <v>15167.6</v>
      </c>
      <c r="M105">
        <v>15171.1</v>
      </c>
      <c r="N105" s="2">
        <f t="shared" si="5"/>
        <v>228.5969387755103</v>
      </c>
    </row>
    <row r="106" spans="1:14" x14ac:dyDescent="0.2">
      <c r="A106" s="5">
        <v>51.5</v>
      </c>
      <c r="B106" s="1">
        <v>7312.9</v>
      </c>
      <c r="C106" s="1">
        <v>10821.1</v>
      </c>
      <c r="D106" s="1">
        <v>8704.9</v>
      </c>
      <c r="E106" s="1">
        <v>8851.2999999999993</v>
      </c>
      <c r="F106" s="2">
        <f t="shared" si="3"/>
        <v>894.94897959183697</v>
      </c>
      <c r="G106" s="2">
        <f t="shared" si="4"/>
        <v>1005.0000000000006</v>
      </c>
      <c r="I106">
        <v>121.5</v>
      </c>
      <c r="J106">
        <v>14952.9</v>
      </c>
      <c r="K106">
        <v>15683.1</v>
      </c>
      <c r="L106">
        <v>15260</v>
      </c>
      <c r="M106">
        <v>15278.7</v>
      </c>
      <c r="N106" s="2">
        <f t="shared" si="5"/>
        <v>186.27551020408183</v>
      </c>
    </row>
    <row r="107" spans="1:14" x14ac:dyDescent="0.2">
      <c r="A107" s="5">
        <v>52</v>
      </c>
      <c r="B107" s="1">
        <v>7391</v>
      </c>
      <c r="C107" s="1">
        <v>10889.2</v>
      </c>
      <c r="D107" s="1">
        <v>8796.2000000000007</v>
      </c>
      <c r="E107" s="1">
        <v>8933</v>
      </c>
      <c r="F107" s="2">
        <f t="shared" si="3"/>
        <v>892.39795918367372</v>
      </c>
      <c r="G107" s="2">
        <f t="shared" si="4"/>
        <v>998.06122448979636</v>
      </c>
      <c r="I107">
        <v>122</v>
      </c>
      <c r="J107">
        <v>15111.8</v>
      </c>
      <c r="K107">
        <v>15776.7</v>
      </c>
      <c r="L107">
        <v>15366.7</v>
      </c>
      <c r="M107">
        <v>15388.1</v>
      </c>
      <c r="N107" s="2">
        <f t="shared" si="5"/>
        <v>169.61734693877588</v>
      </c>
    </row>
    <row r="108" spans="1:14" x14ac:dyDescent="0.2">
      <c r="A108" s="5">
        <v>52.5</v>
      </c>
      <c r="B108" s="1">
        <v>7499</v>
      </c>
      <c r="C108" s="1">
        <v>10952.4</v>
      </c>
      <c r="D108" s="1">
        <v>8876.2000000000007</v>
      </c>
      <c r="E108" s="1">
        <v>9013.7000000000007</v>
      </c>
      <c r="F108" s="2">
        <f t="shared" si="3"/>
        <v>880.96938775510193</v>
      </c>
      <c r="G108" s="2">
        <f t="shared" si="4"/>
        <v>989.132653061224</v>
      </c>
      <c r="I108">
        <v>122.5</v>
      </c>
      <c r="J108">
        <v>15269</v>
      </c>
      <c r="K108">
        <v>15981.9</v>
      </c>
      <c r="L108">
        <v>15540.6</v>
      </c>
      <c r="M108">
        <v>15567.8</v>
      </c>
      <c r="N108" s="2">
        <f t="shared" si="5"/>
        <v>181.8622448979591</v>
      </c>
    </row>
    <row r="109" spans="1:14" x14ac:dyDescent="0.2">
      <c r="A109" s="5">
        <v>53</v>
      </c>
      <c r="B109" s="1">
        <v>7583</v>
      </c>
      <c r="C109" s="1">
        <v>11020</v>
      </c>
      <c r="D109" s="1">
        <v>8955.2000000000007</v>
      </c>
      <c r="E109" s="1">
        <v>9095.6</v>
      </c>
      <c r="F109" s="2">
        <f t="shared" si="3"/>
        <v>876.78571428571433</v>
      </c>
      <c r="G109" s="2">
        <f t="shared" si="4"/>
        <v>981.83673469387736</v>
      </c>
      <c r="I109">
        <v>123</v>
      </c>
      <c r="J109">
        <v>15341</v>
      </c>
      <c r="K109">
        <v>16378.4</v>
      </c>
      <c r="L109">
        <v>15698.1</v>
      </c>
      <c r="M109">
        <v>15745.4</v>
      </c>
      <c r="N109" s="2">
        <f t="shared" si="5"/>
        <v>264.64285714285705</v>
      </c>
    </row>
    <row r="110" spans="1:14" x14ac:dyDescent="0.2">
      <c r="A110" s="5">
        <v>53.5</v>
      </c>
      <c r="B110" s="1">
        <v>7683.6</v>
      </c>
      <c r="C110" s="1">
        <v>11079.8</v>
      </c>
      <c r="D110" s="1">
        <v>9035.7000000000007</v>
      </c>
      <c r="E110" s="1">
        <v>9174.9</v>
      </c>
      <c r="F110" s="2">
        <f t="shared" si="3"/>
        <v>866.37755102040785</v>
      </c>
      <c r="G110" s="2">
        <f t="shared" si="4"/>
        <v>971.88775510204061</v>
      </c>
      <c r="I110">
        <v>123.5</v>
      </c>
      <c r="J110">
        <v>15474.1</v>
      </c>
      <c r="K110">
        <v>16594.099999999999</v>
      </c>
      <c r="L110">
        <v>15904.9</v>
      </c>
      <c r="M110">
        <v>15944.7</v>
      </c>
      <c r="N110" s="2">
        <f t="shared" si="5"/>
        <v>285.71428571428527</v>
      </c>
    </row>
    <row r="111" spans="1:14" x14ac:dyDescent="0.2">
      <c r="A111" s="5">
        <v>54</v>
      </c>
      <c r="B111" s="1">
        <v>7760.1</v>
      </c>
      <c r="C111" s="1">
        <v>11154.8</v>
      </c>
      <c r="D111" s="1">
        <v>9120.2999999999993</v>
      </c>
      <c r="E111" s="1">
        <v>9254.6</v>
      </c>
      <c r="F111" s="2">
        <f t="shared" si="3"/>
        <v>865.99489795918339</v>
      </c>
      <c r="G111" s="2">
        <f t="shared" si="4"/>
        <v>969.48979591836678</v>
      </c>
      <c r="I111">
        <v>124</v>
      </c>
      <c r="J111">
        <v>15549</v>
      </c>
      <c r="K111">
        <v>16933.900000000001</v>
      </c>
      <c r="L111">
        <v>16098.5</v>
      </c>
      <c r="M111">
        <v>16143.5</v>
      </c>
      <c r="N111" s="2">
        <f t="shared" si="5"/>
        <v>353.290816326531</v>
      </c>
    </row>
    <row r="112" spans="1:14" x14ac:dyDescent="0.2">
      <c r="A112" s="5">
        <v>54.5</v>
      </c>
      <c r="B112" s="1">
        <v>7856</v>
      </c>
      <c r="C112" s="1">
        <v>11220.7</v>
      </c>
      <c r="D112" s="1">
        <v>9202.1</v>
      </c>
      <c r="E112" s="1">
        <v>9332.6</v>
      </c>
      <c r="F112" s="2">
        <f t="shared" si="3"/>
        <v>858.34183673469408</v>
      </c>
      <c r="G112" s="2">
        <f t="shared" si="4"/>
        <v>963.3163265306124</v>
      </c>
      <c r="I112">
        <v>124.5</v>
      </c>
      <c r="J112">
        <v>15719.2</v>
      </c>
      <c r="K112">
        <v>17136.7</v>
      </c>
      <c r="L112">
        <v>16327.8</v>
      </c>
      <c r="M112">
        <v>16355.6</v>
      </c>
      <c r="N112" s="2">
        <f t="shared" si="5"/>
        <v>361.60714285714289</v>
      </c>
    </row>
    <row r="113" spans="1:14" x14ac:dyDescent="0.2">
      <c r="A113" s="5">
        <v>55</v>
      </c>
      <c r="B113" s="1">
        <v>7943.4</v>
      </c>
      <c r="C113" s="1">
        <v>11300.2</v>
      </c>
      <c r="D113" s="1">
        <v>9281</v>
      </c>
      <c r="E113" s="1">
        <v>9412.9</v>
      </c>
      <c r="F113" s="2">
        <f t="shared" si="3"/>
        <v>856.32653061224516</v>
      </c>
      <c r="G113" s="2">
        <f t="shared" si="4"/>
        <v>962.90816326530671</v>
      </c>
      <c r="I113">
        <v>125</v>
      </c>
      <c r="J113">
        <v>15824.4</v>
      </c>
      <c r="K113">
        <v>17412.900000000001</v>
      </c>
      <c r="L113">
        <v>16535</v>
      </c>
      <c r="M113">
        <v>16564.8</v>
      </c>
      <c r="N113" s="2">
        <f t="shared" si="5"/>
        <v>405.22959183673515</v>
      </c>
    </row>
    <row r="114" spans="1:14" x14ac:dyDescent="0.2">
      <c r="A114" s="5">
        <v>55.5</v>
      </c>
      <c r="B114" s="1">
        <v>8049.5</v>
      </c>
      <c r="C114" s="1">
        <v>11360</v>
      </c>
      <c r="D114" s="1">
        <v>9364.7999999999993</v>
      </c>
      <c r="E114" s="1">
        <v>9495</v>
      </c>
      <c r="F114" s="2">
        <f t="shared" si="3"/>
        <v>844.51530612244903</v>
      </c>
      <c r="G114" s="2">
        <f t="shared" si="4"/>
        <v>951.53061224489795</v>
      </c>
      <c r="I114">
        <v>125.5</v>
      </c>
      <c r="J114">
        <v>16025.6</v>
      </c>
      <c r="K114">
        <v>17573.3</v>
      </c>
      <c r="L114">
        <v>16767.900000000001</v>
      </c>
      <c r="M114">
        <v>16779.8</v>
      </c>
      <c r="N114" s="2">
        <f t="shared" si="5"/>
        <v>394.82142857142833</v>
      </c>
    </row>
    <row r="115" spans="1:14" x14ac:dyDescent="0.2">
      <c r="A115" s="5">
        <v>56</v>
      </c>
      <c r="B115" s="1">
        <v>8138</v>
      </c>
      <c r="C115" s="1">
        <v>11424</v>
      </c>
      <c r="D115" s="1">
        <v>9441.7999999999993</v>
      </c>
      <c r="E115" s="1">
        <v>9577</v>
      </c>
      <c r="F115" s="2">
        <f t="shared" si="3"/>
        <v>838.26530612244903</v>
      </c>
      <c r="G115" s="2">
        <f t="shared" si="4"/>
        <v>942.34693877551024</v>
      </c>
      <c r="I115">
        <v>126</v>
      </c>
      <c r="J115">
        <v>16165.5</v>
      </c>
      <c r="K115">
        <v>17814.2</v>
      </c>
      <c r="L115">
        <v>16984.599999999999</v>
      </c>
      <c r="M115">
        <v>16995.2</v>
      </c>
      <c r="N115" s="2">
        <f t="shared" si="5"/>
        <v>420.58673469387776</v>
      </c>
    </row>
    <row r="116" spans="1:14" x14ac:dyDescent="0.2">
      <c r="A116" s="5">
        <v>56.5</v>
      </c>
      <c r="B116" s="1">
        <v>8244.6</v>
      </c>
      <c r="C116" s="1">
        <v>11479.8</v>
      </c>
      <c r="D116" s="1">
        <v>9520.7000000000007</v>
      </c>
      <c r="E116" s="1">
        <v>9657.6</v>
      </c>
      <c r="F116" s="2">
        <f t="shared" si="3"/>
        <v>825.30612244897929</v>
      </c>
      <c r="G116" s="2">
        <f t="shared" si="4"/>
        <v>929.69387755101991</v>
      </c>
      <c r="I116">
        <v>126.5</v>
      </c>
      <c r="J116">
        <v>16403.2</v>
      </c>
      <c r="K116">
        <v>17927.5</v>
      </c>
      <c r="L116">
        <v>17209.5</v>
      </c>
      <c r="M116">
        <v>17204.7</v>
      </c>
      <c r="N116" s="2">
        <f t="shared" si="5"/>
        <v>388.85204081632634</v>
      </c>
    </row>
    <row r="117" spans="1:14" x14ac:dyDescent="0.2">
      <c r="A117" s="5">
        <v>57</v>
      </c>
      <c r="B117" s="1">
        <v>8331.5</v>
      </c>
      <c r="C117" s="1">
        <v>11559</v>
      </c>
      <c r="D117" s="1">
        <v>9596.5</v>
      </c>
      <c r="E117" s="1">
        <v>9738.9</v>
      </c>
      <c r="F117" s="2">
        <f t="shared" si="3"/>
        <v>823.34183673469386</v>
      </c>
      <c r="G117" s="2">
        <f t="shared" si="4"/>
        <v>928.62244897959204</v>
      </c>
      <c r="I117">
        <v>127</v>
      </c>
      <c r="J117">
        <v>16582.8</v>
      </c>
      <c r="K117">
        <v>18117.7</v>
      </c>
      <c r="L117">
        <v>17425.3</v>
      </c>
      <c r="M117">
        <v>17413.2</v>
      </c>
      <c r="N117" s="2">
        <f t="shared" si="5"/>
        <v>391.55612244897998</v>
      </c>
    </row>
    <row r="118" spans="1:14" x14ac:dyDescent="0.2">
      <c r="A118" s="5">
        <v>57.5</v>
      </c>
      <c r="B118" s="1">
        <v>8443.9</v>
      </c>
      <c r="C118" s="1">
        <v>11622.4</v>
      </c>
      <c r="D118" s="1">
        <v>9675.6</v>
      </c>
      <c r="E118" s="1">
        <v>9821</v>
      </c>
      <c r="F118" s="2">
        <f t="shared" si="3"/>
        <v>810.84183673469386</v>
      </c>
      <c r="G118" s="2">
        <f t="shared" si="4"/>
        <v>919.08163265306109</v>
      </c>
      <c r="I118">
        <v>127.5</v>
      </c>
      <c r="J118">
        <v>16891.900000000001</v>
      </c>
      <c r="K118">
        <v>18209.5</v>
      </c>
      <c r="L118">
        <v>17629.400000000001</v>
      </c>
      <c r="M118">
        <v>17617.400000000001</v>
      </c>
      <c r="N118" s="2">
        <f t="shared" si="5"/>
        <v>336.12244897959147</v>
      </c>
    </row>
    <row r="119" spans="1:14" x14ac:dyDescent="0.2">
      <c r="A119" s="5">
        <v>58</v>
      </c>
      <c r="B119" s="1">
        <v>8540</v>
      </c>
      <c r="C119" s="1">
        <v>11697.5</v>
      </c>
      <c r="D119" s="1">
        <v>9751.2000000000007</v>
      </c>
      <c r="E119" s="1">
        <v>9902.5</v>
      </c>
      <c r="F119" s="2">
        <f t="shared" si="3"/>
        <v>805.48469387755108</v>
      </c>
      <c r="G119" s="2">
        <f t="shared" si="4"/>
        <v>915.81632653061229</v>
      </c>
      <c r="I119">
        <v>128</v>
      </c>
      <c r="J119">
        <v>17088.5</v>
      </c>
      <c r="K119">
        <v>18367.2</v>
      </c>
      <c r="L119">
        <v>17848.599999999999</v>
      </c>
      <c r="M119">
        <v>17821.3</v>
      </c>
      <c r="N119" s="2">
        <f t="shared" si="5"/>
        <v>326.19897959183692</v>
      </c>
    </row>
    <row r="120" spans="1:14" x14ac:dyDescent="0.2">
      <c r="A120" s="5">
        <v>58.5</v>
      </c>
      <c r="B120" s="1">
        <v>8658.5</v>
      </c>
      <c r="C120" s="1">
        <v>11766.6</v>
      </c>
      <c r="D120" s="1">
        <v>9855.7999999999993</v>
      </c>
      <c r="E120" s="1">
        <v>10000.799999999999</v>
      </c>
      <c r="F120" s="2">
        <f t="shared" si="3"/>
        <v>792.88265306122457</v>
      </c>
      <c r="G120" s="2">
        <f t="shared" si="4"/>
        <v>900.91836734693936</v>
      </c>
      <c r="I120">
        <v>128.5</v>
      </c>
      <c r="J120">
        <v>17423.599999999999</v>
      </c>
      <c r="K120">
        <v>18437</v>
      </c>
      <c r="L120">
        <v>18033.099999999999</v>
      </c>
      <c r="M120">
        <v>18012.900000000001</v>
      </c>
      <c r="N120" s="2">
        <f t="shared" si="5"/>
        <v>258.5204081632657</v>
      </c>
    </row>
    <row r="121" spans="1:14" x14ac:dyDescent="0.2">
      <c r="A121" s="5">
        <v>59</v>
      </c>
      <c r="B121" s="1">
        <v>8745</v>
      </c>
      <c r="C121" s="1">
        <v>11840.6</v>
      </c>
      <c r="D121" s="1">
        <v>9960.2999999999993</v>
      </c>
      <c r="E121" s="1">
        <v>10099.4</v>
      </c>
      <c r="F121" s="2">
        <f t="shared" si="3"/>
        <v>789.69387755102048</v>
      </c>
      <c r="G121" s="2">
        <f t="shared" si="4"/>
        <v>888.36734693877588</v>
      </c>
      <c r="I121">
        <v>129</v>
      </c>
      <c r="J121">
        <v>17647.099999999999</v>
      </c>
      <c r="K121">
        <v>18567.8</v>
      </c>
      <c r="L121">
        <v>18235.400000000001</v>
      </c>
      <c r="M121">
        <v>18207.3</v>
      </c>
      <c r="N121" s="2">
        <f t="shared" si="5"/>
        <v>234.87244897959204</v>
      </c>
    </row>
    <row r="122" spans="1:14" x14ac:dyDescent="0.2">
      <c r="A122" s="5">
        <v>59.5</v>
      </c>
      <c r="B122" s="1">
        <v>8863.4</v>
      </c>
      <c r="C122" s="1">
        <v>11918.9</v>
      </c>
      <c r="D122" s="1">
        <v>10098.5</v>
      </c>
      <c r="E122" s="1">
        <v>10224.1</v>
      </c>
      <c r="F122" s="2">
        <f t="shared" si="3"/>
        <v>779.46428571428578</v>
      </c>
      <c r="G122" s="2">
        <f t="shared" si="4"/>
        <v>864.69387755102002</v>
      </c>
      <c r="I122">
        <v>129.5</v>
      </c>
      <c r="J122">
        <v>17857.400000000001</v>
      </c>
      <c r="K122">
        <v>18631.900000000001</v>
      </c>
      <c r="L122">
        <v>18349.099999999999</v>
      </c>
      <c r="M122">
        <v>18326.5</v>
      </c>
      <c r="N122" s="2">
        <f t="shared" si="5"/>
        <v>197.57653061224491</v>
      </c>
    </row>
    <row r="123" spans="1:14" x14ac:dyDescent="0.2">
      <c r="A123" s="5">
        <v>60</v>
      </c>
      <c r="B123" s="1">
        <v>8962.6</v>
      </c>
      <c r="C123" s="1">
        <v>12008.9</v>
      </c>
      <c r="D123" s="1">
        <v>10246.799999999999</v>
      </c>
      <c r="E123" s="1">
        <v>10348.1</v>
      </c>
      <c r="F123" s="2">
        <f t="shared" si="3"/>
        <v>777.11734693877531</v>
      </c>
      <c r="G123" s="2">
        <f t="shared" si="4"/>
        <v>847.3469387755099</v>
      </c>
      <c r="I123">
        <v>130</v>
      </c>
      <c r="J123">
        <v>18007.5</v>
      </c>
      <c r="K123">
        <v>18748.2</v>
      </c>
      <c r="L123">
        <v>18465.900000000001</v>
      </c>
      <c r="M123">
        <v>18446.599999999999</v>
      </c>
      <c r="N123" s="2">
        <f t="shared" si="5"/>
        <v>188.95408163265324</v>
      </c>
    </row>
    <row r="124" spans="1:14" x14ac:dyDescent="0.2">
      <c r="A124" s="5">
        <v>60.5</v>
      </c>
      <c r="B124" s="1">
        <v>9084.1</v>
      </c>
      <c r="C124" s="1">
        <v>12078.2</v>
      </c>
      <c r="D124" s="1">
        <v>10379.9</v>
      </c>
      <c r="E124" s="1">
        <v>10469</v>
      </c>
      <c r="F124" s="2">
        <f t="shared" si="3"/>
        <v>763.80102040816337</v>
      </c>
      <c r="G124" s="2">
        <f t="shared" si="4"/>
        <v>821.02040816326564</v>
      </c>
      <c r="I124">
        <v>130.5</v>
      </c>
      <c r="J124">
        <v>18110.400000000001</v>
      </c>
      <c r="K124">
        <v>18795.5</v>
      </c>
      <c r="L124">
        <v>18532.8</v>
      </c>
      <c r="M124">
        <v>18516.3</v>
      </c>
      <c r="N124" s="2">
        <f t="shared" si="5"/>
        <v>174.77040816326493</v>
      </c>
    </row>
    <row r="125" spans="1:14" x14ac:dyDescent="0.2">
      <c r="A125" s="5">
        <v>61</v>
      </c>
      <c r="B125" s="1">
        <v>9184</v>
      </c>
      <c r="C125" s="1">
        <v>12167</v>
      </c>
      <c r="D125" s="1">
        <v>10520.9</v>
      </c>
      <c r="E125" s="1">
        <v>10589.8</v>
      </c>
      <c r="F125" s="2">
        <f t="shared" si="3"/>
        <v>760.96938775510205</v>
      </c>
      <c r="G125" s="2">
        <f t="shared" si="4"/>
        <v>804.69387755102082</v>
      </c>
      <c r="I125">
        <v>131</v>
      </c>
      <c r="J125">
        <v>18195.5</v>
      </c>
      <c r="K125">
        <v>18881.900000000001</v>
      </c>
      <c r="L125">
        <v>18598.8</v>
      </c>
      <c r="M125">
        <v>18587.7</v>
      </c>
      <c r="N125" s="2">
        <f t="shared" si="5"/>
        <v>175.10204081632691</v>
      </c>
    </row>
    <row r="126" spans="1:14" x14ac:dyDescent="0.2">
      <c r="A126" s="5">
        <v>61.5</v>
      </c>
      <c r="B126" s="1">
        <v>9320.7000000000007</v>
      </c>
      <c r="C126" s="1">
        <v>12228.4</v>
      </c>
      <c r="D126" s="1">
        <v>10651.5</v>
      </c>
      <c r="E126" s="1">
        <v>10709.9</v>
      </c>
      <c r="F126" s="2">
        <f t="shared" si="3"/>
        <v>741.76020408163242</v>
      </c>
      <c r="G126" s="2">
        <f t="shared" si="4"/>
        <v>774.74489795918373</v>
      </c>
      <c r="I126">
        <v>131.5</v>
      </c>
      <c r="J126">
        <v>18295.8</v>
      </c>
      <c r="K126">
        <v>18928.599999999999</v>
      </c>
      <c r="L126">
        <v>18667.3</v>
      </c>
      <c r="M126">
        <v>18657.2</v>
      </c>
      <c r="N126" s="2">
        <f t="shared" si="5"/>
        <v>161.42857142857125</v>
      </c>
    </row>
    <row r="127" spans="1:14" x14ac:dyDescent="0.2">
      <c r="A127" s="5">
        <v>62</v>
      </c>
      <c r="B127" s="1">
        <v>9426.2999999999993</v>
      </c>
      <c r="C127" s="1">
        <v>12314.3</v>
      </c>
      <c r="D127" s="1">
        <v>10792.4</v>
      </c>
      <c r="E127" s="1">
        <v>10829.7</v>
      </c>
      <c r="F127" s="2">
        <f t="shared" si="3"/>
        <v>736.73469387755108</v>
      </c>
      <c r="G127" s="2">
        <f t="shared" si="4"/>
        <v>757.44897959183595</v>
      </c>
      <c r="I127">
        <v>132</v>
      </c>
      <c r="J127">
        <v>18382.8</v>
      </c>
      <c r="K127">
        <v>18995.900000000001</v>
      </c>
      <c r="L127">
        <v>18734.7</v>
      </c>
      <c r="M127">
        <v>18726.099999999999</v>
      </c>
      <c r="N127" s="2">
        <f t="shared" si="5"/>
        <v>156.40306122449036</v>
      </c>
    </row>
    <row r="128" spans="1:14" x14ac:dyDescent="0.2">
      <c r="A128" s="5">
        <v>62.5</v>
      </c>
      <c r="B128" s="1">
        <v>9608.2999999999993</v>
      </c>
      <c r="C128" s="1">
        <v>12389.7</v>
      </c>
      <c r="D128" s="1">
        <v>10989.5</v>
      </c>
      <c r="E128" s="1">
        <v>11002.9</v>
      </c>
      <c r="F128" s="2">
        <f t="shared" si="3"/>
        <v>709.54081632653094</v>
      </c>
      <c r="G128" s="2">
        <f t="shared" si="4"/>
        <v>707.55102040816382</v>
      </c>
      <c r="I128">
        <v>132.5</v>
      </c>
      <c r="J128">
        <v>18497.8</v>
      </c>
      <c r="K128">
        <v>19038.5</v>
      </c>
      <c r="L128">
        <v>18802.400000000001</v>
      </c>
      <c r="M128">
        <v>18796</v>
      </c>
      <c r="N128" s="2">
        <f t="shared" si="5"/>
        <v>137.93367346938794</v>
      </c>
    </row>
    <row r="129" spans="1:14" x14ac:dyDescent="0.2">
      <c r="A129" s="5">
        <v>63</v>
      </c>
      <c r="B129" s="1">
        <v>9742.4</v>
      </c>
      <c r="C129" s="1">
        <v>12480.8</v>
      </c>
      <c r="D129" s="1">
        <v>11195.2</v>
      </c>
      <c r="E129" s="1">
        <v>11177.3</v>
      </c>
      <c r="F129" s="2">
        <f t="shared" si="3"/>
        <v>698.57142857142844</v>
      </c>
      <c r="G129" s="2">
        <f t="shared" si="4"/>
        <v>665.05102040816325</v>
      </c>
      <c r="I129">
        <v>133</v>
      </c>
      <c r="J129">
        <v>18587.400000000001</v>
      </c>
      <c r="K129">
        <v>19103.7</v>
      </c>
      <c r="L129">
        <v>18873.099999999999</v>
      </c>
      <c r="M129">
        <v>18867</v>
      </c>
      <c r="N129" s="2">
        <f t="shared" si="5"/>
        <v>131.7091836734692</v>
      </c>
    </row>
    <row r="130" spans="1:14" x14ac:dyDescent="0.2">
      <c r="A130" s="5">
        <v>63.5</v>
      </c>
      <c r="B130" s="1">
        <v>10124.6</v>
      </c>
      <c r="C130" s="1">
        <v>12550.3</v>
      </c>
      <c r="D130" s="1">
        <v>11453.2</v>
      </c>
      <c r="E130" s="1">
        <v>11433.1</v>
      </c>
      <c r="F130" s="2">
        <f t="shared" si="3"/>
        <v>618.80102040816303</v>
      </c>
      <c r="G130" s="2">
        <f t="shared" si="4"/>
        <v>569.99999999999943</v>
      </c>
      <c r="I130">
        <v>133.5</v>
      </c>
      <c r="J130">
        <v>18734.3</v>
      </c>
      <c r="K130">
        <v>19146.5</v>
      </c>
      <c r="L130">
        <v>18948.5</v>
      </c>
      <c r="M130">
        <v>18948.599999999999</v>
      </c>
      <c r="N130" s="2">
        <f t="shared" si="5"/>
        <v>105.15306122448999</v>
      </c>
    </row>
    <row r="131" spans="1:14" x14ac:dyDescent="0.2">
      <c r="A131" s="6">
        <v>64</v>
      </c>
      <c r="B131" s="7">
        <v>10364.6</v>
      </c>
      <c r="C131" s="7">
        <v>12662.6</v>
      </c>
      <c r="D131" s="7">
        <v>11738.5</v>
      </c>
      <c r="E131" s="7">
        <v>11690.1</v>
      </c>
      <c r="F131" s="3">
        <f>(C131-B131)/(2*1.96)</f>
        <v>586.22448979591843</v>
      </c>
      <c r="G131" s="3">
        <f t="shared" si="4"/>
        <v>496.17346938775512</v>
      </c>
      <c r="I131">
        <v>134</v>
      </c>
      <c r="J131">
        <v>18827</v>
      </c>
      <c r="K131">
        <v>19218.8</v>
      </c>
      <c r="L131">
        <v>19030.2</v>
      </c>
      <c r="M131">
        <v>19031</v>
      </c>
      <c r="N131" s="2">
        <f t="shared" si="5"/>
        <v>99.948979591836547</v>
      </c>
    </row>
    <row r="132" spans="1:14" x14ac:dyDescent="0.2">
      <c r="A132" s="5">
        <v>64.5</v>
      </c>
      <c r="B132" s="1">
        <v>10880.7</v>
      </c>
      <c r="C132" s="1">
        <v>12735.6</v>
      </c>
      <c r="D132" s="1">
        <v>11952.9</v>
      </c>
      <c r="E132" s="1">
        <v>11923.7</v>
      </c>
      <c r="F132" s="2">
        <f t="shared" ref="F132:F195" si="6">(C132-B132)/(2*1.96)</f>
        <v>473.18877551020398</v>
      </c>
      <c r="G132" s="2">
        <f t="shared" ref="G132:G195" si="7">ABS(E132-C132)/1.96</f>
        <v>414.23469387755085</v>
      </c>
      <c r="I132">
        <v>134.5</v>
      </c>
      <c r="J132">
        <v>18951.3</v>
      </c>
      <c r="K132">
        <v>19302</v>
      </c>
      <c r="L132">
        <v>19124.3</v>
      </c>
      <c r="M132">
        <v>19127</v>
      </c>
      <c r="N132" s="2">
        <f t="shared" ref="N132:N133" si="8">(K132-J132)/(2*1.96)</f>
        <v>89.464285714285907</v>
      </c>
    </row>
    <row r="133" spans="1:14" x14ac:dyDescent="0.2">
      <c r="A133" s="5">
        <v>65</v>
      </c>
      <c r="B133" s="1">
        <v>11125.9</v>
      </c>
      <c r="C133" s="1">
        <v>12863.6</v>
      </c>
      <c r="D133" s="1">
        <v>12208.1</v>
      </c>
      <c r="E133" s="1">
        <v>12158</v>
      </c>
      <c r="F133" s="2">
        <f t="shared" si="6"/>
        <v>443.29081632653083</v>
      </c>
      <c r="G133" s="2">
        <f t="shared" si="7"/>
        <v>360.00000000000017</v>
      </c>
      <c r="I133">
        <v>135</v>
      </c>
      <c r="J133">
        <v>19001.599999999999</v>
      </c>
      <c r="K133">
        <v>19486.7</v>
      </c>
      <c r="L133">
        <v>19211.400000000001</v>
      </c>
      <c r="M133">
        <v>19222.8</v>
      </c>
      <c r="N133" s="2">
        <f t="shared" si="8"/>
        <v>123.75000000000055</v>
      </c>
    </row>
    <row r="134" spans="1:14" x14ac:dyDescent="0.2">
      <c r="A134" s="5">
        <v>65.5</v>
      </c>
      <c r="B134" s="1">
        <v>11493.4</v>
      </c>
      <c r="C134" s="1">
        <v>12919.3</v>
      </c>
      <c r="D134" s="1">
        <v>12421.3</v>
      </c>
      <c r="E134" s="1">
        <v>12368.4</v>
      </c>
      <c r="F134" s="2">
        <f t="shared" si="6"/>
        <v>363.74999999999989</v>
      </c>
      <c r="G134" s="2">
        <f t="shared" si="7"/>
        <v>281.07142857142838</v>
      </c>
    </row>
    <row r="135" spans="1:14" x14ac:dyDescent="0.2">
      <c r="A135" s="5">
        <v>66</v>
      </c>
      <c r="B135" s="1">
        <v>11718.4</v>
      </c>
      <c r="C135" s="1">
        <v>13037.4</v>
      </c>
      <c r="D135" s="1">
        <v>12656.5</v>
      </c>
      <c r="E135" s="1">
        <v>12579.1</v>
      </c>
      <c r="F135" s="2">
        <f t="shared" si="6"/>
        <v>336.4795918367347</v>
      </c>
      <c r="G135" s="2">
        <f t="shared" si="7"/>
        <v>233.82653061224454</v>
      </c>
    </row>
    <row r="136" spans="1:14" x14ac:dyDescent="0.2">
      <c r="A136" s="5">
        <v>66.5</v>
      </c>
      <c r="B136" s="1">
        <v>12338.6</v>
      </c>
      <c r="C136" s="1">
        <v>13072.4</v>
      </c>
      <c r="D136" s="1">
        <v>12821</v>
      </c>
      <c r="E136" s="1">
        <v>12790.9</v>
      </c>
      <c r="F136" s="2">
        <f t="shared" si="6"/>
        <v>187.19387755102022</v>
      </c>
      <c r="G136" s="2">
        <f t="shared" si="7"/>
        <v>143.62244897959184</v>
      </c>
    </row>
    <row r="137" spans="1:14" x14ac:dyDescent="0.2">
      <c r="A137" s="5">
        <v>67</v>
      </c>
      <c r="B137" s="1">
        <v>12808.3</v>
      </c>
      <c r="C137" s="1">
        <v>13167.8</v>
      </c>
      <c r="D137" s="1">
        <v>13007.3</v>
      </c>
      <c r="E137" s="1">
        <v>13006</v>
      </c>
      <c r="F137" s="2">
        <f t="shared" si="6"/>
        <v>91.709183673469383</v>
      </c>
      <c r="G137" s="2">
        <f t="shared" si="7"/>
        <v>82.551020408162898</v>
      </c>
    </row>
    <row r="138" spans="1:14" x14ac:dyDescent="0.2">
      <c r="A138" s="5">
        <v>67.5</v>
      </c>
      <c r="B138" s="1">
        <v>12873</v>
      </c>
      <c r="C138" s="1">
        <v>13366.1</v>
      </c>
      <c r="D138" s="1">
        <v>13096.2</v>
      </c>
      <c r="E138" s="1">
        <v>13106.2</v>
      </c>
      <c r="F138" s="2">
        <f t="shared" si="6"/>
        <v>125.7908163265307</v>
      </c>
      <c r="G138" s="2">
        <f t="shared" si="7"/>
        <v>132.60204081632634</v>
      </c>
    </row>
    <row r="139" spans="1:14" x14ac:dyDescent="0.2">
      <c r="A139" s="5">
        <v>68</v>
      </c>
      <c r="B139" s="1">
        <v>12904.9</v>
      </c>
      <c r="C139" s="1">
        <v>13655</v>
      </c>
      <c r="D139" s="1">
        <v>13170.6</v>
      </c>
      <c r="E139" s="1">
        <v>13203.3</v>
      </c>
      <c r="F139" s="2">
        <f t="shared" si="6"/>
        <v>191.35204081632662</v>
      </c>
      <c r="G139" s="2">
        <f t="shared" si="7"/>
        <v>230.45918367346977</v>
      </c>
    </row>
    <row r="140" spans="1:14" x14ac:dyDescent="0.2">
      <c r="A140" s="5">
        <v>68.5</v>
      </c>
      <c r="B140" s="1">
        <v>12976.8</v>
      </c>
      <c r="C140" s="1">
        <v>13770.9</v>
      </c>
      <c r="D140" s="1">
        <v>13276.9</v>
      </c>
      <c r="E140" s="1">
        <v>13307.6</v>
      </c>
      <c r="F140" s="2">
        <f t="shared" si="6"/>
        <v>202.57653061224499</v>
      </c>
      <c r="G140" s="2">
        <f t="shared" si="7"/>
        <v>236.37755102040779</v>
      </c>
    </row>
    <row r="141" spans="1:14" x14ac:dyDescent="0.2">
      <c r="A141" s="5">
        <v>69</v>
      </c>
      <c r="B141" s="1">
        <v>13016.6</v>
      </c>
      <c r="C141" s="1">
        <v>13983</v>
      </c>
      <c r="D141" s="1">
        <v>13378</v>
      </c>
      <c r="E141" s="1">
        <v>13414.4</v>
      </c>
      <c r="F141" s="2">
        <f t="shared" si="6"/>
        <v>246.53061224489787</v>
      </c>
      <c r="G141" s="2">
        <f t="shared" si="7"/>
        <v>290.10204081632673</v>
      </c>
    </row>
    <row r="142" spans="1:14" x14ac:dyDescent="0.2">
      <c r="A142" s="5">
        <v>69.5</v>
      </c>
      <c r="B142" s="1">
        <v>13096.8</v>
      </c>
      <c r="C142" s="1">
        <v>14106.3</v>
      </c>
      <c r="D142" s="1">
        <v>13484.1</v>
      </c>
      <c r="E142" s="1">
        <v>13520.1</v>
      </c>
      <c r="F142" s="2">
        <f t="shared" si="6"/>
        <v>257.52551020408163</v>
      </c>
      <c r="G142" s="2">
        <f t="shared" si="7"/>
        <v>299.08163265306069</v>
      </c>
    </row>
    <row r="143" spans="1:14" x14ac:dyDescent="0.2">
      <c r="A143" s="5">
        <v>70</v>
      </c>
      <c r="B143" s="1">
        <v>13146.8</v>
      </c>
      <c r="C143" s="1">
        <v>14286.3</v>
      </c>
      <c r="D143" s="1">
        <v>13584.8</v>
      </c>
      <c r="E143" s="1">
        <v>13625.4</v>
      </c>
      <c r="F143" s="2">
        <f t="shared" si="6"/>
        <v>290.6887755102041</v>
      </c>
      <c r="G143" s="2">
        <f t="shared" si="7"/>
        <v>337.19387755102025</v>
      </c>
    </row>
    <row r="144" spans="1:14" x14ac:dyDescent="0.2">
      <c r="A144" s="5">
        <v>70.5</v>
      </c>
      <c r="B144" s="1">
        <v>13230.3</v>
      </c>
      <c r="C144" s="1">
        <v>14397.8</v>
      </c>
      <c r="D144" s="1">
        <v>13690.9</v>
      </c>
      <c r="E144" s="1">
        <v>13728.5</v>
      </c>
      <c r="F144" s="2">
        <f t="shared" si="6"/>
        <v>297.83163265306121</v>
      </c>
      <c r="G144" s="2">
        <f t="shared" si="7"/>
        <v>341.4795918367343</v>
      </c>
    </row>
    <row r="145" spans="1:7" x14ac:dyDescent="0.2">
      <c r="A145" s="5">
        <v>71</v>
      </c>
      <c r="B145" s="1">
        <v>13279.8</v>
      </c>
      <c r="C145" s="1">
        <v>14554.6</v>
      </c>
      <c r="D145" s="1">
        <v>13791.5</v>
      </c>
      <c r="E145" s="1">
        <v>13828.9</v>
      </c>
      <c r="F145" s="2">
        <f t="shared" si="6"/>
        <v>325.20408163265336</v>
      </c>
      <c r="G145" s="2">
        <f t="shared" si="7"/>
        <v>370.25510204081672</v>
      </c>
    </row>
    <row r="146" spans="1:7" x14ac:dyDescent="0.2">
      <c r="A146" s="5">
        <v>71.5</v>
      </c>
      <c r="B146" s="1">
        <v>13370.8</v>
      </c>
      <c r="C146" s="1">
        <v>14654.1</v>
      </c>
      <c r="D146" s="1">
        <v>13895.8</v>
      </c>
      <c r="E146" s="1">
        <v>13934.3</v>
      </c>
      <c r="F146" s="2">
        <f t="shared" si="6"/>
        <v>327.37244897959209</v>
      </c>
      <c r="G146" s="2">
        <f t="shared" si="7"/>
        <v>367.24489795918424</v>
      </c>
    </row>
    <row r="147" spans="1:7" x14ac:dyDescent="0.2">
      <c r="A147" s="5">
        <v>72</v>
      </c>
      <c r="B147" s="1">
        <v>13429.5</v>
      </c>
      <c r="C147" s="1">
        <v>14780.4</v>
      </c>
      <c r="D147" s="1">
        <v>14001.9</v>
      </c>
      <c r="E147" s="1">
        <v>14039</v>
      </c>
      <c r="F147" s="2">
        <f t="shared" si="6"/>
        <v>344.61734693877543</v>
      </c>
      <c r="G147" s="2">
        <f t="shared" si="7"/>
        <v>378.26530612244881</v>
      </c>
    </row>
    <row r="148" spans="1:7" x14ac:dyDescent="0.2">
      <c r="A148" s="5">
        <v>72.5</v>
      </c>
      <c r="B148" s="1">
        <v>13518.1</v>
      </c>
      <c r="C148" s="1">
        <v>14893</v>
      </c>
      <c r="D148" s="1">
        <v>14108.9</v>
      </c>
      <c r="E148" s="1">
        <v>14143.5</v>
      </c>
      <c r="F148" s="2">
        <f t="shared" si="6"/>
        <v>350.73979591836724</v>
      </c>
      <c r="G148" s="2">
        <f t="shared" si="7"/>
        <v>382.39795918367349</v>
      </c>
    </row>
    <row r="149" spans="1:7" x14ac:dyDescent="0.2">
      <c r="A149" s="5">
        <v>73</v>
      </c>
      <c r="B149" s="1">
        <v>13578.9</v>
      </c>
      <c r="C149" s="1">
        <v>15024.7</v>
      </c>
      <c r="D149" s="1">
        <v>14212.8</v>
      </c>
      <c r="E149" s="1">
        <v>14244.8</v>
      </c>
      <c r="F149" s="2">
        <f t="shared" si="6"/>
        <v>368.82653061224516</v>
      </c>
      <c r="G149" s="2">
        <f t="shared" si="7"/>
        <v>397.90816326530688</v>
      </c>
    </row>
    <row r="150" spans="1:7" x14ac:dyDescent="0.2">
      <c r="A150" s="5">
        <v>73.5</v>
      </c>
      <c r="B150" s="1">
        <v>13675.6</v>
      </c>
      <c r="C150" s="1">
        <v>15119.8</v>
      </c>
      <c r="D150" s="1">
        <v>14314.9</v>
      </c>
      <c r="E150" s="1">
        <v>14349.6</v>
      </c>
      <c r="F150" s="2">
        <f t="shared" si="6"/>
        <v>368.41836734693851</v>
      </c>
      <c r="G150" s="2">
        <f t="shared" si="7"/>
        <v>392.95918367346883</v>
      </c>
    </row>
    <row r="151" spans="1:7" x14ac:dyDescent="0.2">
      <c r="A151" s="5">
        <v>74</v>
      </c>
      <c r="B151" s="1">
        <v>13737.2</v>
      </c>
      <c r="C151" s="1">
        <v>15264.9</v>
      </c>
      <c r="D151" s="1">
        <v>14419.1</v>
      </c>
      <c r="E151" s="1">
        <v>14452.6</v>
      </c>
      <c r="F151" s="2">
        <f t="shared" si="6"/>
        <v>389.71938775510176</v>
      </c>
      <c r="G151" s="2">
        <f t="shared" si="7"/>
        <v>414.4387755102037</v>
      </c>
    </row>
    <row r="152" spans="1:7" x14ac:dyDescent="0.2">
      <c r="A152" s="5">
        <v>74.5</v>
      </c>
      <c r="B152" s="1">
        <v>13846.9</v>
      </c>
      <c r="C152" s="1">
        <v>15357.6</v>
      </c>
      <c r="D152" s="1">
        <v>14528.9</v>
      </c>
      <c r="E152" s="1">
        <v>14555.8</v>
      </c>
      <c r="F152" s="2">
        <f t="shared" si="6"/>
        <v>385.38265306122469</v>
      </c>
      <c r="G152" s="2">
        <f t="shared" si="7"/>
        <v>409.08163265306177</v>
      </c>
    </row>
    <row r="153" spans="1:7" x14ac:dyDescent="0.2">
      <c r="A153" s="5">
        <v>75</v>
      </c>
      <c r="B153" s="1">
        <v>13911</v>
      </c>
      <c r="C153" s="1">
        <v>15475.9</v>
      </c>
      <c r="D153" s="1">
        <v>14629.5</v>
      </c>
      <c r="E153" s="1">
        <v>14654.2</v>
      </c>
      <c r="F153" s="2">
        <f t="shared" si="6"/>
        <v>399.20918367346928</v>
      </c>
      <c r="G153" s="2">
        <f t="shared" si="7"/>
        <v>419.23469387755046</v>
      </c>
    </row>
    <row r="154" spans="1:7" x14ac:dyDescent="0.2">
      <c r="A154" s="5">
        <v>75.5</v>
      </c>
      <c r="B154" s="1">
        <v>14015.3</v>
      </c>
      <c r="C154" s="1">
        <v>15570.4</v>
      </c>
      <c r="D154" s="1">
        <v>14734.3</v>
      </c>
      <c r="E154" s="1">
        <v>14758</v>
      </c>
      <c r="F154" s="2">
        <f t="shared" si="6"/>
        <v>396.70918367346951</v>
      </c>
      <c r="G154" s="2">
        <f t="shared" si="7"/>
        <v>414.48979591836718</v>
      </c>
    </row>
    <row r="155" spans="1:7" x14ac:dyDescent="0.2">
      <c r="A155" s="5">
        <v>76</v>
      </c>
      <c r="B155" s="1">
        <v>14097.7</v>
      </c>
      <c r="C155" s="1">
        <v>15705.5</v>
      </c>
      <c r="D155" s="1">
        <v>14836.6</v>
      </c>
      <c r="E155" s="1">
        <v>14861.1</v>
      </c>
      <c r="F155" s="2">
        <f t="shared" si="6"/>
        <v>410.15306122448959</v>
      </c>
      <c r="G155" s="2">
        <f t="shared" si="7"/>
        <v>430.81632653061206</v>
      </c>
    </row>
    <row r="156" spans="1:7" x14ac:dyDescent="0.2">
      <c r="A156" s="5">
        <v>76.5</v>
      </c>
      <c r="B156" s="1">
        <v>14199.3</v>
      </c>
      <c r="C156" s="1">
        <v>15798.3</v>
      </c>
      <c r="D156" s="1">
        <v>14946.4</v>
      </c>
      <c r="E156" s="1">
        <v>14965.8</v>
      </c>
      <c r="F156" s="2">
        <f t="shared" si="6"/>
        <v>407.90816326530614</v>
      </c>
      <c r="G156" s="2">
        <f t="shared" si="7"/>
        <v>424.74489795918367</v>
      </c>
    </row>
    <row r="157" spans="1:7" x14ac:dyDescent="0.2">
      <c r="A157" s="5">
        <v>77</v>
      </c>
      <c r="B157" s="1">
        <v>14274.8</v>
      </c>
      <c r="C157" s="1">
        <v>15920</v>
      </c>
      <c r="D157" s="1">
        <v>15055.6</v>
      </c>
      <c r="E157" s="1">
        <v>15070.7</v>
      </c>
      <c r="F157" s="2">
        <f t="shared" si="6"/>
        <v>419.69387755102059</v>
      </c>
      <c r="G157" s="2">
        <f t="shared" si="7"/>
        <v>433.31632653061189</v>
      </c>
    </row>
    <row r="158" spans="1:7" x14ac:dyDescent="0.2">
      <c r="A158" s="5">
        <v>77.5</v>
      </c>
      <c r="B158" s="1">
        <v>14387.9</v>
      </c>
      <c r="C158" s="1">
        <v>16006.4</v>
      </c>
      <c r="D158" s="1">
        <v>15156.9</v>
      </c>
      <c r="E158" s="1">
        <v>15173.9</v>
      </c>
      <c r="F158" s="2">
        <f t="shared" si="6"/>
        <v>412.88265306122452</v>
      </c>
      <c r="G158" s="2">
        <f t="shared" si="7"/>
        <v>424.74489795918367</v>
      </c>
    </row>
    <row r="159" spans="1:7" x14ac:dyDescent="0.2">
      <c r="A159" s="5">
        <v>78</v>
      </c>
      <c r="B159" s="1">
        <v>14463.9</v>
      </c>
      <c r="C159" s="1">
        <v>16126.1</v>
      </c>
      <c r="D159" s="1">
        <v>15258.4</v>
      </c>
      <c r="E159" s="1">
        <v>15277.3</v>
      </c>
      <c r="F159" s="2">
        <f t="shared" si="6"/>
        <v>424.03061224489818</v>
      </c>
      <c r="G159" s="2">
        <f t="shared" si="7"/>
        <v>433.06122448979647</v>
      </c>
    </row>
    <row r="160" spans="1:7" x14ac:dyDescent="0.2">
      <c r="A160" s="5">
        <v>78.5</v>
      </c>
      <c r="B160" s="1">
        <v>14569.2</v>
      </c>
      <c r="C160" s="1">
        <v>16203.7</v>
      </c>
      <c r="D160" s="1">
        <v>15363.7</v>
      </c>
      <c r="E160" s="1">
        <v>15379.9</v>
      </c>
      <c r="F160" s="2">
        <f t="shared" si="6"/>
        <v>416.96428571428572</v>
      </c>
      <c r="G160" s="2">
        <f t="shared" si="7"/>
        <v>420.30612244898015</v>
      </c>
    </row>
    <row r="161" spans="1:7" x14ac:dyDescent="0.2">
      <c r="A161" s="5">
        <v>79</v>
      </c>
      <c r="B161" s="1">
        <v>14645.2</v>
      </c>
      <c r="C161" s="1">
        <v>16324.2</v>
      </c>
      <c r="D161" s="1">
        <v>15469.8</v>
      </c>
      <c r="E161" s="1">
        <v>15482.9</v>
      </c>
      <c r="F161" s="2">
        <f t="shared" si="6"/>
        <v>428.31632653061223</v>
      </c>
      <c r="G161" s="2">
        <f t="shared" si="7"/>
        <v>429.23469387755159</v>
      </c>
    </row>
    <row r="162" spans="1:7" x14ac:dyDescent="0.2">
      <c r="A162" s="5">
        <v>79.5</v>
      </c>
      <c r="B162" s="1">
        <v>14760.4</v>
      </c>
      <c r="C162" s="1">
        <v>16414.7</v>
      </c>
      <c r="D162" s="1">
        <v>15581.3</v>
      </c>
      <c r="E162" s="1">
        <v>15587.1</v>
      </c>
      <c r="F162" s="2">
        <f t="shared" si="6"/>
        <v>422.01530612244926</v>
      </c>
      <c r="G162" s="2">
        <f t="shared" si="7"/>
        <v>422.24489795918385</v>
      </c>
    </row>
    <row r="163" spans="1:7" x14ac:dyDescent="0.2">
      <c r="A163" s="5">
        <v>80</v>
      </c>
      <c r="B163" s="1">
        <v>14832.4</v>
      </c>
      <c r="C163" s="1">
        <v>16530.3</v>
      </c>
      <c r="D163" s="1">
        <v>15687.2</v>
      </c>
      <c r="E163" s="1">
        <v>15691.5</v>
      </c>
      <c r="F163" s="2">
        <f t="shared" si="6"/>
        <v>433.13775510204073</v>
      </c>
      <c r="G163" s="2">
        <f t="shared" si="7"/>
        <v>427.959183673469</v>
      </c>
    </row>
    <row r="164" spans="1:7" x14ac:dyDescent="0.2">
      <c r="A164" s="5">
        <v>80.5</v>
      </c>
      <c r="B164" s="1">
        <v>14966.1</v>
      </c>
      <c r="C164" s="1">
        <v>16624.099999999999</v>
      </c>
      <c r="D164" s="1">
        <v>15796.1</v>
      </c>
      <c r="E164" s="1">
        <v>15797.2</v>
      </c>
      <c r="F164" s="2">
        <f t="shared" si="6"/>
        <v>422.95918367346894</v>
      </c>
      <c r="G164" s="2">
        <f t="shared" si="7"/>
        <v>421.8877551020397</v>
      </c>
    </row>
    <row r="165" spans="1:7" x14ac:dyDescent="0.2">
      <c r="A165" s="5">
        <v>81</v>
      </c>
      <c r="B165" s="1">
        <v>15050.2</v>
      </c>
      <c r="C165" s="1">
        <v>16739.5</v>
      </c>
      <c r="D165" s="1">
        <v>15902.4</v>
      </c>
      <c r="E165" s="1">
        <v>15902.8</v>
      </c>
      <c r="F165" s="2">
        <f t="shared" si="6"/>
        <v>430.94387755102025</v>
      </c>
      <c r="G165" s="2">
        <f t="shared" si="7"/>
        <v>426.88775510204118</v>
      </c>
    </row>
    <row r="166" spans="1:7" x14ac:dyDescent="0.2">
      <c r="A166" s="5">
        <v>81.5</v>
      </c>
      <c r="B166" s="1">
        <v>15161.2</v>
      </c>
      <c r="C166" s="1">
        <v>16823.5</v>
      </c>
      <c r="D166" s="1">
        <v>16002.6</v>
      </c>
      <c r="E166" s="1">
        <v>16006.2</v>
      </c>
      <c r="F166" s="2">
        <f t="shared" si="6"/>
        <v>424.05612244897941</v>
      </c>
      <c r="G166" s="2">
        <f t="shared" si="7"/>
        <v>416.98979591836701</v>
      </c>
    </row>
    <row r="167" spans="1:7" x14ac:dyDescent="0.2">
      <c r="A167" s="5">
        <v>82</v>
      </c>
      <c r="B167" s="1">
        <v>15245.6</v>
      </c>
      <c r="C167" s="1">
        <v>16933.8</v>
      </c>
      <c r="D167" s="1">
        <v>16111.2</v>
      </c>
      <c r="E167" s="1">
        <v>16109.9</v>
      </c>
      <c r="F167" s="2">
        <f t="shared" si="6"/>
        <v>430.66326530612218</v>
      </c>
      <c r="G167" s="2">
        <f t="shared" si="7"/>
        <v>420.35714285714266</v>
      </c>
    </row>
    <row r="168" spans="1:7" x14ac:dyDescent="0.2">
      <c r="A168" s="5">
        <v>82.5</v>
      </c>
      <c r="B168" s="1">
        <v>15371.5</v>
      </c>
      <c r="C168" s="1">
        <v>17012.400000000001</v>
      </c>
      <c r="D168" s="1">
        <v>16210.6</v>
      </c>
      <c r="E168" s="1">
        <v>16209.6</v>
      </c>
      <c r="F168" s="2">
        <f t="shared" si="6"/>
        <v>418.59693877551058</v>
      </c>
      <c r="G168" s="2">
        <f t="shared" si="7"/>
        <v>409.59183673469443</v>
      </c>
    </row>
    <row r="169" spans="1:7" x14ac:dyDescent="0.2">
      <c r="A169" s="5">
        <v>83</v>
      </c>
      <c r="B169" s="1">
        <v>15464.4</v>
      </c>
      <c r="C169" s="1">
        <v>17115</v>
      </c>
      <c r="D169" s="1">
        <v>16311.5</v>
      </c>
      <c r="E169" s="1">
        <v>16308.4</v>
      </c>
      <c r="F169" s="2">
        <f t="shared" si="6"/>
        <v>421.07142857142867</v>
      </c>
      <c r="G169" s="2">
        <f t="shared" si="7"/>
        <v>411.53061224489818</v>
      </c>
    </row>
    <row r="170" spans="1:7" x14ac:dyDescent="0.2">
      <c r="A170" s="5">
        <v>83.5</v>
      </c>
      <c r="B170" s="1">
        <v>15593.8</v>
      </c>
      <c r="C170" s="1">
        <v>17190.7</v>
      </c>
      <c r="D170" s="1">
        <v>16415.2</v>
      </c>
      <c r="E170" s="1">
        <v>16413.8</v>
      </c>
      <c r="F170" s="2">
        <f t="shared" si="6"/>
        <v>407.37244897959221</v>
      </c>
      <c r="G170" s="2">
        <f t="shared" si="7"/>
        <v>396.37755102040893</v>
      </c>
    </row>
    <row r="171" spans="1:7" x14ac:dyDescent="0.2">
      <c r="A171" s="5">
        <v>84</v>
      </c>
      <c r="B171" s="1">
        <v>15690.1</v>
      </c>
      <c r="C171" s="1">
        <v>17295</v>
      </c>
      <c r="D171" s="1">
        <v>16520.099999999999</v>
      </c>
      <c r="E171" s="1">
        <v>16519.099999999999</v>
      </c>
      <c r="F171" s="2">
        <f t="shared" si="6"/>
        <v>409.41326530612236</v>
      </c>
      <c r="G171" s="2">
        <f t="shared" si="7"/>
        <v>395.86734693877628</v>
      </c>
    </row>
    <row r="172" spans="1:7" x14ac:dyDescent="0.2">
      <c r="A172" s="5">
        <v>84.5</v>
      </c>
      <c r="B172" s="1">
        <v>15829.1</v>
      </c>
      <c r="C172" s="1">
        <v>17364.5</v>
      </c>
      <c r="D172" s="1">
        <v>16621.2</v>
      </c>
      <c r="E172" s="1">
        <v>16621.3</v>
      </c>
      <c r="F172" s="2">
        <f t="shared" si="6"/>
        <v>391.68367346938766</v>
      </c>
      <c r="G172" s="2">
        <f t="shared" si="7"/>
        <v>379.18367346938811</v>
      </c>
    </row>
    <row r="173" spans="1:7" x14ac:dyDescent="0.2">
      <c r="A173" s="5">
        <v>85</v>
      </c>
      <c r="B173" s="1">
        <v>15937.8</v>
      </c>
      <c r="C173" s="1">
        <v>17469.900000000001</v>
      </c>
      <c r="D173" s="1">
        <v>16724.2</v>
      </c>
      <c r="E173" s="1">
        <v>16723.599999999999</v>
      </c>
      <c r="F173" s="2">
        <f t="shared" si="6"/>
        <v>390.84183673469443</v>
      </c>
      <c r="G173" s="2">
        <f t="shared" si="7"/>
        <v>380.76530612245045</v>
      </c>
    </row>
    <row r="174" spans="1:7" x14ac:dyDescent="0.2">
      <c r="A174" s="5">
        <v>85.5</v>
      </c>
      <c r="B174" s="1">
        <v>16078.2</v>
      </c>
      <c r="C174" s="1">
        <v>17541.900000000001</v>
      </c>
      <c r="D174" s="1">
        <v>16823.599999999999</v>
      </c>
      <c r="E174" s="1">
        <v>16826.3</v>
      </c>
      <c r="F174" s="2">
        <f t="shared" si="6"/>
        <v>373.39285714285734</v>
      </c>
      <c r="G174" s="2">
        <f t="shared" si="7"/>
        <v>365.10204081632764</v>
      </c>
    </row>
    <row r="175" spans="1:7" x14ac:dyDescent="0.2">
      <c r="A175" s="5">
        <v>86</v>
      </c>
      <c r="B175" s="1">
        <v>16170.8</v>
      </c>
      <c r="C175" s="1">
        <v>17636.099999999999</v>
      </c>
      <c r="D175" s="1">
        <v>16927.5</v>
      </c>
      <c r="E175" s="1">
        <v>16929.900000000001</v>
      </c>
      <c r="F175" s="2">
        <f t="shared" si="6"/>
        <v>373.80102040816308</v>
      </c>
      <c r="G175" s="2">
        <f t="shared" si="7"/>
        <v>360.3061224489781</v>
      </c>
    </row>
    <row r="176" spans="1:7" x14ac:dyDescent="0.2">
      <c r="A176" s="5">
        <v>86.5</v>
      </c>
      <c r="B176" s="1">
        <v>16308.9</v>
      </c>
      <c r="C176" s="1">
        <v>17705</v>
      </c>
      <c r="D176" s="1">
        <v>17023.400000000001</v>
      </c>
      <c r="E176" s="1">
        <v>17026.7</v>
      </c>
      <c r="F176" s="2">
        <f t="shared" si="6"/>
        <v>356.14795918367355</v>
      </c>
      <c r="G176" s="2">
        <f t="shared" si="7"/>
        <v>346.07142857142821</v>
      </c>
    </row>
    <row r="177" spans="1:7" x14ac:dyDescent="0.2">
      <c r="A177" s="5">
        <v>87</v>
      </c>
      <c r="B177" s="1">
        <v>16408.599999999999</v>
      </c>
      <c r="C177" s="1">
        <v>17806.7</v>
      </c>
      <c r="D177" s="1">
        <v>17125.400000000001</v>
      </c>
      <c r="E177" s="1">
        <v>17126.5</v>
      </c>
      <c r="F177" s="2">
        <f t="shared" si="6"/>
        <v>356.65816326530671</v>
      </c>
      <c r="G177" s="2">
        <f t="shared" si="7"/>
        <v>347.040816326531</v>
      </c>
    </row>
    <row r="178" spans="1:7" x14ac:dyDescent="0.2">
      <c r="A178" s="5">
        <v>87.5</v>
      </c>
      <c r="B178" s="1">
        <v>16600.8</v>
      </c>
      <c r="C178" s="1">
        <v>17871.400000000001</v>
      </c>
      <c r="D178" s="1">
        <v>17231.5</v>
      </c>
      <c r="E178" s="1">
        <v>17237.2</v>
      </c>
      <c r="F178" s="2">
        <f t="shared" si="6"/>
        <v>324.13265306122503</v>
      </c>
      <c r="G178" s="2">
        <f t="shared" si="7"/>
        <v>323.57142857142895</v>
      </c>
    </row>
    <row r="179" spans="1:7" x14ac:dyDescent="0.2">
      <c r="A179" s="5">
        <v>88</v>
      </c>
      <c r="B179" s="1">
        <v>16734.7</v>
      </c>
      <c r="C179" s="1">
        <v>17964.400000000001</v>
      </c>
      <c r="D179" s="1">
        <v>17343.8</v>
      </c>
      <c r="E179" s="1">
        <v>17349</v>
      </c>
      <c r="F179" s="2">
        <f t="shared" si="6"/>
        <v>313.69897959183692</v>
      </c>
      <c r="G179" s="2">
        <f t="shared" si="7"/>
        <v>313.97959183673544</v>
      </c>
    </row>
    <row r="180" spans="1:7" x14ac:dyDescent="0.2">
      <c r="A180" s="5">
        <v>88.5</v>
      </c>
      <c r="B180" s="1">
        <v>16963.900000000001</v>
      </c>
      <c r="C180" s="1">
        <v>18111</v>
      </c>
      <c r="D180" s="1">
        <v>17549.2</v>
      </c>
      <c r="E180" s="1">
        <v>17553.5</v>
      </c>
      <c r="F180" s="2">
        <f t="shared" si="6"/>
        <v>292.62755102040779</v>
      </c>
      <c r="G180" s="2">
        <f t="shared" si="7"/>
        <v>284.4387755102041</v>
      </c>
    </row>
    <row r="181" spans="1:7" x14ac:dyDescent="0.2">
      <c r="A181" s="5">
        <v>89</v>
      </c>
      <c r="B181" s="1">
        <v>17080</v>
      </c>
      <c r="C181" s="1">
        <v>18427.099999999999</v>
      </c>
      <c r="D181" s="1">
        <v>17740.3</v>
      </c>
      <c r="E181" s="1">
        <v>17756.3</v>
      </c>
      <c r="F181" s="2">
        <f t="shared" si="6"/>
        <v>343.64795918367309</v>
      </c>
      <c r="G181" s="2">
        <f t="shared" si="7"/>
        <v>342.24489795918333</v>
      </c>
    </row>
    <row r="182" spans="1:7" x14ac:dyDescent="0.2">
      <c r="A182" s="5">
        <v>89.5</v>
      </c>
      <c r="B182" s="1">
        <v>17246.099999999999</v>
      </c>
      <c r="C182" s="1">
        <v>18624</v>
      </c>
      <c r="D182" s="1">
        <v>17922.400000000001</v>
      </c>
      <c r="E182" s="1">
        <v>17934.900000000001</v>
      </c>
      <c r="F182" s="2">
        <f t="shared" si="6"/>
        <v>351.50510204081672</v>
      </c>
      <c r="G182" s="2">
        <f t="shared" si="7"/>
        <v>351.58163265306047</v>
      </c>
    </row>
    <row r="183" spans="1:7" x14ac:dyDescent="0.2">
      <c r="A183" s="5">
        <v>90</v>
      </c>
      <c r="B183" s="1">
        <v>17359.099999999999</v>
      </c>
      <c r="C183" s="1">
        <v>18940.900000000001</v>
      </c>
      <c r="D183" s="1">
        <v>18088.2</v>
      </c>
      <c r="E183" s="1">
        <v>18112.8</v>
      </c>
      <c r="F183" s="2">
        <f t="shared" si="6"/>
        <v>403.52040816326604</v>
      </c>
      <c r="G183" s="2">
        <f t="shared" si="7"/>
        <v>422.50000000000114</v>
      </c>
    </row>
    <row r="184" spans="1:7" x14ac:dyDescent="0.2">
      <c r="A184" s="5">
        <v>90.5</v>
      </c>
      <c r="B184" s="1">
        <v>17557.400000000001</v>
      </c>
      <c r="C184" s="1">
        <v>19109.900000000001</v>
      </c>
      <c r="D184" s="1">
        <v>18266.8</v>
      </c>
      <c r="E184" s="1">
        <v>18293.8</v>
      </c>
      <c r="F184" s="2">
        <f t="shared" si="6"/>
        <v>396.04591836734693</v>
      </c>
      <c r="G184" s="2">
        <f t="shared" si="7"/>
        <v>416.37755102040927</v>
      </c>
    </row>
    <row r="185" spans="1:7" x14ac:dyDescent="0.2">
      <c r="A185" s="5">
        <v>91</v>
      </c>
      <c r="B185" s="1">
        <v>17673.7</v>
      </c>
      <c r="C185" s="1">
        <v>19389.400000000001</v>
      </c>
      <c r="D185" s="1">
        <v>18438.3</v>
      </c>
      <c r="E185" s="1">
        <v>18470.900000000001</v>
      </c>
      <c r="F185" s="2">
        <f t="shared" si="6"/>
        <v>437.67857142857162</v>
      </c>
      <c r="G185" s="2">
        <f t="shared" si="7"/>
        <v>468.62244897959187</v>
      </c>
    </row>
    <row r="186" spans="1:7" x14ac:dyDescent="0.2">
      <c r="A186" s="5">
        <v>91.5</v>
      </c>
      <c r="B186" s="1">
        <v>17866.099999999999</v>
      </c>
      <c r="C186" s="1">
        <v>19540.3</v>
      </c>
      <c r="D186" s="1">
        <v>18611.8</v>
      </c>
      <c r="E186" s="1">
        <v>18647.3</v>
      </c>
      <c r="F186" s="2">
        <f t="shared" si="6"/>
        <v>427.09183673469408</v>
      </c>
      <c r="G186" s="2">
        <f t="shared" si="7"/>
        <v>455.61224489795921</v>
      </c>
    </row>
    <row r="187" spans="1:7" x14ac:dyDescent="0.2">
      <c r="A187" s="5">
        <v>92</v>
      </c>
      <c r="B187" s="1">
        <v>17989.5</v>
      </c>
      <c r="C187" s="1">
        <v>19781.8</v>
      </c>
      <c r="D187" s="1">
        <v>18789.7</v>
      </c>
      <c r="E187" s="1">
        <v>18823.8</v>
      </c>
      <c r="F187" s="2">
        <f t="shared" si="6"/>
        <v>457.21938775510188</v>
      </c>
      <c r="G187" s="2">
        <f t="shared" si="7"/>
        <v>488.77551020408163</v>
      </c>
    </row>
    <row r="188" spans="1:7" x14ac:dyDescent="0.2">
      <c r="A188" s="5">
        <v>92.5</v>
      </c>
      <c r="B188" s="1">
        <v>18219.5</v>
      </c>
      <c r="C188" s="1">
        <v>19942.8</v>
      </c>
      <c r="D188" s="1">
        <v>18977.8</v>
      </c>
      <c r="E188" s="1">
        <v>19008.8</v>
      </c>
      <c r="F188" s="2">
        <f t="shared" si="6"/>
        <v>439.61734693877531</v>
      </c>
      <c r="G188" s="2">
        <f t="shared" si="7"/>
        <v>476.53061224489795</v>
      </c>
    </row>
    <row r="189" spans="1:7" x14ac:dyDescent="0.2">
      <c r="A189" s="5">
        <v>93</v>
      </c>
      <c r="B189" s="1">
        <v>18359.400000000001</v>
      </c>
      <c r="C189" s="1">
        <v>20188.900000000001</v>
      </c>
      <c r="D189" s="1">
        <v>19161.2</v>
      </c>
      <c r="E189" s="1">
        <v>19193.400000000001</v>
      </c>
      <c r="F189" s="2">
        <f t="shared" si="6"/>
        <v>466.7091836734694</v>
      </c>
      <c r="G189" s="2">
        <f t="shared" si="7"/>
        <v>507.90816326530614</v>
      </c>
    </row>
    <row r="190" spans="1:7" x14ac:dyDescent="0.2">
      <c r="A190" s="5">
        <v>93.5</v>
      </c>
      <c r="B190" s="1">
        <v>18578.7</v>
      </c>
      <c r="C190" s="1">
        <v>20357.099999999999</v>
      </c>
      <c r="D190" s="1">
        <v>19326.3</v>
      </c>
      <c r="E190" s="1">
        <v>19369.099999999999</v>
      </c>
      <c r="F190" s="2">
        <f t="shared" si="6"/>
        <v>453.67346938775455</v>
      </c>
      <c r="G190" s="2">
        <f t="shared" si="7"/>
        <v>504.08163265306121</v>
      </c>
    </row>
    <row r="191" spans="1:7" x14ac:dyDescent="0.2">
      <c r="A191" s="5">
        <v>94</v>
      </c>
      <c r="B191" s="1">
        <v>18717.900000000001</v>
      </c>
      <c r="C191" s="1">
        <v>20617.7</v>
      </c>
      <c r="D191" s="1">
        <v>19500.8</v>
      </c>
      <c r="E191" s="1">
        <v>19545.7</v>
      </c>
      <c r="F191" s="2">
        <f t="shared" si="6"/>
        <v>484.64285714285694</v>
      </c>
      <c r="G191" s="2">
        <f t="shared" si="7"/>
        <v>546.9387755102041</v>
      </c>
    </row>
    <row r="192" spans="1:7" x14ac:dyDescent="0.2">
      <c r="A192" s="5">
        <v>94.5</v>
      </c>
      <c r="B192" s="1">
        <v>18985.2</v>
      </c>
      <c r="C192" s="1">
        <v>20789.8</v>
      </c>
      <c r="D192" s="1">
        <v>19670</v>
      </c>
      <c r="E192" s="1">
        <v>19732.3</v>
      </c>
      <c r="F192" s="2">
        <f t="shared" si="6"/>
        <v>460.35714285714249</v>
      </c>
      <c r="G192" s="2">
        <f t="shared" si="7"/>
        <v>539.5408163265306</v>
      </c>
    </row>
    <row r="193" spans="1:7" x14ac:dyDescent="0.2">
      <c r="A193" s="5">
        <v>95</v>
      </c>
      <c r="B193" s="1">
        <v>19159.900000000001</v>
      </c>
      <c r="C193" s="1">
        <v>21043.1</v>
      </c>
      <c r="D193" s="1">
        <v>19849.7</v>
      </c>
      <c r="E193" s="1">
        <v>19921.099999999999</v>
      </c>
      <c r="F193" s="2">
        <f t="shared" si="6"/>
        <v>480.4081632653054</v>
      </c>
      <c r="G193" s="2">
        <f t="shared" si="7"/>
        <v>572.44897959183675</v>
      </c>
    </row>
    <row r="194" spans="1:7" x14ac:dyDescent="0.2">
      <c r="A194" s="5">
        <v>95.5</v>
      </c>
      <c r="B194" s="1">
        <v>19659.900000000001</v>
      </c>
      <c r="C194" s="1">
        <v>21484.1</v>
      </c>
      <c r="D194" s="1">
        <v>20394.5</v>
      </c>
      <c r="E194" s="1">
        <v>20445.8</v>
      </c>
      <c r="F194" s="2">
        <f t="shared" si="6"/>
        <v>465.35714285714215</v>
      </c>
      <c r="G194" s="2">
        <f t="shared" si="7"/>
        <v>529.74489795918328</v>
      </c>
    </row>
    <row r="195" spans="1:7" x14ac:dyDescent="0.2">
      <c r="A195" s="5">
        <v>96</v>
      </c>
      <c r="B195" s="1">
        <v>19834.5</v>
      </c>
      <c r="C195" s="1">
        <v>22315.200000000001</v>
      </c>
      <c r="D195" s="1">
        <v>20918.7</v>
      </c>
      <c r="E195" s="1">
        <v>20971.099999999999</v>
      </c>
      <c r="F195" s="2">
        <f t="shared" si="6"/>
        <v>632.83163265306143</v>
      </c>
      <c r="G195" s="2">
        <f t="shared" si="7"/>
        <v>685.76530612245006</v>
      </c>
    </row>
    <row r="196" spans="1:7" x14ac:dyDescent="0.2">
      <c r="A196" s="5">
        <v>96.5</v>
      </c>
      <c r="B196" s="1">
        <v>20968</v>
      </c>
      <c r="C196" s="1">
        <v>22504.1</v>
      </c>
      <c r="D196" s="1">
        <v>21733.8</v>
      </c>
      <c r="E196" s="1">
        <v>21749.8</v>
      </c>
      <c r="F196" s="2">
        <f t="shared" ref="F196:F259" si="9">(C196-B196)/(2*1.96)</f>
        <v>391.86224489795882</v>
      </c>
      <c r="G196" s="2">
        <f t="shared" ref="G196:G259" si="10">ABS(E196-C196)/1.96</f>
        <v>384.84693877550984</v>
      </c>
    </row>
    <row r="197" spans="1:7" x14ac:dyDescent="0.2">
      <c r="A197" s="5">
        <v>97</v>
      </c>
      <c r="B197" s="1">
        <v>21600.3</v>
      </c>
      <c r="C197" s="1">
        <v>22918.7</v>
      </c>
      <c r="D197" s="1">
        <v>22595.200000000001</v>
      </c>
      <c r="E197" s="1">
        <v>22529.7</v>
      </c>
      <c r="F197" s="2">
        <f t="shared" si="9"/>
        <v>336.32653061224528</v>
      </c>
      <c r="G197" s="2">
        <f t="shared" si="10"/>
        <v>198.46938775510205</v>
      </c>
    </row>
    <row r="198" spans="1:7" x14ac:dyDescent="0.2">
      <c r="A198" s="5">
        <v>97.5</v>
      </c>
      <c r="B198" s="1">
        <v>21833.200000000001</v>
      </c>
      <c r="C198" s="1">
        <v>23025.5</v>
      </c>
      <c r="D198" s="1">
        <v>22709.200000000001</v>
      </c>
      <c r="E198" s="1">
        <v>22652.2</v>
      </c>
      <c r="F198" s="2">
        <f t="shared" si="9"/>
        <v>304.15816326530592</v>
      </c>
      <c r="G198" s="2">
        <f t="shared" si="10"/>
        <v>190.45918367346903</v>
      </c>
    </row>
    <row r="199" spans="1:7" x14ac:dyDescent="0.2">
      <c r="A199" s="5">
        <v>98</v>
      </c>
      <c r="B199" s="1">
        <v>21983.200000000001</v>
      </c>
      <c r="C199" s="1">
        <v>23236.7</v>
      </c>
      <c r="D199" s="1">
        <v>22809.200000000001</v>
      </c>
      <c r="E199" s="1">
        <v>22774.2</v>
      </c>
      <c r="F199" s="2">
        <f t="shared" si="9"/>
        <v>319.7704081632653</v>
      </c>
      <c r="G199" s="2">
        <f t="shared" si="10"/>
        <v>235.96938775510205</v>
      </c>
    </row>
    <row r="200" spans="1:7" x14ac:dyDescent="0.2">
      <c r="A200" s="5">
        <v>98.5</v>
      </c>
      <c r="B200" s="1">
        <v>22124.400000000001</v>
      </c>
      <c r="C200" s="1">
        <v>23310.3</v>
      </c>
      <c r="D200" s="1">
        <v>22898.9</v>
      </c>
      <c r="E200" s="1">
        <v>22865.9</v>
      </c>
      <c r="F200" s="2">
        <f t="shared" si="9"/>
        <v>302.52551020408106</v>
      </c>
      <c r="G200" s="2">
        <f t="shared" si="10"/>
        <v>226.73469387754992</v>
      </c>
    </row>
    <row r="201" spans="1:7" x14ac:dyDescent="0.2">
      <c r="A201" s="5">
        <v>99</v>
      </c>
      <c r="B201" s="1">
        <v>22236.799999999999</v>
      </c>
      <c r="C201" s="1">
        <v>23449.200000000001</v>
      </c>
      <c r="D201" s="1">
        <v>22979.9</v>
      </c>
      <c r="E201" s="1">
        <v>22959.1</v>
      </c>
      <c r="F201" s="2">
        <f t="shared" si="9"/>
        <v>309.28571428571468</v>
      </c>
      <c r="G201" s="2">
        <f t="shared" si="10"/>
        <v>250.05102040816439</v>
      </c>
    </row>
    <row r="202" spans="1:7" x14ac:dyDescent="0.2">
      <c r="A202" s="5">
        <v>99.5</v>
      </c>
      <c r="B202" s="1">
        <v>22362.5</v>
      </c>
      <c r="C202" s="1">
        <v>23532.9</v>
      </c>
      <c r="D202" s="1">
        <v>23072.9</v>
      </c>
      <c r="E202" s="1">
        <v>23055.3</v>
      </c>
      <c r="F202" s="2">
        <f t="shared" si="9"/>
        <v>298.57142857142895</v>
      </c>
      <c r="G202" s="2">
        <f t="shared" si="10"/>
        <v>243.67346938775623</v>
      </c>
    </row>
    <row r="203" spans="1:7" x14ac:dyDescent="0.2">
      <c r="A203" s="5">
        <v>100</v>
      </c>
      <c r="B203" s="1">
        <v>22481.599999999999</v>
      </c>
      <c r="C203" s="1">
        <v>23653.8</v>
      </c>
      <c r="D203" s="1">
        <v>23163.1</v>
      </c>
      <c r="E203" s="1">
        <v>23151</v>
      </c>
      <c r="F203" s="2">
        <f t="shared" si="9"/>
        <v>299.03061224489812</v>
      </c>
      <c r="G203" s="2">
        <f t="shared" si="10"/>
        <v>256.53061224489761</v>
      </c>
    </row>
    <row r="204" spans="1:7" x14ac:dyDescent="0.2">
      <c r="A204" s="5">
        <v>100.5</v>
      </c>
      <c r="B204" s="1">
        <v>22634.6</v>
      </c>
      <c r="C204" s="1">
        <v>23725.7</v>
      </c>
      <c r="D204" s="1">
        <v>23256</v>
      </c>
      <c r="E204" s="1">
        <v>23246.5</v>
      </c>
      <c r="F204" s="2">
        <f t="shared" si="9"/>
        <v>278.34183673469443</v>
      </c>
      <c r="G204" s="2">
        <f t="shared" si="10"/>
        <v>244.48979591836772</v>
      </c>
    </row>
    <row r="205" spans="1:7" x14ac:dyDescent="0.2">
      <c r="A205" s="5">
        <v>101</v>
      </c>
      <c r="B205" s="1">
        <v>22750.400000000001</v>
      </c>
      <c r="C205" s="1">
        <v>23833.4</v>
      </c>
      <c r="D205" s="1">
        <v>23348.9</v>
      </c>
      <c r="E205" s="1">
        <v>23342.9</v>
      </c>
      <c r="F205" s="2">
        <f t="shared" si="9"/>
        <v>276.27551020408163</v>
      </c>
      <c r="G205" s="2">
        <f t="shared" si="10"/>
        <v>250.25510204081633</v>
      </c>
    </row>
    <row r="206" spans="1:7" x14ac:dyDescent="0.2">
      <c r="A206" s="5">
        <v>101.5</v>
      </c>
      <c r="B206" s="1">
        <v>22893.3</v>
      </c>
      <c r="C206" s="1">
        <v>23893.7</v>
      </c>
      <c r="D206" s="1">
        <v>23438.1</v>
      </c>
      <c r="E206" s="1">
        <v>23436</v>
      </c>
      <c r="F206" s="2">
        <f t="shared" si="9"/>
        <v>255.20408163265344</v>
      </c>
      <c r="G206" s="2">
        <f t="shared" si="10"/>
        <v>233.52040816326567</v>
      </c>
    </row>
    <row r="207" spans="1:7" x14ac:dyDescent="0.2">
      <c r="A207" s="5">
        <v>102</v>
      </c>
      <c r="B207" s="1">
        <v>23003</v>
      </c>
      <c r="C207" s="1">
        <v>24002.3</v>
      </c>
      <c r="D207" s="1">
        <v>23528.7</v>
      </c>
      <c r="E207" s="1">
        <v>23528.799999999999</v>
      </c>
      <c r="F207" s="2">
        <f t="shared" si="9"/>
        <v>254.92346938775492</v>
      </c>
      <c r="G207" s="2">
        <f t="shared" si="10"/>
        <v>241.58163265306123</v>
      </c>
    </row>
    <row r="208" spans="1:7" x14ac:dyDescent="0.2">
      <c r="A208" s="5">
        <v>102.5</v>
      </c>
      <c r="B208" s="1">
        <v>23167.4</v>
      </c>
      <c r="C208" s="1">
        <v>24077.4</v>
      </c>
      <c r="D208" s="1">
        <v>23612.6</v>
      </c>
      <c r="E208" s="1">
        <v>23619.7</v>
      </c>
      <c r="F208" s="2">
        <f t="shared" si="9"/>
        <v>232.14285714285714</v>
      </c>
      <c r="G208" s="2">
        <f t="shared" si="10"/>
        <v>233.52040816326567</v>
      </c>
    </row>
    <row r="209" spans="1:7" x14ac:dyDescent="0.2">
      <c r="A209" s="5">
        <v>103</v>
      </c>
      <c r="B209" s="1">
        <v>23276.5</v>
      </c>
      <c r="C209" s="1">
        <v>24177.5</v>
      </c>
      <c r="D209" s="1">
        <v>23701.1</v>
      </c>
      <c r="E209" s="1">
        <v>23712.9</v>
      </c>
      <c r="F209" s="2">
        <f t="shared" si="9"/>
        <v>229.84693877551021</v>
      </c>
      <c r="G209" s="2">
        <f t="shared" si="10"/>
        <v>237.04081632652986</v>
      </c>
    </row>
    <row r="210" spans="1:7" x14ac:dyDescent="0.2">
      <c r="A210" s="5">
        <v>103.5</v>
      </c>
      <c r="B210" s="1">
        <v>23478</v>
      </c>
      <c r="C210" s="1">
        <v>24249.599999999999</v>
      </c>
      <c r="D210" s="1">
        <v>23798.400000000001</v>
      </c>
      <c r="E210" s="1">
        <v>23818</v>
      </c>
      <c r="F210" s="2">
        <f t="shared" si="9"/>
        <v>196.83673469387719</v>
      </c>
      <c r="G210" s="2">
        <f t="shared" si="10"/>
        <v>220.20408163265233</v>
      </c>
    </row>
    <row r="211" spans="1:7" x14ac:dyDescent="0.2">
      <c r="A211" s="5">
        <v>104</v>
      </c>
      <c r="B211" s="1">
        <v>23580.9</v>
      </c>
      <c r="C211" s="1">
        <v>24379.5</v>
      </c>
      <c r="D211" s="1">
        <v>23903.5</v>
      </c>
      <c r="E211" s="1">
        <v>23927.4</v>
      </c>
      <c r="F211" s="2">
        <f t="shared" si="9"/>
        <v>203.724489795918</v>
      </c>
      <c r="G211" s="2">
        <f t="shared" si="10"/>
        <v>230.6632653061217</v>
      </c>
    </row>
    <row r="212" spans="1:7" x14ac:dyDescent="0.2">
      <c r="A212" s="5">
        <v>104.5</v>
      </c>
      <c r="B212" s="1">
        <v>23726.7</v>
      </c>
      <c r="C212" s="1">
        <v>24583.4</v>
      </c>
      <c r="D212" s="1">
        <v>24106.7</v>
      </c>
      <c r="E212" s="1">
        <v>24124.7</v>
      </c>
      <c r="F212" s="2">
        <f t="shared" si="9"/>
        <v>218.54591836734713</v>
      </c>
      <c r="G212" s="2">
        <f t="shared" si="10"/>
        <v>234.03061224489832</v>
      </c>
    </row>
    <row r="213" spans="1:7" x14ac:dyDescent="0.2">
      <c r="A213" s="5">
        <v>105</v>
      </c>
      <c r="B213" s="1">
        <v>23797.7</v>
      </c>
      <c r="C213" s="1">
        <v>24959.5</v>
      </c>
      <c r="D213" s="1">
        <v>24297.8</v>
      </c>
      <c r="E213" s="1">
        <v>24321.200000000001</v>
      </c>
      <c r="F213" s="2">
        <f t="shared" si="9"/>
        <v>296.37755102040796</v>
      </c>
      <c r="G213" s="2">
        <f t="shared" si="10"/>
        <v>325.66326530612207</v>
      </c>
    </row>
    <row r="214" spans="1:7" x14ac:dyDescent="0.2">
      <c r="A214" s="5">
        <v>105.5</v>
      </c>
      <c r="B214" s="1">
        <v>23973.7</v>
      </c>
      <c r="C214" s="1">
        <v>25098.9</v>
      </c>
      <c r="D214" s="1">
        <v>24497.599999999999</v>
      </c>
      <c r="E214" s="1">
        <v>24511.9</v>
      </c>
      <c r="F214" s="2">
        <f t="shared" si="9"/>
        <v>287.04081632653083</v>
      </c>
      <c r="G214" s="2">
        <f t="shared" si="10"/>
        <v>299.48979591836735</v>
      </c>
    </row>
    <row r="215" spans="1:7" x14ac:dyDescent="0.2">
      <c r="A215" s="5">
        <v>106</v>
      </c>
      <c r="B215" s="1">
        <v>24066.1</v>
      </c>
      <c r="C215" s="1">
        <v>25373.3</v>
      </c>
      <c r="D215" s="1">
        <v>24685.8</v>
      </c>
      <c r="E215" s="1">
        <v>24699.1</v>
      </c>
      <c r="F215" s="2">
        <f t="shared" si="9"/>
        <v>333.46938775510222</v>
      </c>
      <c r="G215" s="2">
        <f t="shared" si="10"/>
        <v>343.9795918367351</v>
      </c>
    </row>
    <row r="216" spans="1:7" x14ac:dyDescent="0.2">
      <c r="A216" s="5">
        <v>106.5</v>
      </c>
      <c r="B216" s="1">
        <v>24197</v>
      </c>
      <c r="C216" s="1">
        <v>25513.8</v>
      </c>
      <c r="D216" s="1">
        <v>24827.5</v>
      </c>
      <c r="E216" s="1">
        <v>24840.5</v>
      </c>
      <c r="F216" s="2">
        <f t="shared" si="9"/>
        <v>335.91836734693862</v>
      </c>
      <c r="G216" s="2">
        <f t="shared" si="10"/>
        <v>343.52040816326496</v>
      </c>
    </row>
    <row r="217" spans="1:7" x14ac:dyDescent="0.2">
      <c r="A217" s="5">
        <v>107</v>
      </c>
      <c r="B217" s="1">
        <v>24279.3</v>
      </c>
      <c r="C217" s="1">
        <v>25735.599999999999</v>
      </c>
      <c r="D217" s="1">
        <v>24962.3</v>
      </c>
      <c r="E217" s="1">
        <v>24981.4</v>
      </c>
      <c r="F217" s="2">
        <f t="shared" si="9"/>
        <v>371.50510204081615</v>
      </c>
      <c r="G217" s="2">
        <f t="shared" si="10"/>
        <v>384.79591836734545</v>
      </c>
    </row>
    <row r="218" spans="1:7" x14ac:dyDescent="0.2">
      <c r="A218" s="5">
        <v>107.5</v>
      </c>
      <c r="B218" s="1">
        <v>24415.9</v>
      </c>
      <c r="C218" s="1">
        <v>25850.7</v>
      </c>
      <c r="D218" s="1">
        <v>25101.7</v>
      </c>
      <c r="E218" s="1">
        <v>25119.200000000001</v>
      </c>
      <c r="F218" s="2">
        <f t="shared" si="9"/>
        <v>366.02040816326513</v>
      </c>
      <c r="G218" s="2">
        <f t="shared" si="10"/>
        <v>373.21428571428572</v>
      </c>
    </row>
    <row r="219" spans="1:7" x14ac:dyDescent="0.2">
      <c r="A219" s="5">
        <v>108</v>
      </c>
      <c r="B219" s="1">
        <v>24507.8</v>
      </c>
      <c r="C219" s="1">
        <v>26026.400000000001</v>
      </c>
      <c r="D219" s="1">
        <v>25236.7</v>
      </c>
      <c r="E219" s="1">
        <v>25252.799999999999</v>
      </c>
      <c r="F219" s="2">
        <f t="shared" si="9"/>
        <v>387.39795918367406</v>
      </c>
      <c r="G219" s="2">
        <f t="shared" si="10"/>
        <v>394.6938775510215</v>
      </c>
    </row>
    <row r="220" spans="1:7" x14ac:dyDescent="0.2">
      <c r="A220" s="5">
        <v>108.5</v>
      </c>
      <c r="B220" s="1">
        <v>24663.9</v>
      </c>
      <c r="C220" s="1">
        <v>26143.1</v>
      </c>
      <c r="D220" s="1">
        <v>25376.1</v>
      </c>
      <c r="E220" s="1">
        <v>25392.5</v>
      </c>
      <c r="F220" s="2">
        <f t="shared" si="9"/>
        <v>377.34693877550944</v>
      </c>
      <c r="G220" s="2">
        <f t="shared" si="10"/>
        <v>382.95918367346866</v>
      </c>
    </row>
    <row r="221" spans="1:7" x14ac:dyDescent="0.2">
      <c r="A221" s="5">
        <v>109</v>
      </c>
      <c r="B221" s="1">
        <v>24771.599999999999</v>
      </c>
      <c r="C221" s="1">
        <v>26315.4</v>
      </c>
      <c r="D221" s="1">
        <v>25515</v>
      </c>
      <c r="E221" s="1">
        <v>25533.200000000001</v>
      </c>
      <c r="F221" s="2">
        <f t="shared" si="9"/>
        <v>393.82653061224562</v>
      </c>
      <c r="G221" s="2">
        <f t="shared" si="10"/>
        <v>399.0816326530616</v>
      </c>
    </row>
    <row r="222" spans="1:7" x14ac:dyDescent="0.2">
      <c r="A222" s="5">
        <v>109.5</v>
      </c>
      <c r="B222" s="1">
        <v>24963</v>
      </c>
      <c r="C222" s="1">
        <v>26427.599999999999</v>
      </c>
      <c r="D222" s="1">
        <v>25653.9</v>
      </c>
      <c r="E222" s="1">
        <v>25674.9</v>
      </c>
      <c r="F222" s="2">
        <f t="shared" si="9"/>
        <v>373.62244897959147</v>
      </c>
      <c r="G222" s="2">
        <f t="shared" si="10"/>
        <v>384.03061224489647</v>
      </c>
    </row>
    <row r="223" spans="1:7" x14ac:dyDescent="0.2">
      <c r="A223" s="5">
        <v>110</v>
      </c>
      <c r="B223" s="1">
        <v>25090</v>
      </c>
      <c r="C223" s="1">
        <v>26589.7</v>
      </c>
      <c r="D223" s="1">
        <v>25795</v>
      </c>
      <c r="E223" s="1">
        <v>25817.1</v>
      </c>
      <c r="F223" s="2">
        <f t="shared" si="9"/>
        <v>382.57653061224511</v>
      </c>
      <c r="G223" s="2">
        <f t="shared" si="10"/>
        <v>394.18367346938885</v>
      </c>
    </row>
    <row r="224" spans="1:7" x14ac:dyDescent="0.2">
      <c r="A224" s="5">
        <v>110.5</v>
      </c>
      <c r="B224" s="1">
        <v>25256.1</v>
      </c>
      <c r="C224" s="1">
        <v>26708.799999999999</v>
      </c>
      <c r="D224" s="1">
        <v>25927.599999999999</v>
      </c>
      <c r="E224" s="1">
        <v>25953.599999999999</v>
      </c>
      <c r="F224" s="2">
        <f t="shared" si="9"/>
        <v>370.58673469387776</v>
      </c>
      <c r="G224" s="2">
        <f t="shared" si="10"/>
        <v>385.30612244897998</v>
      </c>
    </row>
    <row r="225" spans="1:7" x14ac:dyDescent="0.2">
      <c r="A225" s="5">
        <v>111</v>
      </c>
      <c r="B225" s="1">
        <v>25368.1</v>
      </c>
      <c r="C225" s="1">
        <v>26868.2</v>
      </c>
      <c r="D225" s="1">
        <v>26066.7</v>
      </c>
      <c r="E225" s="1">
        <v>26090.799999999999</v>
      </c>
      <c r="F225" s="2">
        <f t="shared" si="9"/>
        <v>382.67857142857201</v>
      </c>
      <c r="G225" s="2">
        <f t="shared" si="10"/>
        <v>396.63265306122526</v>
      </c>
    </row>
    <row r="226" spans="1:7" x14ac:dyDescent="0.2">
      <c r="A226" s="5">
        <v>111.5</v>
      </c>
      <c r="B226" s="1">
        <v>25534.6</v>
      </c>
      <c r="C226" s="1">
        <v>27027</v>
      </c>
      <c r="D226" s="1">
        <v>26231.1</v>
      </c>
      <c r="E226" s="1">
        <v>26253.599999999999</v>
      </c>
      <c r="F226" s="2">
        <f t="shared" si="9"/>
        <v>380.71428571428612</v>
      </c>
      <c r="G226" s="2">
        <f t="shared" si="10"/>
        <v>394.59183673469465</v>
      </c>
    </row>
    <row r="227" spans="1:7" x14ac:dyDescent="0.2">
      <c r="A227" s="5">
        <v>112</v>
      </c>
      <c r="B227" s="1">
        <v>25640.2</v>
      </c>
      <c r="C227" s="1">
        <v>27296.1</v>
      </c>
      <c r="D227" s="1">
        <v>26388.7</v>
      </c>
      <c r="E227" s="1">
        <v>26416.799999999999</v>
      </c>
      <c r="F227" s="2">
        <f t="shared" si="9"/>
        <v>422.42346938775455</v>
      </c>
      <c r="G227" s="2">
        <f t="shared" si="10"/>
        <v>448.62244897959147</v>
      </c>
    </row>
    <row r="228" spans="1:7" x14ac:dyDescent="0.2">
      <c r="A228" s="5">
        <v>112.5</v>
      </c>
      <c r="B228" s="1">
        <v>25773.5</v>
      </c>
      <c r="C228" s="1">
        <v>27470.9</v>
      </c>
      <c r="D228" s="1">
        <v>26560.9</v>
      </c>
      <c r="E228" s="1">
        <v>26585.4</v>
      </c>
      <c r="F228" s="2">
        <f t="shared" si="9"/>
        <v>433.01020408163305</v>
      </c>
      <c r="G228" s="2">
        <f t="shared" si="10"/>
        <v>451.78571428571428</v>
      </c>
    </row>
    <row r="229" spans="1:7" x14ac:dyDescent="0.2">
      <c r="A229" s="5">
        <v>113</v>
      </c>
      <c r="B229" s="1">
        <v>25871.3</v>
      </c>
      <c r="C229" s="1">
        <v>27759.8</v>
      </c>
      <c r="D229" s="1">
        <v>26714.9</v>
      </c>
      <c r="E229" s="1">
        <v>26754.5</v>
      </c>
      <c r="F229" s="2">
        <f t="shared" si="9"/>
        <v>481.76020408163265</v>
      </c>
      <c r="G229" s="2">
        <f t="shared" si="10"/>
        <v>512.9081632653058</v>
      </c>
    </row>
    <row r="230" spans="1:7" x14ac:dyDescent="0.2">
      <c r="A230" s="5">
        <v>113.5</v>
      </c>
      <c r="B230" s="1">
        <v>26020.2</v>
      </c>
      <c r="C230" s="1">
        <v>27937</v>
      </c>
      <c r="D230" s="1">
        <v>26890.7</v>
      </c>
      <c r="E230" s="1">
        <v>26923.7</v>
      </c>
      <c r="F230" s="2">
        <f t="shared" si="9"/>
        <v>488.97959183673453</v>
      </c>
      <c r="G230" s="2">
        <f t="shared" si="10"/>
        <v>516.98979591836701</v>
      </c>
    </row>
    <row r="231" spans="1:7" x14ac:dyDescent="0.2">
      <c r="A231" s="5">
        <v>114</v>
      </c>
      <c r="B231" s="1">
        <v>26113.9</v>
      </c>
      <c r="C231" s="1">
        <v>28224.799999999999</v>
      </c>
      <c r="D231" s="1">
        <v>27055.9</v>
      </c>
      <c r="E231" s="1">
        <v>27092.799999999999</v>
      </c>
      <c r="F231" s="2">
        <f t="shared" si="9"/>
        <v>538.49489795918316</v>
      </c>
      <c r="G231" s="2">
        <f t="shared" si="10"/>
        <v>577.55102040816325</v>
      </c>
    </row>
    <row r="232" spans="1:7" x14ac:dyDescent="0.2">
      <c r="A232" s="5">
        <v>114.5</v>
      </c>
      <c r="B232" s="1">
        <v>26254.400000000001</v>
      </c>
      <c r="C232" s="1">
        <v>28379</v>
      </c>
      <c r="D232" s="1">
        <v>27223.4</v>
      </c>
      <c r="E232" s="1">
        <v>27260.2</v>
      </c>
      <c r="F232" s="2">
        <f t="shared" si="9"/>
        <v>541.98979591836701</v>
      </c>
      <c r="G232" s="2">
        <f t="shared" si="10"/>
        <v>570.81632653061183</v>
      </c>
    </row>
    <row r="233" spans="1:7" x14ac:dyDescent="0.2">
      <c r="A233" s="5">
        <v>115</v>
      </c>
      <c r="B233" s="1">
        <v>26343.7</v>
      </c>
      <c r="C233" s="1">
        <v>28616.1</v>
      </c>
      <c r="D233" s="1">
        <v>27387.599999999999</v>
      </c>
      <c r="E233" s="1">
        <v>27426.5</v>
      </c>
      <c r="F233" s="2">
        <f t="shared" si="9"/>
        <v>579.69387755101991</v>
      </c>
      <c r="G233" s="2">
        <f t="shared" si="10"/>
        <v>606.9387755102033</v>
      </c>
    </row>
    <row r="234" spans="1:7" x14ac:dyDescent="0.2">
      <c r="A234" s="5">
        <v>115.5</v>
      </c>
      <c r="B234" s="1">
        <v>26483.9</v>
      </c>
      <c r="C234" s="1">
        <v>28781.599999999999</v>
      </c>
      <c r="D234" s="1">
        <v>27573.8</v>
      </c>
      <c r="E234" s="1">
        <v>27597</v>
      </c>
      <c r="F234" s="2">
        <f t="shared" si="9"/>
        <v>586.1479591836727</v>
      </c>
      <c r="G234" s="2">
        <f t="shared" si="10"/>
        <v>604.38775510204005</v>
      </c>
    </row>
    <row r="235" spans="1:7" x14ac:dyDescent="0.2">
      <c r="A235" s="5">
        <v>116</v>
      </c>
      <c r="B235" s="1">
        <v>26590.5</v>
      </c>
      <c r="C235" s="1">
        <v>29017</v>
      </c>
      <c r="D235" s="1">
        <v>27740.3</v>
      </c>
      <c r="E235" s="1">
        <v>27764.799999999999</v>
      </c>
      <c r="F235" s="2">
        <f t="shared" si="9"/>
        <v>619.00510204081638</v>
      </c>
      <c r="G235" s="2">
        <f t="shared" si="10"/>
        <v>638.87755102040853</v>
      </c>
    </row>
    <row r="236" spans="1:7" x14ac:dyDescent="0.2">
      <c r="A236" s="5">
        <v>116.5</v>
      </c>
      <c r="B236" s="1">
        <v>26747.9</v>
      </c>
      <c r="C236" s="1">
        <v>29178.1</v>
      </c>
      <c r="D236" s="1">
        <v>27914.6</v>
      </c>
      <c r="E236" s="1">
        <v>27936.7</v>
      </c>
      <c r="F236" s="2">
        <f t="shared" si="9"/>
        <v>619.94897959183595</v>
      </c>
      <c r="G236" s="2">
        <f t="shared" si="10"/>
        <v>633.3673469387744</v>
      </c>
    </row>
    <row r="237" spans="1:7" x14ac:dyDescent="0.2">
      <c r="A237" s="5">
        <v>117</v>
      </c>
      <c r="B237" s="1">
        <v>26865.200000000001</v>
      </c>
      <c r="C237" s="1">
        <v>29413.8</v>
      </c>
      <c r="D237" s="1">
        <v>28090</v>
      </c>
      <c r="E237" s="1">
        <v>28108.6</v>
      </c>
      <c r="F237" s="2">
        <f t="shared" si="9"/>
        <v>650.15306122448942</v>
      </c>
      <c r="G237" s="2">
        <f t="shared" si="10"/>
        <v>665.91836734693914</v>
      </c>
    </row>
    <row r="238" spans="1:7" x14ac:dyDescent="0.2">
      <c r="A238" s="5">
        <v>117.5</v>
      </c>
      <c r="B238" s="1">
        <v>26998.6</v>
      </c>
      <c r="C238" s="1">
        <v>29560.400000000001</v>
      </c>
      <c r="D238" s="1">
        <v>28278.799999999999</v>
      </c>
      <c r="E238" s="1">
        <v>28280.7</v>
      </c>
      <c r="F238" s="2">
        <f t="shared" si="9"/>
        <v>653.5204081632661</v>
      </c>
      <c r="G238" s="2">
        <f t="shared" si="10"/>
        <v>652.90816326530648</v>
      </c>
    </row>
    <row r="239" spans="1:7" x14ac:dyDescent="0.2">
      <c r="A239" s="5">
        <v>118</v>
      </c>
      <c r="B239" s="1">
        <v>27090</v>
      </c>
      <c r="C239" s="1">
        <v>29761.9</v>
      </c>
      <c r="D239" s="1">
        <v>28448.9</v>
      </c>
      <c r="E239" s="1">
        <v>28450.799999999999</v>
      </c>
      <c r="F239" s="2">
        <f t="shared" si="9"/>
        <v>681.60714285714323</v>
      </c>
      <c r="G239" s="2">
        <f t="shared" si="10"/>
        <v>668.92857142857258</v>
      </c>
    </row>
    <row r="240" spans="1:7" x14ac:dyDescent="0.2">
      <c r="A240" s="5">
        <v>118.5</v>
      </c>
      <c r="B240" s="1">
        <v>27224</v>
      </c>
      <c r="C240" s="1">
        <v>29957.599999999999</v>
      </c>
      <c r="D240" s="1">
        <v>28627</v>
      </c>
      <c r="E240" s="1">
        <v>28625.9</v>
      </c>
      <c r="F240" s="2">
        <f t="shared" si="9"/>
        <v>697.3469387755099</v>
      </c>
      <c r="G240" s="2">
        <f t="shared" si="10"/>
        <v>679.43877551020262</v>
      </c>
    </row>
    <row r="241" spans="1:7" x14ac:dyDescent="0.2">
      <c r="A241" s="5">
        <v>119</v>
      </c>
      <c r="B241" s="1">
        <v>27316.2</v>
      </c>
      <c r="C241" s="1">
        <v>30270.5</v>
      </c>
      <c r="D241" s="1">
        <v>28800.3</v>
      </c>
      <c r="E241" s="1">
        <v>28801.200000000001</v>
      </c>
      <c r="F241" s="2">
        <f t="shared" si="9"/>
        <v>753.64795918367327</v>
      </c>
      <c r="G241" s="2">
        <f t="shared" si="10"/>
        <v>749.64285714285677</v>
      </c>
    </row>
    <row r="242" spans="1:7" x14ac:dyDescent="0.2">
      <c r="A242" s="5">
        <v>119.5</v>
      </c>
      <c r="B242" s="1">
        <v>27443</v>
      </c>
      <c r="C242" s="1">
        <v>30450.9</v>
      </c>
      <c r="D242" s="1">
        <v>28982</v>
      </c>
      <c r="E242" s="1">
        <v>28979.3</v>
      </c>
      <c r="F242" s="2">
        <f t="shared" si="9"/>
        <v>767.32142857142901</v>
      </c>
      <c r="G242" s="2">
        <f t="shared" si="10"/>
        <v>750.81632653061342</v>
      </c>
    </row>
    <row r="243" spans="1:7" x14ac:dyDescent="0.2">
      <c r="A243" s="5">
        <v>120</v>
      </c>
      <c r="B243" s="1">
        <v>27547.7</v>
      </c>
      <c r="C243" s="1">
        <v>30733.3</v>
      </c>
      <c r="D243" s="1">
        <v>29158.3</v>
      </c>
      <c r="E243" s="1">
        <v>29156.2</v>
      </c>
      <c r="F243" s="2">
        <f t="shared" si="9"/>
        <v>812.65306122448942</v>
      </c>
      <c r="G243" s="2">
        <f t="shared" si="10"/>
        <v>804.64285714285643</v>
      </c>
    </row>
    <row r="244" spans="1:7" x14ac:dyDescent="0.2">
      <c r="A244" s="5">
        <v>120.5</v>
      </c>
      <c r="B244" s="1">
        <v>27665.3</v>
      </c>
      <c r="C244" s="1">
        <v>30919.8</v>
      </c>
      <c r="D244" s="1">
        <v>29343.599999999999</v>
      </c>
      <c r="E244" s="1">
        <v>29331.9</v>
      </c>
      <c r="F244" s="2">
        <f t="shared" si="9"/>
        <v>830.2295918367347</v>
      </c>
      <c r="G244" s="2">
        <f t="shared" si="10"/>
        <v>810.15306122448874</v>
      </c>
    </row>
    <row r="245" spans="1:7" x14ac:dyDescent="0.2">
      <c r="A245" s="5">
        <v>121</v>
      </c>
      <c r="B245" s="1">
        <v>27746.9</v>
      </c>
      <c r="C245" s="1">
        <v>31145.9</v>
      </c>
      <c r="D245" s="1">
        <v>29510</v>
      </c>
      <c r="E245" s="1">
        <v>29504.3</v>
      </c>
      <c r="F245" s="2">
        <f t="shared" si="9"/>
        <v>867.09183673469386</v>
      </c>
      <c r="G245" s="2">
        <f t="shared" si="10"/>
        <v>837.55102040816439</v>
      </c>
    </row>
    <row r="246" spans="1:7" x14ac:dyDescent="0.2">
      <c r="A246" s="5">
        <v>121.5</v>
      </c>
      <c r="B246" s="1">
        <v>27872.799999999999</v>
      </c>
      <c r="C246" s="1">
        <v>31319.200000000001</v>
      </c>
      <c r="D246" s="1">
        <v>29702.9</v>
      </c>
      <c r="E246" s="1">
        <v>29683.7</v>
      </c>
      <c r="F246" s="2">
        <f t="shared" si="9"/>
        <v>879.18367346938817</v>
      </c>
      <c r="G246" s="2">
        <f t="shared" si="10"/>
        <v>834.4387755102041</v>
      </c>
    </row>
    <row r="247" spans="1:7" x14ac:dyDescent="0.2">
      <c r="A247" s="5">
        <v>122</v>
      </c>
      <c r="B247" s="1">
        <v>27968.5</v>
      </c>
      <c r="C247" s="1">
        <v>31561.8</v>
      </c>
      <c r="D247" s="1">
        <v>29884</v>
      </c>
      <c r="E247" s="1">
        <v>29862.5</v>
      </c>
      <c r="F247" s="2">
        <f t="shared" si="9"/>
        <v>916.65816326530592</v>
      </c>
      <c r="G247" s="2">
        <f t="shared" si="10"/>
        <v>866.98979591836701</v>
      </c>
    </row>
    <row r="248" spans="1:7" x14ac:dyDescent="0.2">
      <c r="A248" s="5">
        <v>122.5</v>
      </c>
      <c r="B248" s="1">
        <v>28088</v>
      </c>
      <c r="C248" s="1">
        <v>31751.8</v>
      </c>
      <c r="D248" s="1">
        <v>30073.7</v>
      </c>
      <c r="E248" s="1">
        <v>30042.799999999999</v>
      </c>
      <c r="F248" s="2">
        <f t="shared" si="9"/>
        <v>934.642857142857</v>
      </c>
      <c r="G248" s="2">
        <f t="shared" si="10"/>
        <v>871.9387755102041</v>
      </c>
    </row>
    <row r="249" spans="1:7" x14ac:dyDescent="0.2">
      <c r="A249" s="5">
        <v>123</v>
      </c>
      <c r="B249" s="1">
        <v>28192.2</v>
      </c>
      <c r="C249" s="1">
        <v>32004.3</v>
      </c>
      <c r="D249" s="1">
        <v>30259.7</v>
      </c>
      <c r="E249" s="1">
        <v>30218.5</v>
      </c>
      <c r="F249" s="2">
        <f t="shared" si="9"/>
        <v>972.47448979591798</v>
      </c>
      <c r="G249" s="2">
        <f t="shared" si="10"/>
        <v>911.12244897959147</v>
      </c>
    </row>
    <row r="250" spans="1:7" x14ac:dyDescent="0.2">
      <c r="A250" s="5">
        <v>123.5</v>
      </c>
      <c r="B250" s="1">
        <v>28305.3</v>
      </c>
      <c r="C250" s="1">
        <v>32162.400000000001</v>
      </c>
      <c r="D250" s="1">
        <v>30465.9</v>
      </c>
      <c r="E250" s="1">
        <v>30394.400000000001</v>
      </c>
      <c r="F250" s="2">
        <f t="shared" si="9"/>
        <v>983.95408163265358</v>
      </c>
      <c r="G250" s="2">
        <f t="shared" si="10"/>
        <v>902.0408163265306</v>
      </c>
    </row>
    <row r="251" spans="1:7" x14ac:dyDescent="0.2">
      <c r="A251" s="5">
        <v>124</v>
      </c>
      <c r="B251" s="1">
        <v>28394.2</v>
      </c>
      <c r="C251" s="1">
        <v>32371.5</v>
      </c>
      <c r="D251" s="1">
        <v>30641.7</v>
      </c>
      <c r="E251" s="1">
        <v>30564.7</v>
      </c>
      <c r="F251" s="2">
        <f t="shared" si="9"/>
        <v>1014.6173469387753</v>
      </c>
      <c r="G251" s="2">
        <f t="shared" si="10"/>
        <v>921.83673469387725</v>
      </c>
    </row>
    <row r="252" spans="1:7" x14ac:dyDescent="0.2">
      <c r="A252" s="5">
        <v>124.5</v>
      </c>
      <c r="B252" s="1">
        <v>28508.2</v>
      </c>
      <c r="C252" s="1">
        <v>32537.7</v>
      </c>
      <c r="D252" s="1">
        <v>30839.3</v>
      </c>
      <c r="E252" s="1">
        <v>30744.5</v>
      </c>
      <c r="F252" s="2">
        <f t="shared" si="9"/>
        <v>1027.9336734693877</v>
      </c>
      <c r="G252" s="2">
        <f t="shared" si="10"/>
        <v>914.89795918367383</v>
      </c>
    </row>
    <row r="253" spans="1:7" x14ac:dyDescent="0.2">
      <c r="A253" s="5">
        <v>125</v>
      </c>
      <c r="B253" s="1">
        <v>28619.3</v>
      </c>
      <c r="C253" s="1">
        <v>32761.4</v>
      </c>
      <c r="D253" s="1">
        <v>31031.5</v>
      </c>
      <c r="E253" s="1">
        <v>30922.400000000001</v>
      </c>
      <c r="F253" s="2">
        <f t="shared" si="9"/>
        <v>1056.6581632653067</v>
      </c>
      <c r="G253" s="2">
        <f t="shared" si="10"/>
        <v>938.26530612244903</v>
      </c>
    </row>
    <row r="254" spans="1:7" x14ac:dyDescent="0.2">
      <c r="A254" s="5">
        <v>125.5</v>
      </c>
      <c r="B254" s="1">
        <v>28735.200000000001</v>
      </c>
      <c r="C254" s="1">
        <v>32929</v>
      </c>
      <c r="D254" s="1">
        <v>31239</v>
      </c>
      <c r="E254" s="1">
        <v>31104.3</v>
      </c>
      <c r="F254" s="2">
        <f t="shared" si="9"/>
        <v>1069.8469387755101</v>
      </c>
      <c r="G254" s="2">
        <f t="shared" si="10"/>
        <v>930.96938775510239</v>
      </c>
    </row>
    <row r="255" spans="1:7" x14ac:dyDescent="0.2">
      <c r="A255" s="5">
        <v>126</v>
      </c>
      <c r="B255" s="1">
        <v>28844.2</v>
      </c>
      <c r="C255" s="1">
        <v>33149.1</v>
      </c>
      <c r="D255" s="1">
        <v>31436</v>
      </c>
      <c r="E255" s="1">
        <v>31285.200000000001</v>
      </c>
      <c r="F255" s="2">
        <f t="shared" si="9"/>
        <v>1098.1887755102036</v>
      </c>
      <c r="G255" s="2">
        <f t="shared" si="10"/>
        <v>950.96938775510091</v>
      </c>
    </row>
    <row r="256" spans="1:7" x14ac:dyDescent="0.2">
      <c r="A256" s="5">
        <v>126.5</v>
      </c>
      <c r="B256" s="1">
        <v>28945.599999999999</v>
      </c>
      <c r="C256" s="1">
        <v>33291.300000000003</v>
      </c>
      <c r="D256" s="1">
        <v>31647.8</v>
      </c>
      <c r="E256" s="1">
        <v>31464.7</v>
      </c>
      <c r="F256" s="2">
        <f t="shared" si="9"/>
        <v>1108.5969387755113</v>
      </c>
      <c r="G256" s="2">
        <f t="shared" si="10"/>
        <v>931.93877551020523</v>
      </c>
    </row>
    <row r="257" spans="1:7" x14ac:dyDescent="0.2">
      <c r="A257" s="5">
        <v>127</v>
      </c>
      <c r="B257" s="1">
        <v>29055.1</v>
      </c>
      <c r="C257" s="1">
        <v>33505.699999999997</v>
      </c>
      <c r="D257" s="1">
        <v>31839.4</v>
      </c>
      <c r="E257" s="1">
        <v>31644.5</v>
      </c>
      <c r="F257" s="2">
        <f t="shared" si="9"/>
        <v>1135.3571428571424</v>
      </c>
      <c r="G257" s="2">
        <f t="shared" si="10"/>
        <v>949.59183673469238</v>
      </c>
    </row>
    <row r="258" spans="1:7" x14ac:dyDescent="0.2">
      <c r="A258" s="5">
        <v>127.5</v>
      </c>
      <c r="B258" s="1">
        <v>29158.7</v>
      </c>
      <c r="C258" s="1">
        <v>33643.1</v>
      </c>
      <c r="D258" s="1">
        <v>32062.2</v>
      </c>
      <c r="E258" s="1">
        <v>31821.200000000001</v>
      </c>
      <c r="F258" s="2">
        <f t="shared" si="9"/>
        <v>1143.9795918367342</v>
      </c>
      <c r="G258" s="2">
        <f t="shared" si="10"/>
        <v>929.54081632652947</v>
      </c>
    </row>
    <row r="259" spans="1:7" x14ac:dyDescent="0.2">
      <c r="A259" s="5">
        <v>128</v>
      </c>
      <c r="B259" s="1">
        <v>29256.9</v>
      </c>
      <c r="C259" s="1">
        <v>33840.199999999997</v>
      </c>
      <c r="D259" s="1">
        <v>32252.6</v>
      </c>
      <c r="E259" s="1">
        <v>31995.5</v>
      </c>
      <c r="F259" s="2">
        <f t="shared" si="9"/>
        <v>1169.2091836734683</v>
      </c>
      <c r="G259" s="2">
        <f t="shared" si="10"/>
        <v>941.17346938775358</v>
      </c>
    </row>
    <row r="260" spans="1:7" x14ac:dyDescent="0.2">
      <c r="A260" s="5">
        <v>128.5</v>
      </c>
      <c r="B260" s="1">
        <v>29380.6</v>
      </c>
      <c r="C260" s="1">
        <v>33960.800000000003</v>
      </c>
      <c r="D260" s="1">
        <v>32463.3</v>
      </c>
      <c r="E260" s="1">
        <v>32176</v>
      </c>
      <c r="F260" s="2">
        <f t="shared" ref="F260:F265" si="11">(C260-B260)/(2*1.96)</f>
        <v>1168.4183673469399</v>
      </c>
      <c r="G260" s="2">
        <f t="shared" ref="G260:G265" si="12">ABS(E260-C260)/1.96</f>
        <v>910.61224489796064</v>
      </c>
    </row>
    <row r="261" spans="1:7" x14ac:dyDescent="0.2">
      <c r="A261" s="5">
        <v>129</v>
      </c>
      <c r="B261" s="1">
        <v>29476.799999999999</v>
      </c>
      <c r="C261" s="1">
        <v>34147.699999999997</v>
      </c>
      <c r="D261" s="1">
        <v>32661.1</v>
      </c>
      <c r="E261" s="1">
        <v>32355.3</v>
      </c>
      <c r="F261" s="2">
        <f t="shared" si="11"/>
        <v>1191.5561224489791</v>
      </c>
      <c r="G261" s="2">
        <f t="shared" si="12"/>
        <v>914.48979591836621</v>
      </c>
    </row>
    <row r="262" spans="1:7" x14ac:dyDescent="0.2">
      <c r="A262" s="5">
        <v>129.5</v>
      </c>
      <c r="B262" s="1">
        <v>29597.200000000001</v>
      </c>
      <c r="C262" s="1">
        <v>34268.800000000003</v>
      </c>
      <c r="D262" s="1">
        <v>32885.300000000003</v>
      </c>
      <c r="E262" s="1">
        <v>32531.200000000001</v>
      </c>
      <c r="F262" s="2">
        <f t="shared" si="11"/>
        <v>1191.7346938775515</v>
      </c>
      <c r="G262" s="2">
        <f t="shared" si="12"/>
        <v>886.53061224489909</v>
      </c>
    </row>
    <row r="263" spans="1:7" x14ac:dyDescent="0.2">
      <c r="A263" s="5">
        <v>130</v>
      </c>
      <c r="B263" s="1">
        <v>29705.4</v>
      </c>
      <c r="C263" s="1">
        <v>34458</v>
      </c>
      <c r="D263" s="1">
        <v>33085.4</v>
      </c>
      <c r="E263" s="1">
        <v>32706.7</v>
      </c>
      <c r="F263" s="2">
        <f t="shared" si="11"/>
        <v>1212.397959183673</v>
      </c>
      <c r="G263" s="2">
        <f t="shared" si="12"/>
        <v>893.52040816326496</v>
      </c>
    </row>
    <row r="264" spans="1:7" x14ac:dyDescent="0.2">
      <c r="A264" s="5">
        <v>130.5</v>
      </c>
      <c r="B264" s="1">
        <v>29837.7</v>
      </c>
      <c r="C264" s="1">
        <v>34555.199999999997</v>
      </c>
      <c r="D264" s="1">
        <v>33326.199999999997</v>
      </c>
      <c r="E264" s="1">
        <v>32888</v>
      </c>
      <c r="F264" s="2">
        <f t="shared" si="11"/>
        <v>1203.4438775510196</v>
      </c>
      <c r="G264" s="2">
        <f t="shared" si="12"/>
        <v>850.61224489795768</v>
      </c>
    </row>
    <row r="265" spans="1:7" x14ac:dyDescent="0.2">
      <c r="A265" s="5">
        <v>131</v>
      </c>
      <c r="B265" s="1">
        <v>29952.9</v>
      </c>
      <c r="C265" s="1">
        <v>34715.800000000003</v>
      </c>
      <c r="D265" s="1">
        <v>33537.5</v>
      </c>
      <c r="E265" s="1">
        <v>33068.9</v>
      </c>
      <c r="F265" s="2">
        <f t="shared" si="11"/>
        <v>1215.0255102040821</v>
      </c>
      <c r="G265" s="2">
        <f t="shared" si="12"/>
        <v>840.25510204081706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14C</vt:lpstr>
      <vt:lpstr>agemodels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Patrick A Rafter</cp:lastModifiedBy>
  <dcterms:created xsi:type="dcterms:W3CDTF">2024-04-18T19:55:03Z</dcterms:created>
  <dcterms:modified xsi:type="dcterms:W3CDTF">2024-05-01T23:45:07Z</dcterms:modified>
</cp:coreProperties>
</file>