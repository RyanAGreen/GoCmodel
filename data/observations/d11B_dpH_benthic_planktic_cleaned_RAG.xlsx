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/Library/Caches/com.binarynights.ForkLift2/#0/"/>
    </mc:Choice>
  </mc:AlternateContent>
  <xr:revisionPtr revIDLastSave="0" documentId="13_ncr:1_{B79B9889-403E-E84E-B017-4932DFFA5EA7}" xr6:coauthVersionLast="47" xr6:coauthVersionMax="47" xr10:uidLastSave="{00000000-0000-0000-0000-000000000000}"/>
  <bookViews>
    <workbookView xWindow="21540" yWindow="500" windowWidth="37040" windowHeight="23780" xr2:uid="{7A52B813-6762-5D48-B9E8-CBD571FE61A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" i="1"/>
  <c r="Q3" i="1"/>
  <c r="Q4" i="1"/>
  <c r="Q5" i="1"/>
  <c r="Q6" i="1"/>
  <c r="Q7" i="1"/>
  <c r="Q8" i="1"/>
  <c r="Q9" i="1"/>
  <c r="Q10" i="1"/>
  <c r="Q11" i="1"/>
  <c r="Q2" i="1"/>
</calcChain>
</file>

<file path=xl/sharedStrings.xml><?xml version="1.0" encoding="utf-8"?>
<sst xmlns="http://schemas.openxmlformats.org/spreadsheetml/2006/main" count="18" uniqueCount="18">
  <si>
    <t>benthic_d11B</t>
  </si>
  <si>
    <t>benthic_dpH</t>
  </si>
  <si>
    <t>planktic_d11B</t>
  </si>
  <si>
    <t>planktic_dpH</t>
  </si>
  <si>
    <t>benthic_cal_age</t>
  </si>
  <si>
    <t>planktic_cal_age</t>
  </si>
  <si>
    <t>benthic_DD14C</t>
  </si>
  <si>
    <t>planktic_DD14C</t>
  </si>
  <si>
    <t xml:space="preserve">This is data taken from prafter-2024-14C-d11B-For-Ryan.xlsx. I just grabbed the values interested to me. </t>
  </si>
  <si>
    <t>benthic_d11B_2sigma</t>
  </si>
  <si>
    <t>planktic_d11B_2sigma</t>
  </si>
  <si>
    <t>planktic_D14C</t>
  </si>
  <si>
    <t>benthic_D14C</t>
  </si>
  <si>
    <t>planktic_anomaly</t>
  </si>
  <si>
    <t>benthic_anomaly</t>
  </si>
  <si>
    <t>Reference D14C</t>
  </si>
  <si>
    <t>planktic_DpKb</t>
  </si>
  <si>
    <t>benthic_DpKb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</si>
</sst>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6" fillId="0" borderId="0" xfId="0" applyFont="1"/>
    <xf numFmtId="0" fontId="2" fillId="0" borderId="0" xfId="0" applyFont="1"/>
    <xf numFmtId="164" fontId="6" fillId="0" borderId="0" xfId="0" applyNumberFormat="1" applyFont="1" applyAlignment="1">
      <alignment horizontal="center"/>
    </xf>
    <xf numFmtId="165" fontId="3" fillId="0" borderId="0" xfId="0" applyNumberFormat="1" applyFont="1"/>
    <xf numFmtId="165" fontId="5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30F1-35E0-EF4A-A83F-56D9E3C7343D}">
  <dimension ref="A1:T23"/>
  <sheetViews>
    <sheetView tabSelected="1" topLeftCell="B1" zoomScale="140" zoomScaleNormal="140" workbookViewId="0">
      <selection activeCell="J28" sqref="J28"/>
    </sheetView>
  </sheetViews>
  <sheetFormatPr baseColWidth="10" defaultRowHeight="16" x14ac:dyDescent="0.2"/>
  <cols>
    <col min="1" max="1" width="15.6640625" customWidth="1"/>
    <col min="2" max="2" width="14.83203125" customWidth="1"/>
    <col min="3" max="3" width="20.1640625" customWidth="1"/>
    <col min="4" max="4" width="18.6640625" customWidth="1"/>
    <col min="5" max="9" width="16" customWidth="1"/>
    <col min="10" max="10" width="15.5" customWidth="1"/>
    <col min="11" max="11" width="14" customWidth="1"/>
    <col min="12" max="13" width="23.6640625" customWidth="1"/>
    <col min="14" max="14" width="13" customWidth="1"/>
    <col min="15" max="15" width="15" customWidth="1"/>
    <col min="16" max="17" width="15.1640625" customWidth="1"/>
    <col min="19" max="19" width="15.5" customWidth="1"/>
  </cols>
  <sheetData>
    <row r="1" spans="1:20" x14ac:dyDescent="0.2">
      <c r="A1" t="s">
        <v>4</v>
      </c>
      <c r="B1" t="s">
        <v>0</v>
      </c>
      <c r="C1" t="s">
        <v>9</v>
      </c>
      <c r="D1" t="s">
        <v>17</v>
      </c>
      <c r="E1" t="s">
        <v>1</v>
      </c>
      <c r="F1" t="s">
        <v>12</v>
      </c>
      <c r="G1" t="s">
        <v>6</v>
      </c>
      <c r="H1" t="s">
        <v>14</v>
      </c>
      <c r="J1" s="8" t="s">
        <v>5</v>
      </c>
      <c r="K1" s="8" t="s">
        <v>2</v>
      </c>
      <c r="L1" s="8" t="s">
        <v>10</v>
      </c>
      <c r="M1" s="8" t="s">
        <v>16</v>
      </c>
      <c r="N1" s="8" t="s">
        <v>3</v>
      </c>
      <c r="O1" s="8" t="s">
        <v>11</v>
      </c>
      <c r="P1" s="8" t="s">
        <v>7</v>
      </c>
      <c r="Q1" s="8" t="s">
        <v>13</v>
      </c>
      <c r="S1" t="s">
        <v>15</v>
      </c>
      <c r="T1" t="s">
        <v>8</v>
      </c>
    </row>
    <row r="2" spans="1:20" x14ac:dyDescent="0.2">
      <c r="A2" s="4">
        <v>11739</v>
      </c>
      <c r="B2" s="1">
        <v>15.819844255010199</v>
      </c>
      <c r="C2" s="1">
        <v>0.14000000000000001</v>
      </c>
      <c r="D2" s="11">
        <v>3.5299999999999998E-2</v>
      </c>
      <c r="E2">
        <v>3.2161949884525844E-2</v>
      </c>
      <c r="F2">
        <v>-408.18218728758683</v>
      </c>
      <c r="G2">
        <v>584.88218728758682</v>
      </c>
      <c r="H2">
        <f>F2-$S$2</f>
        <v>-458.18218728758683</v>
      </c>
      <c r="J2" s="8">
        <v>14108.9</v>
      </c>
      <c r="K2" s="8">
        <v>17.8</v>
      </c>
      <c r="L2" s="1">
        <v>0.29136339999999999</v>
      </c>
      <c r="M2" s="11">
        <v>2.12E-2</v>
      </c>
      <c r="N2" s="9">
        <v>5.0000000000000001E-3</v>
      </c>
      <c r="O2" s="9">
        <v>-342.67476107918293</v>
      </c>
      <c r="P2" s="8">
        <v>543.8747611</v>
      </c>
      <c r="Q2" s="8">
        <f>O2-$S$2</f>
        <v>-392.67476107918293</v>
      </c>
      <c r="S2">
        <v>50</v>
      </c>
    </row>
    <row r="3" spans="1:20" x14ac:dyDescent="0.2">
      <c r="A3" s="4">
        <v>13096</v>
      </c>
      <c r="B3" s="1">
        <v>15.68951153045739</v>
      </c>
      <c r="C3" s="1">
        <v>0.14000000000000001</v>
      </c>
      <c r="D3" s="11">
        <v>2.12E-2</v>
      </c>
      <c r="E3">
        <v>3.4865844300997872E-2</v>
      </c>
      <c r="F3">
        <v>-379.18368535142423</v>
      </c>
      <c r="G3">
        <v>590.38368535142422</v>
      </c>
      <c r="H3">
        <f t="shared" ref="H3:H23" si="0">F3-$S$2</f>
        <v>-429.18368535142423</v>
      </c>
      <c r="J3" s="8">
        <v>14314.9</v>
      </c>
      <c r="K3" s="8">
        <v>18.2</v>
      </c>
      <c r="L3" s="1">
        <v>0.32039020000000001</v>
      </c>
      <c r="M3" s="11">
        <v>2.3599999999999999E-2</v>
      </c>
      <c r="N3" s="9">
        <v>-2.1999999999999999E-2</v>
      </c>
      <c r="O3" s="9">
        <v>-239.59652475498982</v>
      </c>
      <c r="P3" s="8">
        <v>452.39652480000001</v>
      </c>
      <c r="Q3" s="8">
        <f t="shared" ref="Q3:Q11" si="1">O3-$S$2</f>
        <v>-289.59652475498979</v>
      </c>
    </row>
    <row r="4" spans="1:20" x14ac:dyDescent="0.2">
      <c r="A4" s="4">
        <v>13096</v>
      </c>
      <c r="B4" s="1">
        <v>15.7873915562663</v>
      </c>
      <c r="C4" s="1">
        <v>0.14000000000000001</v>
      </c>
      <c r="D4" s="11">
        <v>2.12E-2</v>
      </c>
      <c r="E4">
        <v>2.2050532909794095E-2</v>
      </c>
      <c r="F4">
        <v>-379.18368535142423</v>
      </c>
      <c r="G4">
        <v>590.38368535142422</v>
      </c>
      <c r="H4">
        <f t="shared" si="0"/>
        <v>-429.18368535142423</v>
      </c>
      <c r="J4" s="8">
        <v>15687.2</v>
      </c>
      <c r="K4" s="8">
        <v>17.899999999999999</v>
      </c>
      <c r="L4" s="1">
        <v>0.41477429999999998</v>
      </c>
      <c r="M4" s="11">
        <v>1.77E-2</v>
      </c>
      <c r="N4" s="9">
        <v>-7.0000000000000001E-3</v>
      </c>
      <c r="O4" s="9">
        <v>-150.13929235962598</v>
      </c>
      <c r="P4" s="8">
        <v>457.83929239999998</v>
      </c>
      <c r="Q4" s="8">
        <f t="shared" si="1"/>
        <v>-200.13929235962598</v>
      </c>
    </row>
    <row r="5" spans="1:20" x14ac:dyDescent="0.2">
      <c r="A5" s="4">
        <v>13691</v>
      </c>
      <c r="B5" s="1">
        <v>15.778169451509855</v>
      </c>
      <c r="C5" s="1">
        <v>0.26329849999999999</v>
      </c>
      <c r="D5" s="11">
        <v>2.24E-2</v>
      </c>
      <c r="E5">
        <v>2.4391158616930638E-2</v>
      </c>
      <c r="F5">
        <v>-202.39779611734477</v>
      </c>
      <c r="G5">
        <v>402.69779611734475</v>
      </c>
      <c r="H5">
        <f t="shared" si="0"/>
        <v>-252.39779611734477</v>
      </c>
      <c r="J5" s="8">
        <v>17231.5</v>
      </c>
      <c r="K5" s="8">
        <v>18</v>
      </c>
      <c r="L5" s="1">
        <v>0.14000000000000001</v>
      </c>
      <c r="M5" s="11">
        <v>3.5000000000000001E-3</v>
      </c>
      <c r="N5" s="9">
        <v>-2.7E-2</v>
      </c>
      <c r="O5" s="9">
        <v>-102.78340499780769</v>
      </c>
      <c r="P5" s="8">
        <v>485.68340499999999</v>
      </c>
      <c r="Q5" s="8">
        <f t="shared" si="1"/>
        <v>-152.78340499780768</v>
      </c>
    </row>
    <row r="6" spans="1:20" x14ac:dyDescent="0.2">
      <c r="A6" s="4">
        <v>14109</v>
      </c>
      <c r="B6" s="1">
        <v>16.097481573008313</v>
      </c>
      <c r="C6" s="1">
        <v>0.25363960000000002</v>
      </c>
      <c r="D6" s="11">
        <v>2.12E-2</v>
      </c>
      <c r="E6">
        <v>-1.2481959108596209E-2</v>
      </c>
      <c r="F6">
        <v>-342.67476107918293</v>
      </c>
      <c r="G6">
        <v>543.57476107918296</v>
      </c>
      <c r="H6">
        <f t="shared" si="0"/>
        <v>-392.67476107918293</v>
      </c>
      <c r="J6" s="8">
        <v>22898.9</v>
      </c>
      <c r="K6" s="8">
        <v>18</v>
      </c>
      <c r="L6" s="1">
        <v>0.32039020000000001</v>
      </c>
      <c r="M6" s="11">
        <v>3.5000000000000001E-3</v>
      </c>
      <c r="N6" s="9">
        <v>-2.5999999999999999E-2</v>
      </c>
      <c r="O6" s="9">
        <v>284.4234144515334</v>
      </c>
      <c r="P6" s="8">
        <v>240.27658550000001</v>
      </c>
      <c r="Q6" s="8">
        <f t="shared" si="1"/>
        <v>234.4234144515334</v>
      </c>
    </row>
    <row r="7" spans="1:20" x14ac:dyDescent="0.2">
      <c r="A7" s="4">
        <v>14315</v>
      </c>
      <c r="B7" s="1">
        <v>15.634219034389661</v>
      </c>
      <c r="C7" s="1">
        <v>0.25708140000000002</v>
      </c>
      <c r="D7" s="11">
        <v>2.3599999999999999E-2</v>
      </c>
      <c r="E7">
        <v>4.4953895598344673E-2</v>
      </c>
      <c r="F7">
        <v>-239.59652475498982</v>
      </c>
      <c r="G7">
        <v>452.69652475498981</v>
      </c>
      <c r="H7">
        <f t="shared" si="0"/>
        <v>-289.59652475498979</v>
      </c>
      <c r="J7" s="8">
        <v>23438.1</v>
      </c>
      <c r="K7" s="8">
        <v>18</v>
      </c>
      <c r="L7" s="1">
        <v>0.38113999999999998</v>
      </c>
      <c r="M7" s="11">
        <v>3.5000000000000001E-3</v>
      </c>
      <c r="N7" s="9">
        <v>-2.5000000000000001E-2</v>
      </c>
      <c r="O7" s="9">
        <v>306.01871017559847</v>
      </c>
      <c r="P7" s="8">
        <v>188.38128979999999</v>
      </c>
      <c r="Q7" s="8">
        <f t="shared" si="1"/>
        <v>256.01871017559847</v>
      </c>
    </row>
    <row r="8" spans="1:20" x14ac:dyDescent="0.2">
      <c r="A8" s="4">
        <v>14734</v>
      </c>
      <c r="B8" s="1">
        <v>15.864672210322839</v>
      </c>
      <c r="C8" s="1">
        <v>0.14000000000000001</v>
      </c>
      <c r="D8" s="11">
        <v>2.24E-2</v>
      </c>
      <c r="E8">
        <v>1.3822126254219452E-2</v>
      </c>
      <c r="F8">
        <v>-153.93183625269691</v>
      </c>
      <c r="G8">
        <v>424.53183625269696</v>
      </c>
      <c r="H8">
        <f t="shared" si="0"/>
        <v>-203.93183625269691</v>
      </c>
      <c r="J8" s="8">
        <v>24297.8</v>
      </c>
      <c r="K8" s="8">
        <v>17.8</v>
      </c>
      <c r="L8" s="1">
        <v>0.38113999999999998</v>
      </c>
      <c r="M8" s="11">
        <v>3.5000000000000001E-3</v>
      </c>
      <c r="N8" s="9">
        <v>-1.7000000000000001E-2</v>
      </c>
      <c r="O8" s="9">
        <v>297.16634741731565</v>
      </c>
      <c r="P8" s="8">
        <v>212.33365259999999</v>
      </c>
      <c r="Q8" s="8">
        <f t="shared" si="1"/>
        <v>247.16634741731565</v>
      </c>
    </row>
    <row r="9" spans="1:20" x14ac:dyDescent="0.2">
      <c r="A9" s="4">
        <v>15157</v>
      </c>
      <c r="B9" s="1">
        <v>15.969414751671279</v>
      </c>
      <c r="C9" s="1">
        <v>0.25384879999999999</v>
      </c>
      <c r="D9" s="11">
        <v>0.02</v>
      </c>
      <c r="E9">
        <v>-3.9135725503131394E-4</v>
      </c>
      <c r="F9">
        <v>-224.95864073243277</v>
      </c>
      <c r="G9">
        <v>510.25864073243281</v>
      </c>
      <c r="H9">
        <f t="shared" si="0"/>
        <v>-274.95864073243274</v>
      </c>
      <c r="J9" s="8">
        <v>24880</v>
      </c>
      <c r="K9" s="8">
        <v>17.600000000000001</v>
      </c>
      <c r="L9" s="1">
        <v>0.14000000000000001</v>
      </c>
      <c r="M9" s="11">
        <v>3.5000000000000001E-3</v>
      </c>
      <c r="N9" s="9">
        <v>4.0000000000000001E-3</v>
      </c>
      <c r="O9" s="9">
        <v>263.36941578883443</v>
      </c>
      <c r="P9" s="8">
        <v>297.23058420000001</v>
      </c>
      <c r="Q9" s="8">
        <f t="shared" si="1"/>
        <v>213.36941578883443</v>
      </c>
    </row>
    <row r="10" spans="1:20" x14ac:dyDescent="0.2">
      <c r="A10" s="4">
        <v>15687</v>
      </c>
      <c r="B10" s="1">
        <v>15.768379754937428</v>
      </c>
      <c r="C10" s="1">
        <v>0.25576510000000002</v>
      </c>
      <c r="D10" s="11">
        <v>1.77E-2</v>
      </c>
      <c r="E10">
        <v>2.0924127155226853E-2</v>
      </c>
      <c r="F10">
        <v>-150.13929235962598</v>
      </c>
      <c r="G10">
        <v>458.13929235962598</v>
      </c>
      <c r="H10">
        <f t="shared" si="0"/>
        <v>-200.13929235962598</v>
      </c>
      <c r="J10" s="8">
        <v>27914.6</v>
      </c>
      <c r="K10" s="8">
        <v>18.2</v>
      </c>
      <c r="L10" s="1">
        <v>0.2582063</v>
      </c>
      <c r="M10" s="11">
        <v>3.5000000000000001E-3</v>
      </c>
      <c r="N10" s="9">
        <v>-3.9E-2</v>
      </c>
      <c r="O10" s="8">
        <v>13.089859768592449</v>
      </c>
      <c r="P10" s="8">
        <v>478.31014019999998</v>
      </c>
      <c r="Q10" s="8">
        <f t="shared" si="1"/>
        <v>-36.910140231407553</v>
      </c>
    </row>
    <row r="11" spans="1:20" x14ac:dyDescent="0.2">
      <c r="A11" s="4">
        <v>18978</v>
      </c>
      <c r="B11" s="2">
        <v>15.794177756257133</v>
      </c>
      <c r="C11" s="1">
        <v>0.14000000000000001</v>
      </c>
      <c r="D11" s="11">
        <v>0</v>
      </c>
      <c r="E11">
        <v>0</v>
      </c>
      <c r="F11">
        <v>226.58754736529986</v>
      </c>
      <c r="G11">
        <v>172.51245263470017</v>
      </c>
      <c r="H11">
        <f t="shared" si="0"/>
        <v>176.58754736529986</v>
      </c>
      <c r="J11" s="8">
        <v>27914.6</v>
      </c>
      <c r="K11" s="8">
        <v>17.8</v>
      </c>
      <c r="L11" s="1">
        <v>0.14000000000000001</v>
      </c>
      <c r="M11" s="11">
        <v>3.5000000000000001E-3</v>
      </c>
      <c r="N11" s="8">
        <v>-1.5694211999999999E-2</v>
      </c>
      <c r="O11">
        <v>13.089859768592449</v>
      </c>
      <c r="P11" s="8">
        <v>478.31014019999998</v>
      </c>
      <c r="Q11" s="8">
        <f t="shared" si="1"/>
        <v>-36.910140231407553</v>
      </c>
    </row>
    <row r="12" spans="1:20" x14ac:dyDescent="0.2">
      <c r="A12" s="4">
        <v>19670</v>
      </c>
      <c r="B12" s="1">
        <v>16.143466118734072</v>
      </c>
      <c r="C12" s="1">
        <v>0.25685960000000002</v>
      </c>
      <c r="D12" s="11">
        <v>8.2000000000000007E-3</v>
      </c>
      <c r="E12">
        <v>-2.9905921053125284E-2</v>
      </c>
      <c r="F12">
        <v>307.41070193546369</v>
      </c>
      <c r="G12">
        <v>97.089298064536308</v>
      </c>
      <c r="H12">
        <f t="shared" si="0"/>
        <v>257.41070193546369</v>
      </c>
    </row>
    <row r="13" spans="1:20" x14ac:dyDescent="0.2">
      <c r="A13" s="5">
        <v>22709</v>
      </c>
      <c r="B13" s="3">
        <v>15.125515622046967</v>
      </c>
      <c r="C13" s="3">
        <v>0.25708140000000002</v>
      </c>
      <c r="D13" s="12">
        <v>3.5000000000000001E-3</v>
      </c>
      <c r="E13">
        <v>0.119617859868293</v>
      </c>
      <c r="F13">
        <v>362.77674576469951</v>
      </c>
      <c r="G13">
        <v>141.72325423530049</v>
      </c>
      <c r="H13">
        <f t="shared" si="0"/>
        <v>312.77674576469951</v>
      </c>
    </row>
    <row r="14" spans="1:20" x14ac:dyDescent="0.2">
      <c r="A14" s="4">
        <v>22899</v>
      </c>
      <c r="B14" s="1">
        <v>15.963090057413771</v>
      </c>
      <c r="C14" s="1">
        <v>0.25322349999999999</v>
      </c>
      <c r="D14" s="11">
        <v>3.5000000000000001E-3</v>
      </c>
      <c r="E14">
        <v>-1.6191682397584051E-2</v>
      </c>
      <c r="F14">
        <v>284.4234144515334</v>
      </c>
      <c r="G14">
        <v>240.27658554846664</v>
      </c>
      <c r="H14">
        <f t="shared" si="0"/>
        <v>234.4234144515334</v>
      </c>
    </row>
    <row r="15" spans="1:20" x14ac:dyDescent="0.2">
      <c r="A15" s="4">
        <v>23438</v>
      </c>
      <c r="B15" s="1">
        <v>15.767704672887314</v>
      </c>
      <c r="C15" s="1">
        <v>0.25384879999999999</v>
      </c>
      <c r="D15" s="11">
        <v>3.5000000000000001E-3</v>
      </c>
      <c r="E15">
        <v>6.876620747088941E-3</v>
      </c>
      <c r="F15">
        <v>306.01871017559847</v>
      </c>
      <c r="G15">
        <v>188.38128982440151</v>
      </c>
      <c r="H15">
        <f t="shared" si="0"/>
        <v>256.01871017559847</v>
      </c>
    </row>
    <row r="16" spans="1:20" x14ac:dyDescent="0.2">
      <c r="A16" s="4">
        <v>24298</v>
      </c>
      <c r="B16" s="1">
        <v>16.007533120167302</v>
      </c>
      <c r="C16" s="1">
        <v>0.26572879999999999</v>
      </c>
      <c r="D16" s="11">
        <v>3.5000000000000001E-3</v>
      </c>
      <c r="E16">
        <v>-2.0963487265222746E-2</v>
      </c>
      <c r="F16">
        <v>297.16634741731565</v>
      </c>
      <c r="G16">
        <v>212.33365258268435</v>
      </c>
      <c r="H16">
        <f t="shared" si="0"/>
        <v>247.16634741731565</v>
      </c>
    </row>
    <row r="17" spans="1:8" x14ac:dyDescent="0.2">
      <c r="A17" s="6">
        <v>24880</v>
      </c>
      <c r="B17" s="2">
        <v>15.72571273145118</v>
      </c>
      <c r="C17" s="10">
        <v>0.14000000000000001</v>
      </c>
      <c r="D17" s="13">
        <v>3.5000000000000001E-3</v>
      </c>
      <c r="E17">
        <v>1.2334272500144971E-2</v>
      </c>
      <c r="F17">
        <v>221.27563435449349</v>
      </c>
      <c r="G17">
        <v>339.32436564550653</v>
      </c>
      <c r="H17">
        <f t="shared" si="0"/>
        <v>171.27563435449349</v>
      </c>
    </row>
    <row r="18" spans="1:8" x14ac:dyDescent="0.2">
      <c r="A18" s="4">
        <v>27915</v>
      </c>
      <c r="B18" s="1">
        <v>15.907341097984789</v>
      </c>
      <c r="C18" s="1">
        <v>0.65279019999999999</v>
      </c>
      <c r="D18" s="11">
        <v>3.5000000000000001E-3</v>
      </c>
      <c r="E18">
        <v>-9.9710165969695529E-3</v>
      </c>
      <c r="F18">
        <v>13.089859768592449</v>
      </c>
      <c r="G18">
        <v>478.3101402314075</v>
      </c>
      <c r="H18">
        <f t="shared" si="0"/>
        <v>-36.910140231407553</v>
      </c>
    </row>
    <row r="19" spans="1:8" x14ac:dyDescent="0.2">
      <c r="A19" s="4">
        <v>27915</v>
      </c>
      <c r="B19" s="1">
        <v>15.824323137398011</v>
      </c>
      <c r="C19" s="1">
        <v>0.14000000000000001</v>
      </c>
      <c r="D19" s="11">
        <v>3.5000000000000001E-3</v>
      </c>
      <c r="E19">
        <v>-1.8559312798940722E-4</v>
      </c>
      <c r="F19">
        <v>13.089859768592449</v>
      </c>
      <c r="G19">
        <v>478.3101402314075</v>
      </c>
      <c r="H19">
        <f t="shared" si="0"/>
        <v>-36.910140231407553</v>
      </c>
    </row>
    <row r="20" spans="1:8" x14ac:dyDescent="0.2">
      <c r="A20" s="7">
        <v>30569</v>
      </c>
      <c r="B20" s="1">
        <v>15.946716499519287</v>
      </c>
      <c r="C20" s="1">
        <v>0.14000000000000001</v>
      </c>
      <c r="D20" s="11">
        <v>3.5000000000000001E-3</v>
      </c>
      <c r="E20">
        <v>-1.4392442437151168E-2</v>
      </c>
      <c r="F20">
        <v>32.790594366822965</v>
      </c>
      <c r="G20">
        <v>488.90940563317707</v>
      </c>
      <c r="H20">
        <f t="shared" si="0"/>
        <v>-17.209405633177035</v>
      </c>
    </row>
    <row r="21" spans="1:8" x14ac:dyDescent="0.2">
      <c r="A21" s="6">
        <v>30569</v>
      </c>
      <c r="B21" s="2">
        <v>15.725145976931421</v>
      </c>
      <c r="C21" s="10">
        <v>0.14000000000000001</v>
      </c>
      <c r="D21" s="13">
        <v>3.5000000000000001E-3</v>
      </c>
      <c r="E21">
        <v>1.2409270063861912E-2</v>
      </c>
      <c r="F21">
        <v>32.790594366822965</v>
      </c>
      <c r="G21">
        <v>488.90940563317707</v>
      </c>
      <c r="H21">
        <f t="shared" si="0"/>
        <v>-17.209405633177035</v>
      </c>
    </row>
    <row r="22" spans="1:8" x14ac:dyDescent="0.2">
      <c r="A22" s="7">
        <v>31426</v>
      </c>
      <c r="B22" s="1">
        <v>15.621290820994949</v>
      </c>
      <c r="C22" s="1">
        <v>0.14000000000000001</v>
      </c>
      <c r="D22" s="11">
        <v>3.5000000000000001E-3</v>
      </c>
      <c r="E22">
        <v>2.6794479824337719E-2</v>
      </c>
      <c r="F22">
        <v>298.20573804176553</v>
      </c>
      <c r="G22">
        <v>157.99426195823446</v>
      </c>
      <c r="H22">
        <f t="shared" si="0"/>
        <v>248.20573804176553</v>
      </c>
    </row>
    <row r="23" spans="1:8" x14ac:dyDescent="0.2">
      <c r="A23" s="5">
        <v>34692</v>
      </c>
      <c r="B23" s="3">
        <v>15.188130083614526</v>
      </c>
      <c r="C23" s="3">
        <v>0.4267899</v>
      </c>
      <c r="D23" s="12">
        <v>3.5000000000000001E-3</v>
      </c>
      <c r="E23">
        <v>0.10497488543240606</v>
      </c>
      <c r="F23">
        <v>459.9212025906736</v>
      </c>
      <c r="G23">
        <v>48.178797409326421</v>
      </c>
      <c r="H23">
        <f t="shared" si="0"/>
        <v>409.9212025906736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djrgreezy@gmail.com</dc:creator>
  <cp:lastModifiedBy>Ryan Green</cp:lastModifiedBy>
  <dcterms:created xsi:type="dcterms:W3CDTF">2024-10-09T02:22:35Z</dcterms:created>
  <dcterms:modified xsi:type="dcterms:W3CDTF">2025-01-24T00:19:20Z</dcterms:modified>
</cp:coreProperties>
</file>